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CVM\COURS\Outils de gestion et de soutien\remise-de-dev\"/>
    </mc:Choice>
  </mc:AlternateContent>
  <xr:revisionPtr revIDLastSave="0" documentId="13_ncr:1_{FBE7AB3D-A9E7-4DD2-BBAF-E069064EFD40}" xr6:coauthVersionLast="47" xr6:coauthVersionMax="47" xr10:uidLastSave="{00000000-0000-0000-0000-000000000000}"/>
  <bookViews>
    <workbookView xWindow="-120" yWindow="-120" windowWidth="25440" windowHeight="15390" activeTab="1" xr2:uid="{77A69F4C-5571-448A-A04E-6AF2FDEF330E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2" l="1" a="1"/>
  <c r="F5" i="2" s="1"/>
  <c r="X32" i="2"/>
  <c r="T14" i="2"/>
  <c r="Y6" i="2"/>
  <c r="AE4" i="2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E28" i="2" s="1"/>
  <c r="AE29" i="2" s="1"/>
  <c r="AE30" i="2" s="1"/>
  <c r="AE31" i="2" s="1"/>
  <c r="AE32" i="2" s="1"/>
  <c r="AE33" i="2" s="1"/>
  <c r="AE34" i="2" s="1"/>
  <c r="AE35" i="2" s="1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AE59" i="2" s="1"/>
  <c r="AE60" i="2" s="1"/>
  <c r="AE61" i="2" s="1"/>
  <c r="AE62" i="2" s="1"/>
  <c r="AE63" i="2" s="1"/>
  <c r="AE64" i="2" s="1"/>
  <c r="AE65" i="2" s="1"/>
  <c r="AE66" i="2" s="1"/>
  <c r="AE67" i="2" s="1"/>
  <c r="AE68" i="2" s="1"/>
  <c r="AE69" i="2" s="1"/>
  <c r="AE70" i="2" s="1"/>
  <c r="AE71" i="2" s="1"/>
  <c r="AE72" i="2" s="1"/>
  <c r="AE73" i="2" s="1"/>
  <c r="AE74" i="2" s="1"/>
  <c r="AE75" i="2" s="1"/>
  <c r="AE76" i="2" s="1"/>
  <c r="AE77" i="2" s="1"/>
  <c r="AE78" i="2" s="1"/>
  <c r="AE79" i="2" s="1"/>
  <c r="AE80" i="2" s="1"/>
  <c r="AE81" i="2" s="1"/>
  <c r="AE82" i="2" s="1"/>
  <c r="AE83" i="2" s="1"/>
  <c r="AE84" i="2" s="1"/>
  <c r="AE85" i="2" s="1"/>
  <c r="AE86" i="2" s="1"/>
  <c r="AE87" i="2" s="1"/>
  <c r="AE88" i="2" s="1"/>
  <c r="AE89" i="2" s="1"/>
  <c r="AE90" i="2" s="1"/>
  <c r="AE91" i="2" s="1"/>
  <c r="AE92" i="2" s="1"/>
  <c r="AE93" i="2" s="1"/>
  <c r="AE94" i="2" s="1"/>
  <c r="AE95" i="2" s="1"/>
  <c r="AE96" i="2" s="1"/>
  <c r="AE97" i="2" s="1"/>
  <c r="AE98" i="2" s="1"/>
  <c r="AE99" i="2" s="1"/>
  <c r="AE100" i="2" s="1"/>
  <c r="AE101" i="2" s="1"/>
  <c r="AE102" i="2" s="1"/>
  <c r="AE103" i="2" s="1"/>
  <c r="AE1" i="2"/>
  <c r="F37" i="1"/>
  <c r="AD1" i="2"/>
  <c r="F6" i="2" a="1"/>
  <c r="F6" i="2" s="1"/>
  <c r="F37" i="2" s="1"/>
  <c r="F7" i="2" a="1"/>
  <c r="F7" i="2" s="1"/>
  <c r="F38" i="2" s="1"/>
  <c r="F8" i="2" a="1"/>
  <c r="F8" i="2" s="1"/>
  <c r="F39" i="2" s="1"/>
  <c r="F9" i="2" a="1"/>
  <c r="F9" i="2" s="1"/>
  <c r="F40" i="2" s="1"/>
  <c r="F10" i="2" a="1"/>
  <c r="F10" i="2" s="1"/>
  <c r="F41" i="2" s="1"/>
  <c r="F11" i="2" a="1"/>
  <c r="F11" i="2" s="1"/>
  <c r="F42" i="2" s="1"/>
  <c r="F12" i="2" a="1"/>
  <c r="F12" i="2" s="1"/>
  <c r="F43" i="2" s="1"/>
  <c r="F13" i="2" a="1"/>
  <c r="F13" i="2" s="1"/>
  <c r="F44" i="2" s="1"/>
  <c r="F14" i="2" a="1"/>
  <c r="F14" i="2" s="1"/>
  <c r="F45" i="2" s="1"/>
  <c r="F15" i="2" a="1"/>
  <c r="F15" i="2" s="1"/>
  <c r="F46" i="2" s="1"/>
  <c r="F16" i="2" a="1"/>
  <c r="F16" i="2" s="1"/>
  <c r="F47" i="2" s="1"/>
  <c r="F17" i="2" a="1"/>
  <c r="F17" i="2" s="1"/>
  <c r="F48" i="2" s="1"/>
  <c r="F18" i="2" a="1"/>
  <c r="F18" i="2" s="1"/>
  <c r="F49" i="2" s="1"/>
  <c r="F19" i="2" a="1"/>
  <c r="F19" i="2" s="1"/>
  <c r="F50" i="2" s="1"/>
  <c r="F20" i="2" a="1"/>
  <c r="F20" i="2" s="1"/>
  <c r="F51" i="2" s="1"/>
  <c r="F21" i="2" a="1"/>
  <c r="F21" i="2" s="1"/>
  <c r="F52" i="2" s="1"/>
  <c r="F22" i="2" a="1"/>
  <c r="F22" i="2" s="1"/>
  <c r="F53" i="2" s="1"/>
  <c r="F23" i="2" a="1"/>
  <c r="F23" i="2" s="1"/>
  <c r="F54" i="2" s="1"/>
  <c r="F24" i="2" a="1"/>
  <c r="F24" i="2" s="1"/>
  <c r="F55" i="2" s="1"/>
  <c r="F25" i="2" a="1"/>
  <c r="F25" i="2" s="1"/>
  <c r="F56" i="2" s="1"/>
  <c r="F26" i="2" a="1"/>
  <c r="F26" i="2" s="1"/>
  <c r="F57" i="2" s="1"/>
  <c r="F27" i="2" a="1"/>
  <c r="F27" i="2" s="1"/>
  <c r="F58" i="2" s="1"/>
  <c r="F28" i="2" a="1"/>
  <c r="F28" i="2" s="1"/>
  <c r="F59" i="2" s="1"/>
  <c r="F29" i="2" a="1"/>
  <c r="F29" i="2" s="1"/>
  <c r="F60" i="2" s="1"/>
  <c r="G6" i="2" a="1"/>
  <c r="G6" i="2" s="1"/>
  <c r="G37" i="2" s="1"/>
  <c r="G7" i="2" a="1"/>
  <c r="G7" i="2" s="1"/>
  <c r="G38" i="2" s="1"/>
  <c r="G8" i="2" a="1"/>
  <c r="G8" i="2" s="1"/>
  <c r="G39" i="2" s="1"/>
  <c r="G9" i="2" a="1"/>
  <c r="G9" i="2" s="1"/>
  <c r="G40" i="2" s="1"/>
  <c r="G10" i="2" a="1"/>
  <c r="G10" i="2" s="1"/>
  <c r="G41" i="2" s="1"/>
  <c r="G11" i="2" a="1"/>
  <c r="G11" i="2" s="1"/>
  <c r="G42" i="2" s="1"/>
  <c r="G12" i="2" a="1"/>
  <c r="G12" i="2" s="1"/>
  <c r="G43" i="2" s="1"/>
  <c r="G13" i="2" a="1"/>
  <c r="G13" i="2" s="1"/>
  <c r="G44" i="2" s="1"/>
  <c r="G14" i="2" a="1"/>
  <c r="G14" i="2" s="1"/>
  <c r="G45" i="2" s="1"/>
  <c r="G15" i="2" a="1"/>
  <c r="G15" i="2" s="1"/>
  <c r="G46" i="2" s="1"/>
  <c r="G16" i="2" a="1"/>
  <c r="G16" i="2" s="1"/>
  <c r="G47" i="2" s="1"/>
  <c r="G17" i="2" a="1"/>
  <c r="G17" i="2" s="1"/>
  <c r="G48" i="2" s="1"/>
  <c r="G18" i="2" a="1"/>
  <c r="G18" i="2" s="1"/>
  <c r="G49" i="2" s="1"/>
  <c r="G19" i="2" a="1"/>
  <c r="G19" i="2" s="1"/>
  <c r="G50" i="2" s="1"/>
  <c r="G20" i="2" a="1"/>
  <c r="G20" i="2" s="1"/>
  <c r="G51" i="2" s="1"/>
  <c r="G21" i="2" a="1"/>
  <c r="G21" i="2" s="1"/>
  <c r="G52" i="2" s="1"/>
  <c r="G22" i="2" a="1"/>
  <c r="G22" i="2" s="1"/>
  <c r="G53" i="2" s="1"/>
  <c r="G23" i="2" a="1"/>
  <c r="G23" i="2" s="1"/>
  <c r="G54" i="2" s="1"/>
  <c r="G24" i="2" a="1"/>
  <c r="G24" i="2" s="1"/>
  <c r="G55" i="2" s="1"/>
  <c r="G25" i="2" a="1"/>
  <c r="G25" i="2" s="1"/>
  <c r="G56" i="2" s="1"/>
  <c r="G26" i="2" a="1"/>
  <c r="G26" i="2" s="1"/>
  <c r="G57" i="2" s="1"/>
  <c r="G27" i="2" a="1"/>
  <c r="G27" i="2" s="1"/>
  <c r="G58" i="2" s="1"/>
  <c r="G28" i="2" a="1"/>
  <c r="G28" i="2" s="1"/>
  <c r="G59" i="2" s="1"/>
  <c r="G29" i="2" a="1"/>
  <c r="G29" i="2" s="1"/>
  <c r="G60" i="2" s="1"/>
  <c r="G5" i="2" a="1"/>
  <c r="G5" i="2" s="1"/>
  <c r="B5" i="2" a="1"/>
  <c r="B5" i="2" s="1"/>
  <c r="AG3" i="2" s="1"/>
  <c r="A5" i="2" a="1"/>
  <c r="A5" i="2" s="1"/>
  <c r="AF3" i="2" s="1"/>
  <c r="AZ8" i="1"/>
  <c r="BN7" i="1"/>
  <c r="BH7" i="1"/>
  <c r="AZ9" i="1"/>
  <c r="CF8" i="1"/>
  <c r="BX7" i="1"/>
  <c r="BV7" i="1"/>
  <c r="CB7" i="1"/>
  <c r="BR7" i="1"/>
  <c r="CF7" i="1"/>
  <c r="CD7" i="1"/>
  <c r="AX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1" i="1"/>
  <c r="P11" i="1"/>
  <c r="M13" i="1"/>
  <c r="M14" i="1" s="1"/>
  <c r="M15" i="1" s="1"/>
  <c r="M16" i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M438" i="1" s="1"/>
  <c r="M439" i="1" s="1"/>
  <c r="M440" i="1" s="1"/>
  <c r="M441" i="1" s="1"/>
  <c r="M442" i="1" s="1"/>
  <c r="M443" i="1" s="1"/>
  <c r="M444" i="1" s="1"/>
  <c r="M445" i="1" s="1"/>
  <c r="M446" i="1" s="1"/>
  <c r="M447" i="1" s="1"/>
  <c r="M448" i="1" s="1"/>
  <c r="M449" i="1" s="1"/>
  <c r="M450" i="1" s="1"/>
  <c r="M451" i="1" s="1"/>
  <c r="M452" i="1" s="1"/>
  <c r="M453" i="1" s="1"/>
  <c r="M454" i="1" s="1"/>
  <c r="M455" i="1" s="1"/>
  <c r="M456" i="1" s="1"/>
  <c r="M457" i="1" s="1"/>
  <c r="M458" i="1" s="1"/>
  <c r="M459" i="1" s="1"/>
  <c r="M460" i="1" s="1"/>
  <c r="M461" i="1" s="1"/>
  <c r="M462" i="1" s="1"/>
  <c r="M463" i="1" s="1"/>
  <c r="M464" i="1" s="1"/>
  <c r="M465" i="1" s="1"/>
  <c r="M466" i="1" s="1"/>
  <c r="M467" i="1" s="1"/>
  <c r="M468" i="1" s="1"/>
  <c r="M469" i="1" s="1"/>
  <c r="M470" i="1" s="1"/>
  <c r="M471" i="1" s="1"/>
  <c r="M472" i="1" s="1"/>
  <c r="M473" i="1" s="1"/>
  <c r="M474" i="1" s="1"/>
  <c r="M475" i="1" s="1"/>
  <c r="M476" i="1" s="1"/>
  <c r="M477" i="1" s="1"/>
  <c r="M478" i="1" s="1"/>
  <c r="M479" i="1" s="1"/>
  <c r="M480" i="1" s="1"/>
  <c r="M481" i="1" s="1"/>
  <c r="M482" i="1" s="1"/>
  <c r="M483" i="1" s="1"/>
  <c r="M484" i="1" s="1"/>
  <c r="M485" i="1" s="1"/>
  <c r="M486" i="1" s="1"/>
  <c r="M487" i="1" s="1"/>
  <c r="M488" i="1" s="1"/>
  <c r="M489" i="1" s="1"/>
  <c r="M490" i="1" s="1"/>
  <c r="M491" i="1" s="1"/>
  <c r="M492" i="1" s="1"/>
  <c r="M493" i="1" s="1"/>
  <c r="M494" i="1" s="1"/>
  <c r="M495" i="1" s="1"/>
  <c r="M496" i="1" s="1"/>
  <c r="M497" i="1" s="1"/>
  <c r="M498" i="1" s="1"/>
  <c r="M499" i="1" s="1"/>
  <c r="M500" i="1" s="1"/>
  <c r="M501" i="1" s="1"/>
  <c r="M502" i="1" s="1"/>
  <c r="M503" i="1" s="1"/>
  <c r="M504" i="1" s="1"/>
  <c r="M505" i="1" s="1"/>
  <c r="M506" i="1" s="1"/>
  <c r="M507" i="1" s="1"/>
  <c r="M508" i="1" s="1"/>
  <c r="M509" i="1" s="1"/>
  <c r="M510" i="1" s="1"/>
  <c r="M511" i="1" s="1"/>
  <c r="M512" i="1" s="1"/>
  <c r="M513" i="1" s="1"/>
  <c r="M514" i="1" s="1"/>
  <c r="M515" i="1" s="1"/>
  <c r="M516" i="1" s="1"/>
  <c r="M517" i="1" s="1"/>
  <c r="M518" i="1" s="1"/>
  <c r="M519" i="1" s="1"/>
  <c r="M520" i="1" s="1"/>
  <c r="M521" i="1" s="1"/>
  <c r="M522" i="1" s="1"/>
  <c r="M523" i="1" s="1"/>
  <c r="M524" i="1" s="1"/>
  <c r="M525" i="1" s="1"/>
  <c r="M526" i="1" s="1"/>
  <c r="M527" i="1" s="1"/>
  <c r="M528" i="1" s="1"/>
  <c r="M529" i="1" s="1"/>
  <c r="M530" i="1" s="1"/>
  <c r="M531" i="1" s="1"/>
  <c r="M532" i="1" s="1"/>
  <c r="M533" i="1" s="1"/>
  <c r="M534" i="1" s="1"/>
  <c r="M535" i="1" s="1"/>
  <c r="M536" i="1" s="1"/>
  <c r="M537" i="1" s="1"/>
  <c r="M538" i="1" s="1"/>
  <c r="M539" i="1" s="1"/>
  <c r="M540" i="1" s="1"/>
  <c r="M541" i="1" s="1"/>
  <c r="M542" i="1" s="1"/>
  <c r="M543" i="1" s="1"/>
  <c r="M544" i="1" s="1"/>
  <c r="M545" i="1" s="1"/>
  <c r="M546" i="1" s="1"/>
  <c r="M547" i="1" s="1"/>
  <c r="M548" i="1" s="1"/>
  <c r="M549" i="1" s="1"/>
  <c r="M550" i="1" s="1"/>
  <c r="M551" i="1" s="1"/>
  <c r="M552" i="1" s="1"/>
  <c r="M553" i="1" s="1"/>
  <c r="M554" i="1" s="1"/>
  <c r="M555" i="1" s="1"/>
  <c r="M556" i="1" s="1"/>
  <c r="M557" i="1" s="1"/>
  <c r="M558" i="1" s="1"/>
  <c r="M559" i="1" s="1"/>
  <c r="M560" i="1" s="1"/>
  <c r="M561" i="1" s="1"/>
  <c r="M562" i="1" s="1"/>
  <c r="M563" i="1" s="1"/>
  <c r="M564" i="1" s="1"/>
  <c r="M565" i="1" s="1"/>
  <c r="M566" i="1" s="1"/>
  <c r="M567" i="1" s="1"/>
  <c r="M568" i="1" s="1"/>
  <c r="M569" i="1" s="1"/>
  <c r="M570" i="1" s="1"/>
  <c r="M571" i="1" s="1"/>
  <c r="M572" i="1" s="1"/>
  <c r="M573" i="1" s="1"/>
  <c r="M574" i="1" s="1"/>
  <c r="M575" i="1" s="1"/>
  <c r="M576" i="1" s="1"/>
  <c r="M577" i="1" s="1"/>
  <c r="M578" i="1" s="1"/>
  <c r="M579" i="1" s="1"/>
  <c r="M580" i="1" s="1"/>
  <c r="M581" i="1" s="1"/>
  <c r="M582" i="1" s="1"/>
  <c r="M583" i="1" s="1"/>
  <c r="M584" i="1" s="1"/>
  <c r="M585" i="1" s="1"/>
  <c r="M586" i="1" s="1"/>
  <c r="M587" i="1" s="1"/>
  <c r="M588" i="1" s="1"/>
  <c r="M589" i="1" s="1"/>
  <c r="M590" i="1" s="1"/>
  <c r="M591" i="1" s="1"/>
  <c r="M592" i="1" s="1"/>
  <c r="M593" i="1" s="1"/>
  <c r="M594" i="1" s="1"/>
  <c r="M595" i="1" s="1"/>
  <c r="M596" i="1" s="1"/>
  <c r="M597" i="1" s="1"/>
  <c r="M598" i="1" s="1"/>
  <c r="M599" i="1" s="1"/>
  <c r="M600" i="1" s="1"/>
  <c r="M601" i="1" s="1"/>
  <c r="M602" i="1" s="1"/>
  <c r="M603" i="1" s="1"/>
  <c r="M604" i="1" s="1"/>
  <c r="M605" i="1" s="1"/>
  <c r="M606" i="1" s="1"/>
  <c r="M607" i="1" s="1"/>
  <c r="M608" i="1" s="1"/>
  <c r="M609" i="1" s="1"/>
  <c r="M610" i="1" s="1"/>
  <c r="M611" i="1" s="1"/>
  <c r="M612" i="1" s="1"/>
  <c r="M613" i="1" s="1"/>
  <c r="M614" i="1" s="1"/>
  <c r="M615" i="1" s="1"/>
  <c r="M616" i="1" s="1"/>
  <c r="M617" i="1" s="1"/>
  <c r="M618" i="1" s="1"/>
  <c r="M619" i="1" s="1"/>
  <c r="M620" i="1" s="1"/>
  <c r="M621" i="1" s="1"/>
  <c r="M622" i="1" s="1"/>
  <c r="M623" i="1" s="1"/>
  <c r="M624" i="1" s="1"/>
  <c r="M625" i="1" s="1"/>
  <c r="M626" i="1" s="1"/>
  <c r="M627" i="1" s="1"/>
  <c r="M628" i="1" s="1"/>
  <c r="M629" i="1" s="1"/>
  <c r="M630" i="1" s="1"/>
  <c r="M631" i="1" s="1"/>
  <c r="M632" i="1" s="1"/>
  <c r="M633" i="1" s="1"/>
  <c r="M634" i="1" s="1"/>
  <c r="M635" i="1" s="1"/>
  <c r="M636" i="1" s="1"/>
  <c r="M637" i="1" s="1"/>
  <c r="M638" i="1" s="1"/>
  <c r="M639" i="1" s="1"/>
  <c r="M640" i="1" s="1"/>
  <c r="M641" i="1" s="1"/>
  <c r="M642" i="1" s="1"/>
  <c r="M643" i="1" s="1"/>
  <c r="M644" i="1" s="1"/>
  <c r="M645" i="1" s="1"/>
  <c r="M646" i="1" s="1"/>
  <c r="M647" i="1" s="1"/>
  <c r="M648" i="1" s="1"/>
  <c r="M649" i="1" s="1"/>
  <c r="M650" i="1" s="1"/>
  <c r="M651" i="1" s="1"/>
  <c r="M652" i="1" s="1"/>
  <c r="M653" i="1" s="1"/>
  <c r="M654" i="1" s="1"/>
  <c r="M655" i="1" s="1"/>
  <c r="M656" i="1" s="1"/>
  <c r="M657" i="1" s="1"/>
  <c r="M658" i="1" s="1"/>
  <c r="M659" i="1" s="1"/>
  <c r="M660" i="1" s="1"/>
  <c r="M661" i="1" s="1"/>
  <c r="M662" i="1" s="1"/>
  <c r="M663" i="1" s="1"/>
  <c r="M664" i="1" s="1"/>
  <c r="M665" i="1" s="1"/>
  <c r="M666" i="1" s="1"/>
  <c r="M667" i="1" s="1"/>
  <c r="M668" i="1" s="1"/>
  <c r="M669" i="1" s="1"/>
  <c r="M670" i="1" s="1"/>
  <c r="M671" i="1" s="1"/>
  <c r="M672" i="1" s="1"/>
  <c r="M673" i="1" s="1"/>
  <c r="M674" i="1" s="1"/>
  <c r="M675" i="1" s="1"/>
  <c r="M676" i="1" s="1"/>
  <c r="M677" i="1" s="1"/>
  <c r="M678" i="1" s="1"/>
  <c r="M679" i="1" s="1"/>
  <c r="M680" i="1" s="1"/>
  <c r="M681" i="1" s="1"/>
  <c r="M682" i="1" s="1"/>
  <c r="M683" i="1" s="1"/>
  <c r="M684" i="1" s="1"/>
  <c r="M685" i="1" s="1"/>
  <c r="M686" i="1" s="1"/>
  <c r="M687" i="1" s="1"/>
  <c r="M688" i="1" s="1"/>
  <c r="M689" i="1" s="1"/>
  <c r="M690" i="1" s="1"/>
  <c r="M691" i="1" s="1"/>
  <c r="M692" i="1" s="1"/>
  <c r="M693" i="1" s="1"/>
  <c r="M694" i="1" s="1"/>
  <c r="M695" i="1" s="1"/>
  <c r="M696" i="1" s="1"/>
  <c r="M697" i="1" s="1"/>
  <c r="M698" i="1" s="1"/>
  <c r="M699" i="1" s="1"/>
  <c r="M700" i="1" s="1"/>
  <c r="M701" i="1" s="1"/>
  <c r="M702" i="1" s="1"/>
  <c r="M703" i="1" s="1"/>
  <c r="M704" i="1" s="1"/>
  <c r="M705" i="1" s="1"/>
  <c r="M706" i="1" s="1"/>
  <c r="M707" i="1" s="1"/>
  <c r="M708" i="1" s="1"/>
  <c r="M709" i="1" s="1"/>
  <c r="M710" i="1" s="1"/>
  <c r="M711" i="1" s="1"/>
  <c r="M712" i="1" s="1"/>
  <c r="M713" i="1" s="1"/>
  <c r="M714" i="1" s="1"/>
  <c r="M715" i="1" s="1"/>
  <c r="M716" i="1" s="1"/>
  <c r="M717" i="1" s="1"/>
  <c r="M718" i="1" s="1"/>
  <c r="M719" i="1" s="1"/>
  <c r="M720" i="1" s="1"/>
  <c r="M721" i="1" s="1"/>
  <c r="M722" i="1" s="1"/>
  <c r="M723" i="1" s="1"/>
  <c r="M724" i="1" s="1"/>
  <c r="M725" i="1" s="1"/>
  <c r="M726" i="1" s="1"/>
  <c r="M727" i="1" s="1"/>
  <c r="M728" i="1" s="1"/>
  <c r="M729" i="1" s="1"/>
  <c r="M730" i="1" s="1"/>
  <c r="M731" i="1" s="1"/>
  <c r="M732" i="1" s="1"/>
  <c r="M733" i="1" s="1"/>
  <c r="M734" i="1" s="1"/>
  <c r="M735" i="1" s="1"/>
  <c r="M736" i="1" s="1"/>
  <c r="M737" i="1" s="1"/>
  <c r="M738" i="1" s="1"/>
  <c r="M739" i="1" s="1"/>
  <c r="M740" i="1" s="1"/>
  <c r="M741" i="1" s="1"/>
  <c r="M742" i="1" s="1"/>
  <c r="M743" i="1" s="1"/>
  <c r="M744" i="1" s="1"/>
  <c r="M745" i="1" s="1"/>
  <c r="M746" i="1" s="1"/>
  <c r="M747" i="1" s="1"/>
  <c r="M748" i="1" s="1"/>
  <c r="M749" i="1" s="1"/>
  <c r="M750" i="1" s="1"/>
  <c r="M751" i="1" s="1"/>
  <c r="M752" i="1" s="1"/>
  <c r="M753" i="1" s="1"/>
  <c r="M754" i="1" s="1"/>
  <c r="M755" i="1" s="1"/>
  <c r="M756" i="1" s="1"/>
  <c r="M757" i="1" s="1"/>
  <c r="M758" i="1" s="1"/>
  <c r="M759" i="1" s="1"/>
  <c r="M760" i="1" s="1"/>
  <c r="M761" i="1" s="1"/>
  <c r="M762" i="1" s="1"/>
  <c r="M763" i="1" s="1"/>
  <c r="M764" i="1" s="1"/>
  <c r="M765" i="1" s="1"/>
  <c r="M766" i="1" s="1"/>
  <c r="M767" i="1" s="1"/>
  <c r="M768" i="1" s="1"/>
  <c r="M769" i="1" s="1"/>
  <c r="M770" i="1" s="1"/>
  <c r="M771" i="1" s="1"/>
  <c r="M772" i="1" s="1"/>
  <c r="M773" i="1" s="1"/>
  <c r="M774" i="1" s="1"/>
  <c r="M775" i="1" s="1"/>
  <c r="M776" i="1" s="1"/>
  <c r="M777" i="1" s="1"/>
  <c r="M778" i="1" s="1"/>
  <c r="M779" i="1" s="1"/>
  <c r="M780" i="1" s="1"/>
  <c r="M781" i="1" s="1"/>
  <c r="M782" i="1" s="1"/>
  <c r="M783" i="1" s="1"/>
  <c r="M784" i="1" s="1"/>
  <c r="M785" i="1" s="1"/>
  <c r="M786" i="1" s="1"/>
  <c r="M787" i="1" s="1"/>
  <c r="M788" i="1" s="1"/>
  <c r="M789" i="1" s="1"/>
  <c r="M790" i="1" s="1"/>
  <c r="M791" i="1" s="1"/>
  <c r="M792" i="1" s="1"/>
  <c r="M793" i="1" s="1"/>
  <c r="M794" i="1" s="1"/>
  <c r="M795" i="1" s="1"/>
  <c r="M796" i="1" s="1"/>
  <c r="M797" i="1" s="1"/>
  <c r="M798" i="1" s="1"/>
  <c r="M799" i="1" s="1"/>
  <c r="M800" i="1" s="1"/>
  <c r="M801" i="1" s="1"/>
  <c r="M802" i="1" s="1"/>
  <c r="M803" i="1" s="1"/>
  <c r="M804" i="1" s="1"/>
  <c r="M805" i="1" s="1"/>
  <c r="M806" i="1" s="1"/>
  <c r="M807" i="1" s="1"/>
  <c r="M808" i="1" s="1"/>
  <c r="M809" i="1" s="1"/>
  <c r="M810" i="1" s="1"/>
  <c r="M811" i="1" s="1"/>
  <c r="M812" i="1" s="1"/>
  <c r="M813" i="1" s="1"/>
  <c r="M814" i="1" s="1"/>
  <c r="M815" i="1" s="1"/>
  <c r="M816" i="1" s="1"/>
  <c r="M817" i="1" s="1"/>
  <c r="M818" i="1" s="1"/>
  <c r="M819" i="1" s="1"/>
  <c r="M820" i="1" s="1"/>
  <c r="M821" i="1" s="1"/>
  <c r="M822" i="1" s="1"/>
  <c r="M823" i="1" s="1"/>
  <c r="M824" i="1" s="1"/>
  <c r="M825" i="1" s="1"/>
  <c r="M826" i="1" s="1"/>
  <c r="M827" i="1" s="1"/>
  <c r="M828" i="1" s="1"/>
  <c r="M829" i="1" s="1"/>
  <c r="M830" i="1" s="1"/>
  <c r="M831" i="1" s="1"/>
  <c r="M832" i="1" s="1"/>
  <c r="M833" i="1" s="1"/>
  <c r="M834" i="1" s="1"/>
  <c r="M835" i="1" s="1"/>
  <c r="M836" i="1" s="1"/>
  <c r="M837" i="1" s="1"/>
  <c r="M838" i="1" s="1"/>
  <c r="M839" i="1" s="1"/>
  <c r="M840" i="1" s="1"/>
  <c r="M841" i="1" s="1"/>
  <c r="M842" i="1" s="1"/>
  <c r="M843" i="1" s="1"/>
  <c r="M844" i="1" s="1"/>
  <c r="M845" i="1" s="1"/>
  <c r="M846" i="1" s="1"/>
  <c r="M847" i="1" s="1"/>
  <c r="M848" i="1" s="1"/>
  <c r="M849" i="1" s="1"/>
  <c r="M850" i="1" s="1"/>
  <c r="M851" i="1" s="1"/>
  <c r="M852" i="1" s="1"/>
  <c r="M853" i="1" s="1"/>
  <c r="M854" i="1" s="1"/>
  <c r="M855" i="1" s="1"/>
  <c r="M856" i="1" s="1"/>
  <c r="M857" i="1" s="1"/>
  <c r="M858" i="1" s="1"/>
  <c r="M859" i="1" s="1"/>
  <c r="M860" i="1" s="1"/>
  <c r="M861" i="1" s="1"/>
  <c r="M862" i="1" s="1"/>
  <c r="M863" i="1" s="1"/>
  <c r="M864" i="1" s="1"/>
  <c r="M865" i="1" s="1"/>
  <c r="M866" i="1" s="1"/>
  <c r="M867" i="1" s="1"/>
  <c r="M868" i="1" s="1"/>
  <c r="M869" i="1" s="1"/>
  <c r="M870" i="1" s="1"/>
  <c r="M871" i="1" s="1"/>
  <c r="M872" i="1" s="1"/>
  <c r="M873" i="1" s="1"/>
  <c r="M874" i="1" s="1"/>
  <c r="M875" i="1" s="1"/>
  <c r="M876" i="1" s="1"/>
  <c r="M877" i="1" s="1"/>
  <c r="M878" i="1" s="1"/>
  <c r="M879" i="1" s="1"/>
  <c r="M880" i="1" s="1"/>
  <c r="M881" i="1" s="1"/>
  <c r="M882" i="1" s="1"/>
  <c r="M883" i="1" s="1"/>
  <c r="M884" i="1" s="1"/>
  <c r="M885" i="1" s="1"/>
  <c r="M886" i="1" s="1"/>
  <c r="M887" i="1" s="1"/>
  <c r="M888" i="1" s="1"/>
  <c r="M889" i="1" s="1"/>
  <c r="M890" i="1" s="1"/>
  <c r="M891" i="1" s="1"/>
  <c r="M892" i="1" s="1"/>
  <c r="M893" i="1" s="1"/>
  <c r="M894" i="1" s="1"/>
  <c r="M895" i="1" s="1"/>
  <c r="M896" i="1" s="1"/>
  <c r="M897" i="1" s="1"/>
  <c r="M898" i="1" s="1"/>
  <c r="M899" i="1" s="1"/>
  <c r="M900" i="1" s="1"/>
  <c r="M901" i="1" s="1"/>
  <c r="M902" i="1" s="1"/>
  <c r="M903" i="1" s="1"/>
  <c r="M904" i="1" s="1"/>
  <c r="M905" i="1" s="1"/>
  <c r="M906" i="1" s="1"/>
  <c r="M907" i="1" s="1"/>
  <c r="M908" i="1" s="1"/>
  <c r="M909" i="1" s="1"/>
  <c r="M910" i="1" s="1"/>
  <c r="M911" i="1" s="1"/>
  <c r="M912" i="1" s="1"/>
  <c r="M913" i="1" s="1"/>
  <c r="M914" i="1" s="1"/>
  <c r="M915" i="1" s="1"/>
  <c r="M916" i="1" s="1"/>
  <c r="M917" i="1" s="1"/>
  <c r="M918" i="1" s="1"/>
  <c r="M919" i="1" s="1"/>
  <c r="M920" i="1" s="1"/>
  <c r="M921" i="1" s="1"/>
  <c r="M922" i="1" s="1"/>
  <c r="M923" i="1" s="1"/>
  <c r="M924" i="1" s="1"/>
  <c r="M925" i="1" s="1"/>
  <c r="M926" i="1" s="1"/>
  <c r="M927" i="1" s="1"/>
  <c r="M928" i="1" s="1"/>
  <c r="M929" i="1" s="1"/>
  <c r="M930" i="1" s="1"/>
  <c r="M931" i="1" s="1"/>
  <c r="M932" i="1" s="1"/>
  <c r="M933" i="1" s="1"/>
  <c r="M934" i="1" s="1"/>
  <c r="M935" i="1" s="1"/>
  <c r="M936" i="1" s="1"/>
  <c r="M937" i="1" s="1"/>
  <c r="M938" i="1" s="1"/>
  <c r="M939" i="1" s="1"/>
  <c r="M940" i="1" s="1"/>
  <c r="M941" i="1" s="1"/>
  <c r="M942" i="1" s="1"/>
  <c r="M943" i="1" s="1"/>
  <c r="M944" i="1" s="1"/>
  <c r="M945" i="1" s="1"/>
  <c r="M946" i="1" s="1"/>
  <c r="M947" i="1" s="1"/>
  <c r="M948" i="1" s="1"/>
  <c r="M949" i="1" s="1"/>
  <c r="M950" i="1" s="1"/>
  <c r="M951" i="1" s="1"/>
  <c r="M952" i="1" s="1"/>
  <c r="M953" i="1" s="1"/>
  <c r="M954" i="1" s="1"/>
  <c r="M955" i="1" s="1"/>
  <c r="M956" i="1" s="1"/>
  <c r="M957" i="1" s="1"/>
  <c r="M958" i="1" s="1"/>
  <c r="M959" i="1" s="1"/>
  <c r="M960" i="1" s="1"/>
  <c r="M961" i="1" s="1"/>
  <c r="M962" i="1" s="1"/>
  <c r="M963" i="1" s="1"/>
  <c r="M964" i="1" s="1"/>
  <c r="M965" i="1" s="1"/>
  <c r="M966" i="1" s="1"/>
  <c r="M967" i="1" s="1"/>
  <c r="M968" i="1" s="1"/>
  <c r="M969" i="1" s="1"/>
  <c r="M970" i="1" s="1"/>
  <c r="M971" i="1" s="1"/>
  <c r="M972" i="1" s="1"/>
  <c r="M973" i="1" s="1"/>
  <c r="M974" i="1" s="1"/>
  <c r="M975" i="1" s="1"/>
  <c r="M976" i="1" s="1"/>
  <c r="M977" i="1" s="1"/>
  <c r="M978" i="1" s="1"/>
  <c r="M979" i="1" s="1"/>
  <c r="M980" i="1" s="1"/>
  <c r="M981" i="1" s="1"/>
  <c r="M982" i="1" s="1"/>
  <c r="M983" i="1" s="1"/>
  <c r="M984" i="1" s="1"/>
  <c r="M985" i="1" s="1"/>
  <c r="M986" i="1" s="1"/>
  <c r="M987" i="1" s="1"/>
  <c r="M988" i="1" s="1"/>
  <c r="M989" i="1" s="1"/>
  <c r="M990" i="1" s="1"/>
  <c r="M991" i="1" s="1"/>
  <c r="M992" i="1" s="1"/>
  <c r="M993" i="1" s="1"/>
  <c r="M994" i="1" s="1"/>
  <c r="M995" i="1" s="1"/>
  <c r="M996" i="1" s="1"/>
  <c r="M997" i="1" s="1"/>
  <c r="M998" i="1" s="1"/>
  <c r="M999" i="1" s="1"/>
  <c r="M1000" i="1" s="1"/>
  <c r="M1001" i="1" s="1"/>
  <c r="M1002" i="1" s="1"/>
  <c r="M1003" i="1" s="1"/>
  <c r="M1004" i="1" s="1"/>
  <c r="M1005" i="1" s="1"/>
  <c r="M1006" i="1" s="1"/>
  <c r="M1007" i="1" s="1"/>
  <c r="M1008" i="1" s="1"/>
  <c r="M1009" i="1" s="1"/>
  <c r="M1010" i="1" s="1"/>
  <c r="M1011" i="1" s="1"/>
  <c r="O5" i="1"/>
  <c r="M12" i="1" s="1"/>
  <c r="AB12" i="1" s="1"/>
  <c r="V11" i="1"/>
  <c r="AC11" i="1"/>
  <c r="F59" i="1"/>
  <c r="F48" i="1"/>
  <c r="G32" i="1"/>
  <c r="F32" i="1"/>
  <c r="G43" i="1"/>
  <c r="F43" i="1"/>
  <c r="F54" i="1"/>
  <c r="G54" i="1"/>
  <c r="F17" i="1"/>
  <c r="AX19" i="1" s="1"/>
  <c r="AB11" i="1"/>
  <c r="Q11" i="1"/>
  <c r="M5" i="1"/>
  <c r="L60" i="2" l="1"/>
  <c r="L52" i="2"/>
  <c r="L44" i="2"/>
  <c r="L59" i="2"/>
  <c r="L51" i="2"/>
  <c r="L43" i="2"/>
  <c r="L56" i="2"/>
  <c r="L48" i="2"/>
  <c r="L40" i="2"/>
  <c r="L55" i="2"/>
  <c r="L47" i="2"/>
  <c r="L39" i="2"/>
  <c r="G36" i="2"/>
  <c r="M37" i="2"/>
  <c r="F36" i="2"/>
  <c r="L37" i="2"/>
  <c r="M61" i="2"/>
  <c r="M57" i="2"/>
  <c r="M53" i="2"/>
  <c r="M49" i="2"/>
  <c r="M45" i="2"/>
  <c r="M41" i="2"/>
  <c r="M60" i="2"/>
  <c r="M56" i="2"/>
  <c r="M52" i="2"/>
  <c r="M48" i="2"/>
  <c r="M44" i="2"/>
  <c r="M40" i="2"/>
  <c r="L58" i="2"/>
  <c r="L54" i="2"/>
  <c r="L50" i="2"/>
  <c r="L46" i="2"/>
  <c r="L42" i="2"/>
  <c r="L38" i="2"/>
  <c r="M59" i="2"/>
  <c r="M55" i="2"/>
  <c r="M51" i="2"/>
  <c r="M47" i="2"/>
  <c r="M43" i="2"/>
  <c r="M39" i="2"/>
  <c r="L61" i="2"/>
  <c r="L57" i="2"/>
  <c r="L53" i="2"/>
  <c r="L49" i="2"/>
  <c r="L45" i="2"/>
  <c r="L41" i="2"/>
  <c r="M58" i="2"/>
  <c r="M54" i="2"/>
  <c r="M50" i="2"/>
  <c r="M46" i="2"/>
  <c r="M42" i="2"/>
  <c r="M38" i="2"/>
  <c r="Z22" i="2"/>
  <c r="Z33" i="2"/>
  <c r="Z12" i="2"/>
  <c r="AA26" i="2"/>
  <c r="Z23" i="2"/>
  <c r="Z25" i="2"/>
  <c r="Z27" i="2"/>
  <c r="AA22" i="2"/>
  <c r="AA24" i="2"/>
  <c r="AA23" i="2"/>
  <c r="AA25" i="2"/>
  <c r="AA27" i="2"/>
  <c r="Z24" i="2"/>
  <c r="Z26" i="2"/>
  <c r="Z38" i="2"/>
  <c r="Z34" i="2"/>
  <c r="AA35" i="2"/>
  <c r="Z37" i="2"/>
  <c r="AA38" i="2"/>
  <c r="Z35" i="2"/>
  <c r="AA33" i="2"/>
  <c r="AA36" i="2"/>
  <c r="Z36" i="2"/>
  <c r="AA34" i="2"/>
  <c r="AA37" i="2"/>
  <c r="AA12" i="2"/>
  <c r="AA13" i="2"/>
  <c r="AA14" i="2"/>
  <c r="AA17" i="2"/>
  <c r="Z15" i="2"/>
  <c r="Z16" i="2"/>
  <c r="AA15" i="2"/>
  <c r="Z13" i="2"/>
  <c r="Z17" i="2"/>
  <c r="AA16" i="2"/>
  <c r="Z14" i="2"/>
  <c r="BP7" i="1"/>
  <c r="BJ7" i="1" s="1"/>
  <c r="BB8" i="1" s="1"/>
  <c r="CB8" i="1" s="1"/>
  <c r="AX8" i="1"/>
  <c r="AX1004" i="1"/>
  <c r="AX998" i="1"/>
  <c r="AX993" i="1"/>
  <c r="AX988" i="1"/>
  <c r="AX982" i="1"/>
  <c r="AX977" i="1"/>
  <c r="AX972" i="1"/>
  <c r="AX966" i="1"/>
  <c r="AX961" i="1"/>
  <c r="AX956" i="1"/>
  <c r="AX950" i="1"/>
  <c r="AX945" i="1"/>
  <c r="AX940" i="1"/>
  <c r="AX934" i="1"/>
  <c r="AX929" i="1"/>
  <c r="AX924" i="1"/>
  <c r="AX918" i="1"/>
  <c r="AX913" i="1"/>
  <c r="AX908" i="1"/>
  <c r="AX902" i="1"/>
  <c r="AX897" i="1"/>
  <c r="AX892" i="1"/>
  <c r="AX886" i="1"/>
  <c r="AX881" i="1"/>
  <c r="AX876" i="1"/>
  <c r="AX865" i="1"/>
  <c r="AX860" i="1"/>
  <c r="AX853" i="1"/>
  <c r="AX847" i="1"/>
  <c r="AX840" i="1"/>
  <c r="AX832" i="1"/>
  <c r="AX825" i="1"/>
  <c r="AX819" i="1"/>
  <c r="AX811" i="1"/>
  <c r="AX804" i="1"/>
  <c r="AX797" i="1"/>
  <c r="AX789" i="1"/>
  <c r="AX783" i="1"/>
  <c r="AX776" i="1"/>
  <c r="AX768" i="1"/>
  <c r="AX761" i="1"/>
  <c r="AX755" i="1"/>
  <c r="AX747" i="1"/>
  <c r="AX740" i="1"/>
  <c r="AX733" i="1"/>
  <c r="AX725" i="1"/>
  <c r="AX719" i="1"/>
  <c r="AX712" i="1"/>
  <c r="AX691" i="1"/>
  <c r="AX669" i="1"/>
  <c r="AX648" i="1"/>
  <c r="AX627" i="1"/>
  <c r="AX605" i="1"/>
  <c r="AX584" i="1"/>
  <c r="AX563" i="1"/>
  <c r="AX541" i="1"/>
  <c r="AX520" i="1"/>
  <c r="AX499" i="1"/>
  <c r="AX477" i="1"/>
  <c r="AX456" i="1"/>
  <c r="AX435" i="1"/>
  <c r="AX413" i="1"/>
  <c r="AX371" i="1"/>
  <c r="AX349" i="1"/>
  <c r="AX328" i="1"/>
  <c r="AX307" i="1"/>
  <c r="AX285" i="1"/>
  <c r="AX264" i="1"/>
  <c r="AX243" i="1"/>
  <c r="AX221" i="1"/>
  <c r="AX200" i="1"/>
  <c r="AX179" i="1"/>
  <c r="AX157" i="1"/>
  <c r="AX136" i="1"/>
  <c r="AX115" i="1"/>
  <c r="AX93" i="1"/>
  <c r="AX72" i="1"/>
  <c r="AX51" i="1"/>
  <c r="AX29" i="1"/>
  <c r="AX1002" i="1"/>
  <c r="AX997" i="1"/>
  <c r="AX992" i="1"/>
  <c r="AX986" i="1"/>
  <c r="AX981" i="1"/>
  <c r="AX976" i="1"/>
  <c r="AX970" i="1"/>
  <c r="AX965" i="1"/>
  <c r="AX960" i="1"/>
  <c r="AX954" i="1"/>
  <c r="AX949" i="1"/>
  <c r="AX944" i="1"/>
  <c r="AX938" i="1"/>
  <c r="AX933" i="1"/>
  <c r="AX928" i="1"/>
  <c r="AX922" i="1"/>
  <c r="AX917" i="1"/>
  <c r="AX912" i="1"/>
  <c r="AX906" i="1"/>
  <c r="AX901" i="1"/>
  <c r="AX896" i="1"/>
  <c r="AX890" i="1"/>
  <c r="AX885" i="1"/>
  <c r="AX880" i="1"/>
  <c r="AX874" i="1"/>
  <c r="AX869" i="1"/>
  <c r="AX864" i="1"/>
  <c r="AX858" i="1"/>
  <c r="AX852" i="1"/>
  <c r="AX845" i="1"/>
  <c r="AX837" i="1"/>
  <c r="AX831" i="1"/>
  <c r="AX824" i="1"/>
  <c r="AX816" i="1"/>
  <c r="AX809" i="1"/>
  <c r="AX803" i="1"/>
  <c r="AX795" i="1"/>
  <c r="AX788" i="1"/>
  <c r="AX781" i="1"/>
  <c r="AX773" i="1"/>
  <c r="AX767" i="1"/>
  <c r="AX760" i="1"/>
  <c r="AX752" i="1"/>
  <c r="AX745" i="1"/>
  <c r="AX739" i="1"/>
  <c r="AX731" i="1"/>
  <c r="AX724" i="1"/>
  <c r="AX717" i="1"/>
  <c r="AX707" i="1"/>
  <c r="AX685" i="1"/>
  <c r="AX664" i="1"/>
  <c r="AX643" i="1"/>
  <c r="AX621" i="1"/>
  <c r="AX600" i="1"/>
  <c r="AX579" i="1"/>
  <c r="AX557" i="1"/>
  <c r="AX536" i="1"/>
  <c r="AX515" i="1"/>
  <c r="AX493" i="1"/>
  <c r="AX472" i="1"/>
  <c r="AX451" i="1"/>
  <c r="AX429" i="1"/>
  <c r="AX408" i="1"/>
  <c r="AX387" i="1"/>
  <c r="AX365" i="1"/>
  <c r="AX344" i="1"/>
  <c r="AX323" i="1"/>
  <c r="AX301" i="1"/>
  <c r="AX280" i="1"/>
  <c r="AX259" i="1"/>
  <c r="AX237" i="1"/>
  <c r="AX216" i="1"/>
  <c r="AX195" i="1"/>
  <c r="AX173" i="1"/>
  <c r="AX152" i="1"/>
  <c r="AX131" i="1"/>
  <c r="AX109" i="1"/>
  <c r="AX88" i="1"/>
  <c r="AX67" i="1"/>
  <c r="AX45" i="1"/>
  <c r="AX24" i="1"/>
  <c r="AX1006" i="1"/>
  <c r="AX1001" i="1"/>
  <c r="AX996" i="1"/>
  <c r="AX990" i="1"/>
  <c r="AX985" i="1"/>
  <c r="AX980" i="1"/>
  <c r="AX974" i="1"/>
  <c r="AX969" i="1"/>
  <c r="AX964" i="1"/>
  <c r="AX958" i="1"/>
  <c r="AX953" i="1"/>
  <c r="AX948" i="1"/>
  <c r="AX942" i="1"/>
  <c r="AX937" i="1"/>
  <c r="AX932" i="1"/>
  <c r="AX926" i="1"/>
  <c r="AX921" i="1"/>
  <c r="AX916" i="1"/>
  <c r="AX910" i="1"/>
  <c r="AX905" i="1"/>
  <c r="AX900" i="1"/>
  <c r="AX894" i="1"/>
  <c r="AX889" i="1"/>
  <c r="AX884" i="1"/>
  <c r="AX878" i="1"/>
  <c r="AX873" i="1"/>
  <c r="AX868" i="1"/>
  <c r="AX862" i="1"/>
  <c r="AX857" i="1"/>
  <c r="AX851" i="1"/>
  <c r="AX843" i="1"/>
  <c r="AX836" i="1"/>
  <c r="AX829" i="1"/>
  <c r="AX821" i="1"/>
  <c r="AX815" i="1"/>
  <c r="AX808" i="1"/>
  <c r="AX800" i="1"/>
  <c r="AX793" i="1"/>
  <c r="AX787" i="1"/>
  <c r="AX779" i="1"/>
  <c r="AX772" i="1"/>
  <c r="AX765" i="1"/>
  <c r="AX757" i="1"/>
  <c r="AX751" i="1"/>
  <c r="AX744" i="1"/>
  <c r="AX736" i="1"/>
  <c r="AX729" i="1"/>
  <c r="AX723" i="1"/>
  <c r="AX715" i="1"/>
  <c r="AX701" i="1"/>
  <c r="AX680" i="1"/>
  <c r="AX659" i="1"/>
  <c r="AX637" i="1"/>
  <c r="AX616" i="1"/>
  <c r="AX595" i="1"/>
  <c r="AX573" i="1"/>
  <c r="AX552" i="1"/>
  <c r="AX531" i="1"/>
  <c r="AX509" i="1"/>
  <c r="AX488" i="1"/>
  <c r="AX467" i="1"/>
  <c r="AX445" i="1"/>
  <c r="AX424" i="1"/>
  <c r="AX403" i="1"/>
  <c r="AX381" i="1"/>
  <c r="AX360" i="1"/>
  <c r="AX339" i="1"/>
  <c r="AX317" i="1"/>
  <c r="AX296" i="1"/>
  <c r="AX275" i="1"/>
  <c r="AX253" i="1"/>
  <c r="AX232" i="1"/>
  <c r="AX211" i="1"/>
  <c r="AX189" i="1"/>
  <c r="AX168" i="1"/>
  <c r="AX147" i="1"/>
  <c r="AX125" i="1"/>
  <c r="AX104" i="1"/>
  <c r="AX83" i="1"/>
  <c r="AX61" i="1"/>
  <c r="AX40" i="1"/>
  <c r="AX10" i="1"/>
  <c r="AX14" i="1"/>
  <c r="AX18" i="1"/>
  <c r="AX22" i="1"/>
  <c r="AX26" i="1"/>
  <c r="AX30" i="1"/>
  <c r="AX34" i="1"/>
  <c r="AX38" i="1"/>
  <c r="AX42" i="1"/>
  <c r="AX46" i="1"/>
  <c r="AX50" i="1"/>
  <c r="AX54" i="1"/>
  <c r="AX58" i="1"/>
  <c r="AX62" i="1"/>
  <c r="AX66" i="1"/>
  <c r="AX70" i="1"/>
  <c r="AX74" i="1"/>
  <c r="AX78" i="1"/>
  <c r="AX82" i="1"/>
  <c r="AX86" i="1"/>
  <c r="AX90" i="1"/>
  <c r="AX94" i="1"/>
  <c r="AX98" i="1"/>
  <c r="AX102" i="1"/>
  <c r="AX106" i="1"/>
  <c r="AX110" i="1"/>
  <c r="AX114" i="1"/>
  <c r="AX118" i="1"/>
  <c r="AX122" i="1"/>
  <c r="AX126" i="1"/>
  <c r="AX130" i="1"/>
  <c r="AX134" i="1"/>
  <c r="AX138" i="1"/>
  <c r="AX142" i="1"/>
  <c r="AX146" i="1"/>
  <c r="AX150" i="1"/>
  <c r="AX154" i="1"/>
  <c r="AX158" i="1"/>
  <c r="AX162" i="1"/>
  <c r="AX166" i="1"/>
  <c r="AX170" i="1"/>
  <c r="AX174" i="1"/>
  <c r="AX178" i="1"/>
  <c r="AX182" i="1"/>
  <c r="AX186" i="1"/>
  <c r="AX190" i="1"/>
  <c r="AX194" i="1"/>
  <c r="AX198" i="1"/>
  <c r="AX202" i="1"/>
  <c r="AX206" i="1"/>
  <c r="AX210" i="1"/>
  <c r="AX214" i="1"/>
  <c r="AX218" i="1"/>
  <c r="AX222" i="1"/>
  <c r="AX226" i="1"/>
  <c r="AX230" i="1"/>
  <c r="AX234" i="1"/>
  <c r="AX238" i="1"/>
  <c r="AX242" i="1"/>
  <c r="AX246" i="1"/>
  <c r="AX250" i="1"/>
  <c r="AX254" i="1"/>
  <c r="AX258" i="1"/>
  <c r="AX262" i="1"/>
  <c r="AX266" i="1"/>
  <c r="AX270" i="1"/>
  <c r="AX274" i="1"/>
  <c r="AX278" i="1"/>
  <c r="AX282" i="1"/>
  <c r="AX286" i="1"/>
  <c r="AX290" i="1"/>
  <c r="AX294" i="1"/>
  <c r="AX298" i="1"/>
  <c r="AX302" i="1"/>
  <c r="AX306" i="1"/>
  <c r="AX310" i="1"/>
  <c r="AX314" i="1"/>
  <c r="AX318" i="1"/>
  <c r="AX322" i="1"/>
  <c r="AX326" i="1"/>
  <c r="AX330" i="1"/>
  <c r="AX334" i="1"/>
  <c r="AX338" i="1"/>
  <c r="AX342" i="1"/>
  <c r="AX346" i="1"/>
  <c r="AX350" i="1"/>
  <c r="AX354" i="1"/>
  <c r="AX358" i="1"/>
  <c r="AX362" i="1"/>
  <c r="AX366" i="1"/>
  <c r="AX370" i="1"/>
  <c r="AX374" i="1"/>
  <c r="AX378" i="1"/>
  <c r="AX382" i="1"/>
  <c r="AX386" i="1"/>
  <c r="AX390" i="1"/>
  <c r="AX394" i="1"/>
  <c r="AX398" i="1"/>
  <c r="AX402" i="1"/>
  <c r="AX406" i="1"/>
  <c r="AX410" i="1"/>
  <c r="AX414" i="1"/>
  <c r="AX418" i="1"/>
  <c r="AX422" i="1"/>
  <c r="AX426" i="1"/>
  <c r="AX430" i="1"/>
  <c r="AX434" i="1"/>
  <c r="AX438" i="1"/>
  <c r="AX442" i="1"/>
  <c r="AX446" i="1"/>
  <c r="AX450" i="1"/>
  <c r="AX454" i="1"/>
  <c r="AX458" i="1"/>
  <c r="AX462" i="1"/>
  <c r="AX466" i="1"/>
  <c r="AX470" i="1"/>
  <c r="AX474" i="1"/>
  <c r="AX478" i="1"/>
  <c r="AX482" i="1"/>
  <c r="AX486" i="1"/>
  <c r="AX490" i="1"/>
  <c r="AX494" i="1"/>
  <c r="AX498" i="1"/>
  <c r="AX502" i="1"/>
  <c r="AX506" i="1"/>
  <c r="AX510" i="1"/>
  <c r="AX514" i="1"/>
  <c r="AX518" i="1"/>
  <c r="AX522" i="1"/>
  <c r="AX526" i="1"/>
  <c r="AX530" i="1"/>
  <c r="AX534" i="1"/>
  <c r="AX538" i="1"/>
  <c r="AX542" i="1"/>
  <c r="AX546" i="1"/>
  <c r="AX550" i="1"/>
  <c r="AX554" i="1"/>
  <c r="AX558" i="1"/>
  <c r="AX562" i="1"/>
  <c r="AX566" i="1"/>
  <c r="AX570" i="1"/>
  <c r="AX574" i="1"/>
  <c r="AX578" i="1"/>
  <c r="AX582" i="1"/>
  <c r="AX586" i="1"/>
  <c r="AX590" i="1"/>
  <c r="AX594" i="1"/>
  <c r="AX598" i="1"/>
  <c r="AX602" i="1"/>
  <c r="AX606" i="1"/>
  <c r="AX610" i="1"/>
  <c r="AX614" i="1"/>
  <c r="AX618" i="1"/>
  <c r="AX622" i="1"/>
  <c r="AX626" i="1"/>
  <c r="AX630" i="1"/>
  <c r="AX634" i="1"/>
  <c r="AX638" i="1"/>
  <c r="AX642" i="1"/>
  <c r="AX646" i="1"/>
  <c r="AX650" i="1"/>
  <c r="AX654" i="1"/>
  <c r="AX658" i="1"/>
  <c r="AX662" i="1"/>
  <c r="AX666" i="1"/>
  <c r="AX670" i="1"/>
  <c r="AX674" i="1"/>
  <c r="AX678" i="1"/>
  <c r="AX682" i="1"/>
  <c r="AX686" i="1"/>
  <c r="AX690" i="1"/>
  <c r="AX694" i="1"/>
  <c r="AX698" i="1"/>
  <c r="AX702" i="1"/>
  <c r="AX706" i="1"/>
  <c r="AX710" i="1"/>
  <c r="AX714" i="1"/>
  <c r="AX718" i="1"/>
  <c r="AX722" i="1"/>
  <c r="AX726" i="1"/>
  <c r="AX730" i="1"/>
  <c r="AX734" i="1"/>
  <c r="AX738" i="1"/>
  <c r="AX742" i="1"/>
  <c r="AX746" i="1"/>
  <c r="AX750" i="1"/>
  <c r="AX754" i="1"/>
  <c r="AX758" i="1"/>
  <c r="AX762" i="1"/>
  <c r="AX766" i="1"/>
  <c r="AX770" i="1"/>
  <c r="AX774" i="1"/>
  <c r="AX778" i="1"/>
  <c r="AX782" i="1"/>
  <c r="AX786" i="1"/>
  <c r="AX790" i="1"/>
  <c r="AX794" i="1"/>
  <c r="AX798" i="1"/>
  <c r="AX802" i="1"/>
  <c r="AX806" i="1"/>
  <c r="AX810" i="1"/>
  <c r="AX814" i="1"/>
  <c r="AX818" i="1"/>
  <c r="AX822" i="1"/>
  <c r="AX826" i="1"/>
  <c r="AX830" i="1"/>
  <c r="AX834" i="1"/>
  <c r="AX838" i="1"/>
  <c r="AX842" i="1"/>
  <c r="AX846" i="1"/>
  <c r="AX850" i="1"/>
  <c r="AX854" i="1"/>
  <c r="AX9" i="1"/>
  <c r="AX15" i="1"/>
  <c r="AX20" i="1"/>
  <c r="AX25" i="1"/>
  <c r="AX31" i="1"/>
  <c r="AX36" i="1"/>
  <c r="AX41" i="1"/>
  <c r="AX47" i="1"/>
  <c r="AX52" i="1"/>
  <c r="AX57" i="1"/>
  <c r="AX63" i="1"/>
  <c r="AX68" i="1"/>
  <c r="AX73" i="1"/>
  <c r="AX79" i="1"/>
  <c r="AX84" i="1"/>
  <c r="AX89" i="1"/>
  <c r="AX95" i="1"/>
  <c r="AX100" i="1"/>
  <c r="AX105" i="1"/>
  <c r="AX111" i="1"/>
  <c r="AX116" i="1"/>
  <c r="AX121" i="1"/>
  <c r="AX127" i="1"/>
  <c r="AX132" i="1"/>
  <c r="AX137" i="1"/>
  <c r="AX143" i="1"/>
  <c r="AX148" i="1"/>
  <c r="AX153" i="1"/>
  <c r="AX159" i="1"/>
  <c r="AX164" i="1"/>
  <c r="AX169" i="1"/>
  <c r="AX175" i="1"/>
  <c r="AX180" i="1"/>
  <c r="AX185" i="1"/>
  <c r="AX191" i="1"/>
  <c r="AX196" i="1"/>
  <c r="AX201" i="1"/>
  <c r="AX207" i="1"/>
  <c r="AX212" i="1"/>
  <c r="AX217" i="1"/>
  <c r="AX223" i="1"/>
  <c r="AX228" i="1"/>
  <c r="AX233" i="1"/>
  <c r="AX239" i="1"/>
  <c r="AX244" i="1"/>
  <c r="AX249" i="1"/>
  <c r="AX255" i="1"/>
  <c r="AX260" i="1"/>
  <c r="AX265" i="1"/>
  <c r="AX271" i="1"/>
  <c r="AX276" i="1"/>
  <c r="AX281" i="1"/>
  <c r="AX287" i="1"/>
  <c r="AX292" i="1"/>
  <c r="AX297" i="1"/>
  <c r="AX303" i="1"/>
  <c r="AX308" i="1"/>
  <c r="AX313" i="1"/>
  <c r="AX319" i="1"/>
  <c r="AX324" i="1"/>
  <c r="AX329" i="1"/>
  <c r="AX335" i="1"/>
  <c r="AX340" i="1"/>
  <c r="AX345" i="1"/>
  <c r="AX351" i="1"/>
  <c r="AX356" i="1"/>
  <c r="AX361" i="1"/>
  <c r="AX367" i="1"/>
  <c r="AX372" i="1"/>
  <c r="AX377" i="1"/>
  <c r="AX383" i="1"/>
  <c r="AX388" i="1"/>
  <c r="AX393" i="1"/>
  <c r="AX399" i="1"/>
  <c r="AX404" i="1"/>
  <c r="AX409" i="1"/>
  <c r="AX415" i="1"/>
  <c r="AX420" i="1"/>
  <c r="AX425" i="1"/>
  <c r="AX431" i="1"/>
  <c r="AX436" i="1"/>
  <c r="AX441" i="1"/>
  <c r="AX447" i="1"/>
  <c r="AX452" i="1"/>
  <c r="AX457" i="1"/>
  <c r="AX463" i="1"/>
  <c r="AX468" i="1"/>
  <c r="AX473" i="1"/>
  <c r="AX479" i="1"/>
  <c r="AX484" i="1"/>
  <c r="AX489" i="1"/>
  <c r="AX495" i="1"/>
  <c r="AX500" i="1"/>
  <c r="AX505" i="1"/>
  <c r="AX511" i="1"/>
  <c r="AX516" i="1"/>
  <c r="AX521" i="1"/>
  <c r="AX527" i="1"/>
  <c r="AX532" i="1"/>
  <c r="AX537" i="1"/>
  <c r="AX543" i="1"/>
  <c r="AX548" i="1"/>
  <c r="AX553" i="1"/>
  <c r="AX559" i="1"/>
  <c r="AX564" i="1"/>
  <c r="AX569" i="1"/>
  <c r="AX575" i="1"/>
  <c r="AX580" i="1"/>
  <c r="AX585" i="1"/>
  <c r="AX591" i="1"/>
  <c r="AX596" i="1"/>
  <c r="AX601" i="1"/>
  <c r="AX607" i="1"/>
  <c r="AX612" i="1"/>
  <c r="AX617" i="1"/>
  <c r="AX623" i="1"/>
  <c r="AX628" i="1"/>
  <c r="AX633" i="1"/>
  <c r="AX639" i="1"/>
  <c r="AX644" i="1"/>
  <c r="AX649" i="1"/>
  <c r="AX655" i="1"/>
  <c r="AX660" i="1"/>
  <c r="AX665" i="1"/>
  <c r="AX671" i="1"/>
  <c r="AX676" i="1"/>
  <c r="AX681" i="1"/>
  <c r="AX687" i="1"/>
  <c r="AX692" i="1"/>
  <c r="AX697" i="1"/>
  <c r="AX703" i="1"/>
  <c r="AX708" i="1"/>
  <c r="AX11" i="1"/>
  <c r="AX16" i="1"/>
  <c r="AX21" i="1"/>
  <c r="AX27" i="1"/>
  <c r="AX32" i="1"/>
  <c r="AX37" i="1"/>
  <c r="AX43" i="1"/>
  <c r="AX48" i="1"/>
  <c r="AX53" i="1"/>
  <c r="AX59" i="1"/>
  <c r="AX64" i="1"/>
  <c r="AX69" i="1"/>
  <c r="AX75" i="1"/>
  <c r="AX80" i="1"/>
  <c r="AX85" i="1"/>
  <c r="AX91" i="1"/>
  <c r="AX96" i="1"/>
  <c r="AX101" i="1"/>
  <c r="AX107" i="1"/>
  <c r="AX112" i="1"/>
  <c r="AX117" i="1"/>
  <c r="AX123" i="1"/>
  <c r="AX128" i="1"/>
  <c r="AX133" i="1"/>
  <c r="AX139" i="1"/>
  <c r="AX144" i="1"/>
  <c r="AX149" i="1"/>
  <c r="AX155" i="1"/>
  <c r="AX160" i="1"/>
  <c r="AX165" i="1"/>
  <c r="AX171" i="1"/>
  <c r="AX176" i="1"/>
  <c r="AX181" i="1"/>
  <c r="AX187" i="1"/>
  <c r="AX192" i="1"/>
  <c r="AX197" i="1"/>
  <c r="AX203" i="1"/>
  <c r="AX208" i="1"/>
  <c r="AX213" i="1"/>
  <c r="AX219" i="1"/>
  <c r="AX224" i="1"/>
  <c r="AX229" i="1"/>
  <c r="AX235" i="1"/>
  <c r="AX240" i="1"/>
  <c r="AX245" i="1"/>
  <c r="AX251" i="1"/>
  <c r="AX256" i="1"/>
  <c r="AX261" i="1"/>
  <c r="AX267" i="1"/>
  <c r="AX272" i="1"/>
  <c r="AX277" i="1"/>
  <c r="AX283" i="1"/>
  <c r="AX288" i="1"/>
  <c r="AX293" i="1"/>
  <c r="AX299" i="1"/>
  <c r="AX304" i="1"/>
  <c r="AX309" i="1"/>
  <c r="AX315" i="1"/>
  <c r="AX320" i="1"/>
  <c r="AX325" i="1"/>
  <c r="AX331" i="1"/>
  <c r="AX336" i="1"/>
  <c r="AX341" i="1"/>
  <c r="AX347" i="1"/>
  <c r="AX352" i="1"/>
  <c r="AX357" i="1"/>
  <c r="AX363" i="1"/>
  <c r="AX368" i="1"/>
  <c r="AX373" i="1"/>
  <c r="AX379" i="1"/>
  <c r="AX384" i="1"/>
  <c r="AX389" i="1"/>
  <c r="AX395" i="1"/>
  <c r="AX400" i="1"/>
  <c r="AX405" i="1"/>
  <c r="AX411" i="1"/>
  <c r="AX416" i="1"/>
  <c r="AX421" i="1"/>
  <c r="AX427" i="1"/>
  <c r="AX432" i="1"/>
  <c r="AX437" i="1"/>
  <c r="AX443" i="1"/>
  <c r="AX448" i="1"/>
  <c r="AX453" i="1"/>
  <c r="AX459" i="1"/>
  <c r="AX464" i="1"/>
  <c r="AX469" i="1"/>
  <c r="AX475" i="1"/>
  <c r="AX480" i="1"/>
  <c r="AX485" i="1"/>
  <c r="AX491" i="1"/>
  <c r="AX496" i="1"/>
  <c r="AX501" i="1"/>
  <c r="AX507" i="1"/>
  <c r="AX512" i="1"/>
  <c r="AX517" i="1"/>
  <c r="AX523" i="1"/>
  <c r="AX528" i="1"/>
  <c r="AX533" i="1"/>
  <c r="AX539" i="1"/>
  <c r="AX544" i="1"/>
  <c r="AX549" i="1"/>
  <c r="AX555" i="1"/>
  <c r="AX560" i="1"/>
  <c r="AX565" i="1"/>
  <c r="AX571" i="1"/>
  <c r="AX576" i="1"/>
  <c r="AX581" i="1"/>
  <c r="AX587" i="1"/>
  <c r="AX592" i="1"/>
  <c r="AX597" i="1"/>
  <c r="AX603" i="1"/>
  <c r="AX608" i="1"/>
  <c r="AX613" i="1"/>
  <c r="AX619" i="1"/>
  <c r="AX624" i="1"/>
  <c r="AX629" i="1"/>
  <c r="AX635" i="1"/>
  <c r="AX640" i="1"/>
  <c r="AX645" i="1"/>
  <c r="AX651" i="1"/>
  <c r="AX656" i="1"/>
  <c r="AX661" i="1"/>
  <c r="AX667" i="1"/>
  <c r="AX672" i="1"/>
  <c r="AX677" i="1"/>
  <c r="AX683" i="1"/>
  <c r="AX688" i="1"/>
  <c r="AX693" i="1"/>
  <c r="AX699" i="1"/>
  <c r="AX704" i="1"/>
  <c r="AX709" i="1"/>
  <c r="AX12" i="1"/>
  <c r="AX17" i="1"/>
  <c r="AX23" i="1"/>
  <c r="AX28" i="1"/>
  <c r="AX33" i="1"/>
  <c r="AX39" i="1"/>
  <c r="AX44" i="1"/>
  <c r="AX49" i="1"/>
  <c r="AX55" i="1"/>
  <c r="AX60" i="1"/>
  <c r="AX65" i="1"/>
  <c r="AX71" i="1"/>
  <c r="AX76" i="1"/>
  <c r="AX81" i="1"/>
  <c r="AX87" i="1"/>
  <c r="AX92" i="1"/>
  <c r="AX97" i="1"/>
  <c r="AX103" i="1"/>
  <c r="AX108" i="1"/>
  <c r="AX113" i="1"/>
  <c r="AX119" i="1"/>
  <c r="AX124" i="1"/>
  <c r="AX129" i="1"/>
  <c r="AX135" i="1"/>
  <c r="AX140" i="1"/>
  <c r="AX145" i="1"/>
  <c r="AX151" i="1"/>
  <c r="AX156" i="1"/>
  <c r="AX161" i="1"/>
  <c r="AX167" i="1"/>
  <c r="AX172" i="1"/>
  <c r="AX177" i="1"/>
  <c r="AX183" i="1"/>
  <c r="AX188" i="1"/>
  <c r="AX193" i="1"/>
  <c r="AX199" i="1"/>
  <c r="AX204" i="1"/>
  <c r="AX209" i="1"/>
  <c r="AX215" i="1"/>
  <c r="AX220" i="1"/>
  <c r="AX225" i="1"/>
  <c r="AX231" i="1"/>
  <c r="AX236" i="1"/>
  <c r="AX241" i="1"/>
  <c r="AX247" i="1"/>
  <c r="AX252" i="1"/>
  <c r="AX257" i="1"/>
  <c r="AX263" i="1"/>
  <c r="AX268" i="1"/>
  <c r="AX273" i="1"/>
  <c r="AX279" i="1"/>
  <c r="AX284" i="1"/>
  <c r="AX289" i="1"/>
  <c r="AX295" i="1"/>
  <c r="AX300" i="1"/>
  <c r="AX305" i="1"/>
  <c r="AX311" i="1"/>
  <c r="AX316" i="1"/>
  <c r="AX321" i="1"/>
  <c r="AX327" i="1"/>
  <c r="AX332" i="1"/>
  <c r="AX337" i="1"/>
  <c r="AX343" i="1"/>
  <c r="AX348" i="1"/>
  <c r="AX353" i="1"/>
  <c r="AX359" i="1"/>
  <c r="AX364" i="1"/>
  <c r="AX369" i="1"/>
  <c r="AX375" i="1"/>
  <c r="AX380" i="1"/>
  <c r="AX385" i="1"/>
  <c r="AX391" i="1"/>
  <c r="AX396" i="1"/>
  <c r="AX401" i="1"/>
  <c r="AX407" i="1"/>
  <c r="AX412" i="1"/>
  <c r="AX417" i="1"/>
  <c r="AX423" i="1"/>
  <c r="AX428" i="1"/>
  <c r="AX433" i="1"/>
  <c r="AX439" i="1"/>
  <c r="AX444" i="1"/>
  <c r="AX449" i="1"/>
  <c r="AX455" i="1"/>
  <c r="AX460" i="1"/>
  <c r="AX465" i="1"/>
  <c r="AX471" i="1"/>
  <c r="AX476" i="1"/>
  <c r="AX481" i="1"/>
  <c r="AX487" i="1"/>
  <c r="AX492" i="1"/>
  <c r="AX497" i="1"/>
  <c r="AX503" i="1"/>
  <c r="AX508" i="1"/>
  <c r="AX513" i="1"/>
  <c r="AX519" i="1"/>
  <c r="AX524" i="1"/>
  <c r="AX529" i="1"/>
  <c r="AX535" i="1"/>
  <c r="AX540" i="1"/>
  <c r="AX545" i="1"/>
  <c r="AX551" i="1"/>
  <c r="AX556" i="1"/>
  <c r="AX561" i="1"/>
  <c r="AX567" i="1"/>
  <c r="AX572" i="1"/>
  <c r="AX577" i="1"/>
  <c r="AX583" i="1"/>
  <c r="AX588" i="1"/>
  <c r="AX593" i="1"/>
  <c r="AX599" i="1"/>
  <c r="AX604" i="1"/>
  <c r="AX609" i="1"/>
  <c r="AX615" i="1"/>
  <c r="AX620" i="1"/>
  <c r="AX625" i="1"/>
  <c r="AX631" i="1"/>
  <c r="AX636" i="1"/>
  <c r="AX641" i="1"/>
  <c r="AX647" i="1"/>
  <c r="AX652" i="1"/>
  <c r="AX657" i="1"/>
  <c r="AX663" i="1"/>
  <c r="AX668" i="1"/>
  <c r="AX673" i="1"/>
  <c r="AX679" i="1"/>
  <c r="AX684" i="1"/>
  <c r="AX689" i="1"/>
  <c r="AX695" i="1"/>
  <c r="AX700" i="1"/>
  <c r="AX705" i="1"/>
  <c r="AX711" i="1"/>
  <c r="AX716" i="1"/>
  <c r="AX721" i="1"/>
  <c r="AX727" i="1"/>
  <c r="AX732" i="1"/>
  <c r="AX737" i="1"/>
  <c r="AX743" i="1"/>
  <c r="AX748" i="1"/>
  <c r="AX753" i="1"/>
  <c r="AX759" i="1"/>
  <c r="AX764" i="1"/>
  <c r="AX769" i="1"/>
  <c r="AX775" i="1"/>
  <c r="AX780" i="1"/>
  <c r="AX785" i="1"/>
  <c r="AX791" i="1"/>
  <c r="AX796" i="1"/>
  <c r="AX801" i="1"/>
  <c r="AX807" i="1"/>
  <c r="AX812" i="1"/>
  <c r="AX817" i="1"/>
  <c r="AX823" i="1"/>
  <c r="AX828" i="1"/>
  <c r="AX833" i="1"/>
  <c r="AX839" i="1"/>
  <c r="AX844" i="1"/>
  <c r="AX849" i="1"/>
  <c r="AX855" i="1"/>
  <c r="AX859" i="1"/>
  <c r="AX863" i="1"/>
  <c r="AX867" i="1"/>
  <c r="AX871" i="1"/>
  <c r="AX875" i="1"/>
  <c r="AX879" i="1"/>
  <c r="AX883" i="1"/>
  <c r="AX887" i="1"/>
  <c r="AX891" i="1"/>
  <c r="AX895" i="1"/>
  <c r="AX899" i="1"/>
  <c r="AX903" i="1"/>
  <c r="AX907" i="1"/>
  <c r="AX911" i="1"/>
  <c r="AX915" i="1"/>
  <c r="AX919" i="1"/>
  <c r="AX923" i="1"/>
  <c r="AX927" i="1"/>
  <c r="AX931" i="1"/>
  <c r="AX935" i="1"/>
  <c r="AX939" i="1"/>
  <c r="AX943" i="1"/>
  <c r="AX947" i="1"/>
  <c r="AX951" i="1"/>
  <c r="AX955" i="1"/>
  <c r="AX959" i="1"/>
  <c r="AX963" i="1"/>
  <c r="AX967" i="1"/>
  <c r="AX971" i="1"/>
  <c r="AX975" i="1"/>
  <c r="AX979" i="1"/>
  <c r="AX983" i="1"/>
  <c r="AX987" i="1"/>
  <c r="AX991" i="1"/>
  <c r="AX995" i="1"/>
  <c r="AX999" i="1"/>
  <c r="AX1003" i="1"/>
  <c r="AX1007" i="1"/>
  <c r="AX994" i="1"/>
  <c r="AX978" i="1"/>
  <c r="AX962" i="1"/>
  <c r="AX946" i="1"/>
  <c r="AX930" i="1"/>
  <c r="AX914" i="1"/>
  <c r="AX898" i="1"/>
  <c r="AX888" i="1"/>
  <c r="AX872" i="1"/>
  <c r="AX856" i="1"/>
  <c r="AX841" i="1"/>
  <c r="AX835" i="1"/>
  <c r="AX827" i="1"/>
  <c r="AX813" i="1"/>
  <c r="AX805" i="1"/>
  <c r="AX799" i="1"/>
  <c r="AX792" i="1"/>
  <c r="AX784" i="1"/>
  <c r="AX777" i="1"/>
  <c r="AX771" i="1"/>
  <c r="AX763" i="1"/>
  <c r="AX756" i="1"/>
  <c r="AX749" i="1"/>
  <c r="AX741" i="1"/>
  <c r="AX735" i="1"/>
  <c r="AX728" i="1"/>
  <c r="AX720" i="1"/>
  <c r="AX713" i="1"/>
  <c r="AX696" i="1"/>
  <c r="AX675" i="1"/>
  <c r="AX653" i="1"/>
  <c r="AX632" i="1"/>
  <c r="AX611" i="1"/>
  <c r="AX589" i="1"/>
  <c r="AX568" i="1"/>
  <c r="AX547" i="1"/>
  <c r="AX525" i="1"/>
  <c r="AX504" i="1"/>
  <c r="AX483" i="1"/>
  <c r="AX461" i="1"/>
  <c r="AX440" i="1"/>
  <c r="AX419" i="1"/>
  <c r="AX397" i="1"/>
  <c r="AX376" i="1"/>
  <c r="AX355" i="1"/>
  <c r="AX333" i="1"/>
  <c r="AX312" i="1"/>
  <c r="AX291" i="1"/>
  <c r="AX269" i="1"/>
  <c r="AX248" i="1"/>
  <c r="AX227" i="1"/>
  <c r="AX205" i="1"/>
  <c r="AX184" i="1"/>
  <c r="AX163" i="1"/>
  <c r="AX141" i="1"/>
  <c r="AX120" i="1"/>
  <c r="AX99" i="1"/>
  <c r="AX77" i="1"/>
  <c r="AX56" i="1"/>
  <c r="AX35" i="1"/>
  <c r="AX13" i="1"/>
  <c r="AX1005" i="1"/>
  <c r="AX1000" i="1"/>
  <c r="AX989" i="1"/>
  <c r="AX984" i="1"/>
  <c r="AX973" i="1"/>
  <c r="AX968" i="1"/>
  <c r="AX957" i="1"/>
  <c r="AX952" i="1"/>
  <c r="AX941" i="1"/>
  <c r="AX936" i="1"/>
  <c r="AX925" i="1"/>
  <c r="AX920" i="1"/>
  <c r="AX909" i="1"/>
  <c r="AX904" i="1"/>
  <c r="AX893" i="1"/>
  <c r="AX882" i="1"/>
  <c r="AX877" i="1"/>
  <c r="AX866" i="1"/>
  <c r="AX861" i="1"/>
  <c r="AX848" i="1"/>
  <c r="AX820" i="1"/>
  <c r="AX870" i="1"/>
  <c r="AX392" i="1"/>
  <c r="AC12" i="1"/>
  <c r="V12" i="1"/>
  <c r="Q12" i="1"/>
  <c r="AB13" i="1"/>
  <c r="P12" i="1"/>
  <c r="F35" i="1"/>
  <c r="F36" i="1" s="1"/>
  <c r="F46" i="1"/>
  <c r="F57" i="1"/>
  <c r="F58" i="1" s="1"/>
  <c r="F47" i="1" l="1"/>
  <c r="AC13" i="1"/>
  <c r="V13" i="1"/>
  <c r="P13" i="1"/>
  <c r="Q13" i="1"/>
  <c r="BT7" i="1" l="1"/>
  <c r="Q14" i="1"/>
  <c r="P14" i="1"/>
  <c r="AB14" i="1"/>
  <c r="AC14" i="1"/>
  <c r="V14" i="1"/>
  <c r="CD8" i="1" l="1"/>
  <c r="BT8" i="1" s="1"/>
  <c r="BX8" i="1"/>
  <c r="BD8" i="1"/>
  <c r="BF8" i="1"/>
  <c r="P15" i="1"/>
  <c r="AB15" i="1"/>
  <c r="V15" i="1"/>
  <c r="Q15" i="1"/>
  <c r="AC15" i="1"/>
  <c r="BV8" i="1" l="1"/>
  <c r="BR8" i="1"/>
  <c r="BN8" i="1"/>
  <c r="AC16" i="1"/>
  <c r="AB16" i="1"/>
  <c r="V16" i="1"/>
  <c r="Q16" i="1"/>
  <c r="P16" i="1"/>
  <c r="BP8" i="1" l="1"/>
  <c r="BH8" i="1"/>
  <c r="AC17" i="1"/>
  <c r="AB17" i="1"/>
  <c r="Q17" i="1"/>
  <c r="P17" i="1"/>
  <c r="V17" i="1"/>
  <c r="BJ8" i="1" l="1"/>
  <c r="BB9" i="1" s="1"/>
  <c r="V18" i="1"/>
  <c r="AC18" i="1"/>
  <c r="Q18" i="1"/>
  <c r="AB18" i="1"/>
  <c r="P18" i="1"/>
  <c r="BD9" i="1" l="1"/>
  <c r="BF9" i="1"/>
  <c r="P19" i="1"/>
  <c r="AC19" i="1"/>
  <c r="Q19" i="1"/>
  <c r="AB19" i="1"/>
  <c r="V19" i="1"/>
  <c r="CF9" i="1" l="1"/>
  <c r="BX9" i="1" s="1"/>
  <c r="CD9" i="1"/>
  <c r="BT9" i="1" s="1"/>
  <c r="CB9" i="1"/>
  <c r="BP9" i="1" s="1"/>
  <c r="AC20" i="1"/>
  <c r="AB20" i="1"/>
  <c r="V20" i="1"/>
  <c r="Q20" i="1"/>
  <c r="P20" i="1"/>
  <c r="BR9" i="1" l="1"/>
  <c r="BN9" i="1"/>
  <c r="BV9" i="1"/>
  <c r="BJ9" i="1"/>
  <c r="BB10" i="1" s="1"/>
  <c r="AC21" i="1"/>
  <c r="AB21" i="1"/>
  <c r="Q21" i="1"/>
  <c r="P21" i="1"/>
  <c r="V21" i="1"/>
  <c r="BH9" i="1" l="1"/>
  <c r="AZ10" i="1" s="1"/>
  <c r="BF10" i="1"/>
  <c r="V22" i="1"/>
  <c r="AC22" i="1"/>
  <c r="Q22" i="1"/>
  <c r="P22" i="1"/>
  <c r="AB22" i="1"/>
  <c r="CF10" i="1" l="1"/>
  <c r="BX10" i="1" s="1"/>
  <c r="CD10" i="1"/>
  <c r="BT10" i="1" s="1"/>
  <c r="BD10" i="1"/>
  <c r="P23" i="1"/>
  <c r="AB23" i="1"/>
  <c r="V23" i="1"/>
  <c r="AC23" i="1"/>
  <c r="Q23" i="1"/>
  <c r="BR10" i="1" l="1"/>
  <c r="BV10" i="1"/>
  <c r="CB10" i="1"/>
  <c r="BN10" i="1" s="1"/>
  <c r="AC24" i="1"/>
  <c r="AB24" i="1"/>
  <c r="V24" i="1"/>
  <c r="Q24" i="1"/>
  <c r="P24" i="1"/>
  <c r="BP10" i="1" l="1"/>
  <c r="BJ10" i="1" s="1"/>
  <c r="BB11" i="1" s="1"/>
  <c r="AC25" i="1"/>
  <c r="AB25" i="1"/>
  <c r="Q25" i="1"/>
  <c r="P25" i="1"/>
  <c r="V25" i="1"/>
  <c r="BH10" i="1" l="1"/>
  <c r="AZ11" i="1" s="1"/>
  <c r="BF11" i="1"/>
  <c r="V26" i="1"/>
  <c r="AB26" i="1"/>
  <c r="Q26" i="1"/>
  <c r="P26" i="1"/>
  <c r="AC26" i="1"/>
  <c r="CF11" i="1" l="1"/>
  <c r="BV11" i="1" s="1"/>
  <c r="CD11" i="1"/>
  <c r="BT11" i="1" s="1"/>
  <c r="CB11" i="1"/>
  <c r="BP11" i="1" s="1"/>
  <c r="BD11" i="1"/>
  <c r="P27" i="1"/>
  <c r="AC27" i="1"/>
  <c r="Q27" i="1"/>
  <c r="AB27" i="1"/>
  <c r="V27" i="1"/>
  <c r="BN11" i="1" l="1"/>
  <c r="BR11" i="1"/>
  <c r="BX11" i="1"/>
  <c r="AC28" i="1"/>
  <c r="AB28" i="1"/>
  <c r="V28" i="1"/>
  <c r="Q28" i="1"/>
  <c r="P28" i="1"/>
  <c r="BH11" i="1" l="1"/>
  <c r="AZ12" i="1" s="1"/>
  <c r="BJ11" i="1"/>
  <c r="BB12" i="1" s="1"/>
  <c r="AC29" i="1"/>
  <c r="AB29" i="1"/>
  <c r="V29" i="1"/>
  <c r="Q29" i="1"/>
  <c r="P29" i="1"/>
  <c r="CD12" i="1" l="1"/>
  <c r="BT12" i="1" s="1"/>
  <c r="CF12" i="1"/>
  <c r="BV12" i="1" s="1"/>
  <c r="BD12" i="1"/>
  <c r="BF12" i="1"/>
  <c r="CB12" i="1"/>
  <c r="BP12" i="1" s="1"/>
  <c r="Q30" i="1"/>
  <c r="P30" i="1"/>
  <c r="AB30" i="1"/>
  <c r="AC30" i="1"/>
  <c r="V30" i="1"/>
  <c r="BN12" i="1" l="1"/>
  <c r="BR12" i="1"/>
  <c r="BX12" i="1"/>
  <c r="P31" i="1"/>
  <c r="AB31" i="1"/>
  <c r="Q31" i="1"/>
  <c r="AC31" i="1"/>
  <c r="V31" i="1"/>
  <c r="BH12" i="1" l="1"/>
  <c r="AZ13" i="1" s="1"/>
  <c r="BJ12" i="1"/>
  <c r="BB13" i="1" s="1"/>
  <c r="AC32" i="1"/>
  <c r="AB32" i="1"/>
  <c r="V32" i="1"/>
  <c r="Q32" i="1"/>
  <c r="P32" i="1"/>
  <c r="CF13" i="1" l="1"/>
  <c r="BX13" i="1" s="1"/>
  <c r="CD13" i="1"/>
  <c r="BR13" i="1" s="1"/>
  <c r="BD13" i="1"/>
  <c r="BF13" i="1"/>
  <c r="CB13" i="1"/>
  <c r="BN13" i="1" s="1"/>
  <c r="AC33" i="1"/>
  <c r="AB33" i="1"/>
  <c r="Q33" i="1"/>
  <c r="V33" i="1"/>
  <c r="P33" i="1"/>
  <c r="BP13" i="1" l="1"/>
  <c r="BT13" i="1"/>
  <c r="BV13" i="1"/>
  <c r="V34" i="1"/>
  <c r="AC34" i="1"/>
  <c r="Q34" i="1"/>
  <c r="P34" i="1"/>
  <c r="AB34" i="1"/>
  <c r="BH13" i="1" l="1"/>
  <c r="AZ14" i="1" s="1"/>
  <c r="BJ13" i="1"/>
  <c r="BB14" i="1" s="1"/>
  <c r="AC35" i="1"/>
  <c r="Q35" i="1"/>
  <c r="P35" i="1"/>
  <c r="AB35" i="1"/>
  <c r="V35" i="1"/>
  <c r="CF14" i="1" l="1"/>
  <c r="BX14" i="1" s="1"/>
  <c r="CD14" i="1"/>
  <c r="BT14" i="1" s="1"/>
  <c r="BD14" i="1"/>
  <c r="BF14" i="1"/>
  <c r="AC36" i="1"/>
  <c r="AB36" i="1"/>
  <c r="V36" i="1"/>
  <c r="Q36" i="1"/>
  <c r="P36" i="1"/>
  <c r="BR14" i="1" l="1"/>
  <c r="BV14" i="1"/>
  <c r="CB14" i="1"/>
  <c r="BN14" i="1" s="1"/>
  <c r="AC37" i="1"/>
  <c r="AB37" i="1"/>
  <c r="V37" i="1"/>
  <c r="P37" i="1"/>
  <c r="Q37" i="1"/>
  <c r="BP14" i="1" l="1"/>
  <c r="BJ14" i="1" s="1"/>
  <c r="BB15" i="1" s="1"/>
  <c r="BH14" i="1"/>
  <c r="AZ15" i="1" s="1"/>
  <c r="V38" i="1"/>
  <c r="P38" i="1"/>
  <c r="AC38" i="1"/>
  <c r="Q38" i="1"/>
  <c r="AB38" i="1"/>
  <c r="CF15" i="1" l="1"/>
  <c r="BX15" i="1" s="1"/>
  <c r="CD15" i="1"/>
  <c r="BR15" i="1" s="1"/>
  <c r="BD15" i="1"/>
  <c r="BF15" i="1"/>
  <c r="AB39" i="1"/>
  <c r="V39" i="1"/>
  <c r="P39" i="1"/>
  <c r="AC39" i="1"/>
  <c r="Q39" i="1"/>
  <c r="BT15" i="1" l="1"/>
  <c r="BV15" i="1"/>
  <c r="CB15" i="1"/>
  <c r="BN15" i="1" s="1"/>
  <c r="AC40" i="1"/>
  <c r="AB40" i="1"/>
  <c r="V40" i="1"/>
  <c r="Q40" i="1"/>
  <c r="P40" i="1"/>
  <c r="BP15" i="1" l="1"/>
  <c r="BH15" i="1"/>
  <c r="AZ16" i="1" s="1"/>
  <c r="AC41" i="1"/>
  <c r="AB41" i="1"/>
  <c r="Q41" i="1"/>
  <c r="V41" i="1"/>
  <c r="P41" i="1"/>
  <c r="BJ15" i="1" l="1"/>
  <c r="BD16" i="1"/>
  <c r="AB42" i="1"/>
  <c r="Q42" i="1"/>
  <c r="V42" i="1"/>
  <c r="AC42" i="1"/>
  <c r="P42" i="1"/>
  <c r="BF16" i="1" l="1"/>
  <c r="BB16" i="1"/>
  <c r="AC43" i="1"/>
  <c r="P43" i="1"/>
  <c r="Q43" i="1"/>
  <c r="V43" i="1"/>
  <c r="AB43" i="1"/>
  <c r="CF16" i="1" l="1"/>
  <c r="BV16" i="1" s="1"/>
  <c r="CD16" i="1"/>
  <c r="BR16" i="1" s="1"/>
  <c r="CB16" i="1"/>
  <c r="BN16" i="1" s="1"/>
  <c r="AC44" i="1"/>
  <c r="AB44" i="1"/>
  <c r="V44" i="1"/>
  <c r="Q44" i="1"/>
  <c r="P44" i="1"/>
  <c r="BP16" i="1" l="1"/>
  <c r="BT16" i="1"/>
  <c r="BX16" i="1"/>
  <c r="BH16" i="1"/>
  <c r="AZ17" i="1" s="1"/>
  <c r="AC45" i="1"/>
  <c r="AB45" i="1"/>
  <c r="V45" i="1"/>
  <c r="P45" i="1"/>
  <c r="Q45" i="1"/>
  <c r="BJ16" i="1" l="1"/>
  <c r="BF17" i="1" s="1"/>
  <c r="BD17" i="1"/>
  <c r="Q46" i="1"/>
  <c r="AB46" i="1"/>
  <c r="P46" i="1"/>
  <c r="AC46" i="1"/>
  <c r="V46" i="1"/>
  <c r="BB17" i="1" l="1"/>
  <c r="AB47" i="1"/>
  <c r="P47" i="1"/>
  <c r="V47" i="1"/>
  <c r="Q47" i="1"/>
  <c r="AC47" i="1"/>
  <c r="CD17" i="1" l="1"/>
  <c r="CF17" i="1"/>
  <c r="CB17" i="1"/>
  <c r="BN17" i="1" s="1"/>
  <c r="AC48" i="1"/>
  <c r="AB48" i="1"/>
  <c r="V48" i="1"/>
  <c r="Q48" i="1"/>
  <c r="P48" i="1"/>
  <c r="BP17" i="1" l="1"/>
  <c r="BT17" i="1"/>
  <c r="BR17" i="1"/>
  <c r="BX17" i="1"/>
  <c r="BV17" i="1"/>
  <c r="AC49" i="1"/>
  <c r="AB49" i="1"/>
  <c r="V49" i="1"/>
  <c r="Q49" i="1"/>
  <c r="P49" i="1"/>
  <c r="BH17" i="1" l="1"/>
  <c r="AZ18" i="1" s="1"/>
  <c r="BJ17" i="1"/>
  <c r="BB18" i="1" s="1"/>
  <c r="V50" i="1"/>
  <c r="AC50" i="1"/>
  <c r="Q50" i="1"/>
  <c r="AB50" i="1"/>
  <c r="P50" i="1"/>
  <c r="BD18" i="1" l="1"/>
  <c r="CD18" i="1"/>
  <c r="BT18" i="1" s="1"/>
  <c r="CF18" i="1"/>
  <c r="CB18" i="1"/>
  <c r="BP18" i="1" s="1"/>
  <c r="BF18" i="1"/>
  <c r="AC51" i="1"/>
  <c r="Q51" i="1"/>
  <c r="P51" i="1"/>
  <c r="AB51" i="1"/>
  <c r="V51" i="1"/>
  <c r="BN18" i="1" l="1"/>
  <c r="BR18" i="1"/>
  <c r="BX18" i="1"/>
  <c r="BJ18" i="1" s="1"/>
  <c r="BB19" i="1" s="1"/>
  <c r="BV18" i="1"/>
  <c r="AC52" i="1"/>
  <c r="AB52" i="1"/>
  <c r="V52" i="1"/>
  <c r="Q52" i="1"/>
  <c r="P52" i="1"/>
  <c r="BH18" i="1" l="1"/>
  <c r="AZ19" i="1" s="1"/>
  <c r="BF19" i="1"/>
  <c r="AC53" i="1"/>
  <c r="AB53" i="1"/>
  <c r="P53" i="1"/>
  <c r="Q53" i="1"/>
  <c r="V53" i="1"/>
  <c r="CB19" i="1" l="1"/>
  <c r="BP19" i="1" s="1"/>
  <c r="BD19" i="1"/>
  <c r="CF19" i="1"/>
  <c r="BX19" i="1" s="1"/>
  <c r="CD19" i="1"/>
  <c r="BR19" i="1" s="1"/>
  <c r="Q54" i="1"/>
  <c r="P54" i="1"/>
  <c r="AC54" i="1"/>
  <c r="AB54" i="1"/>
  <c r="V54" i="1"/>
  <c r="BN19" i="1" l="1"/>
  <c r="BV19" i="1"/>
  <c r="BT19" i="1"/>
  <c r="BJ19" i="1" s="1"/>
  <c r="BF20" i="1" s="1"/>
  <c r="AB55" i="1"/>
  <c r="V55" i="1"/>
  <c r="P55" i="1"/>
  <c r="AC55" i="1"/>
  <c r="Q55" i="1"/>
  <c r="BH19" i="1" l="1"/>
  <c r="AZ20" i="1" s="1"/>
  <c r="BD20" i="1"/>
  <c r="BB20" i="1"/>
  <c r="AC56" i="1"/>
  <c r="AB56" i="1"/>
  <c r="V56" i="1"/>
  <c r="Q56" i="1"/>
  <c r="P56" i="1"/>
  <c r="CD20" i="1" l="1"/>
  <c r="BR20" i="1" s="1"/>
  <c r="CF20" i="1"/>
  <c r="BX20" i="1" s="1"/>
  <c r="CB20" i="1"/>
  <c r="BP20" i="1" s="1"/>
  <c r="BT20" i="1"/>
  <c r="AC57" i="1"/>
  <c r="AB57" i="1"/>
  <c r="Q57" i="1"/>
  <c r="V57" i="1"/>
  <c r="P57" i="1"/>
  <c r="BN20" i="1" l="1"/>
  <c r="BV20" i="1"/>
  <c r="BJ20" i="1"/>
  <c r="BF21" i="1" s="1"/>
  <c r="V58" i="1"/>
  <c r="P58" i="1"/>
  <c r="AB58" i="1"/>
  <c r="Q58" i="1"/>
  <c r="AC58" i="1"/>
  <c r="BH20" i="1" l="1"/>
  <c r="AZ21" i="1" s="1"/>
  <c r="BB21" i="1"/>
  <c r="AC59" i="1"/>
  <c r="P59" i="1"/>
  <c r="V59" i="1"/>
  <c r="AB59" i="1"/>
  <c r="Q59" i="1"/>
  <c r="BD21" i="1" l="1"/>
  <c r="CB21" i="1"/>
  <c r="BN21" i="1" s="1"/>
  <c r="CD21" i="1"/>
  <c r="CF21" i="1"/>
  <c r="BV21" i="1" s="1"/>
  <c r="AC60" i="1"/>
  <c r="AB60" i="1"/>
  <c r="V60" i="1"/>
  <c r="Q60" i="1"/>
  <c r="P60" i="1"/>
  <c r="BP21" i="1" l="1"/>
  <c r="BT21" i="1"/>
  <c r="BR21" i="1"/>
  <c r="BH21" i="1" s="1"/>
  <c r="BX21" i="1"/>
  <c r="AC61" i="1"/>
  <c r="AB61" i="1"/>
  <c r="V61" i="1"/>
  <c r="P61" i="1"/>
  <c r="Q61" i="1"/>
  <c r="AZ22" i="1" l="1"/>
  <c r="BD22" i="1"/>
  <c r="BJ21" i="1"/>
  <c r="BB22" i="1" s="1"/>
  <c r="Q62" i="1"/>
  <c r="AB62" i="1"/>
  <c r="AC62" i="1"/>
  <c r="V62" i="1"/>
  <c r="P62" i="1"/>
  <c r="BF22" i="1" l="1"/>
  <c r="CF22" i="1"/>
  <c r="CD22" i="1"/>
  <c r="BR22" i="1" s="1"/>
  <c r="CB22" i="1"/>
  <c r="BN22" i="1" s="1"/>
  <c r="AB63" i="1"/>
  <c r="P63" i="1"/>
  <c r="Q63" i="1"/>
  <c r="AC63" i="1"/>
  <c r="V63" i="1"/>
  <c r="AF61" i="2" l="1"/>
  <c r="AF94" i="2"/>
  <c r="AF30" i="2"/>
  <c r="AF76" i="2"/>
  <c r="AF12" i="2"/>
  <c r="AF58" i="2"/>
  <c r="AF70" i="2"/>
  <c r="AF6" i="2"/>
  <c r="AF85" i="2"/>
  <c r="AF21" i="2"/>
  <c r="AF100" i="2"/>
  <c r="AF36" i="2"/>
  <c r="AF50" i="2"/>
  <c r="AF83" i="2"/>
  <c r="AF51" i="2"/>
  <c r="AF19" i="2"/>
  <c r="AF89" i="2"/>
  <c r="AF57" i="2"/>
  <c r="AF25" i="2"/>
  <c r="AF96" i="2"/>
  <c r="AF64" i="2"/>
  <c r="AF32" i="2"/>
  <c r="AF79" i="2"/>
  <c r="AF47" i="2"/>
  <c r="AF15" i="2"/>
  <c r="AF45" i="2"/>
  <c r="AF78" i="2"/>
  <c r="AF14" i="2"/>
  <c r="AF60" i="2"/>
  <c r="AF42" i="2"/>
  <c r="AF54" i="2"/>
  <c r="AF69" i="2"/>
  <c r="AF5" i="2"/>
  <c r="AF84" i="2"/>
  <c r="AF20" i="2"/>
  <c r="AF98" i="2"/>
  <c r="AF34" i="2"/>
  <c r="AF75" i="2"/>
  <c r="AF43" i="2"/>
  <c r="AF11" i="2"/>
  <c r="AF81" i="2"/>
  <c r="AF49" i="2"/>
  <c r="AF17" i="2"/>
  <c r="AF88" i="2"/>
  <c r="AF56" i="2"/>
  <c r="AF24" i="2"/>
  <c r="AF103" i="2"/>
  <c r="AF71" i="2"/>
  <c r="AF39" i="2"/>
  <c r="AF93" i="2"/>
  <c r="AF29" i="2"/>
  <c r="AF62" i="2"/>
  <c r="AF44" i="2"/>
  <c r="AF90" i="2"/>
  <c r="AF26" i="2"/>
  <c r="AF102" i="2"/>
  <c r="AF38" i="2"/>
  <c r="AF53" i="2"/>
  <c r="AF68" i="2"/>
  <c r="AF4" i="2"/>
  <c r="AF82" i="2"/>
  <c r="AF18" i="2"/>
  <c r="AF99" i="2"/>
  <c r="AF67" i="2"/>
  <c r="AF35" i="2"/>
  <c r="AF73" i="2"/>
  <c r="AF41" i="2"/>
  <c r="AF9" i="2"/>
  <c r="AF80" i="2"/>
  <c r="AF48" i="2"/>
  <c r="AF16" i="2"/>
  <c r="AF95" i="2"/>
  <c r="AF63" i="2"/>
  <c r="AF31" i="2"/>
  <c r="AF7" i="2"/>
  <c r="AF77" i="2"/>
  <c r="AF13" i="2"/>
  <c r="AF46" i="2"/>
  <c r="AF92" i="2"/>
  <c r="AF28" i="2"/>
  <c r="AF74" i="2"/>
  <c r="AF10" i="2"/>
  <c r="AF86" i="2"/>
  <c r="AF22" i="2"/>
  <c r="AF101" i="2"/>
  <c r="AF37" i="2"/>
  <c r="AF52" i="2"/>
  <c r="AF66" i="2"/>
  <c r="AF91" i="2"/>
  <c r="AF59" i="2"/>
  <c r="AF27" i="2"/>
  <c r="AF97" i="2"/>
  <c r="AF65" i="2"/>
  <c r="AF33" i="2"/>
  <c r="AF72" i="2"/>
  <c r="AF40" i="2"/>
  <c r="AF8" i="2"/>
  <c r="AF87" i="2"/>
  <c r="AF55" i="2"/>
  <c r="AF23" i="2"/>
  <c r="AG4" i="2"/>
  <c r="AG67" i="2"/>
  <c r="AG82" i="2"/>
  <c r="AG49" i="2"/>
  <c r="AG66" i="2"/>
  <c r="AG95" i="2"/>
  <c r="AG31" i="2"/>
  <c r="AG43" i="2"/>
  <c r="AG58" i="2"/>
  <c r="AG73" i="2"/>
  <c r="AG9" i="2"/>
  <c r="AG87" i="2"/>
  <c r="AG23" i="2"/>
  <c r="AG88" i="2"/>
  <c r="AG56" i="2"/>
  <c r="AG24" i="2"/>
  <c r="AG94" i="2"/>
  <c r="AG62" i="2"/>
  <c r="AG30" i="2"/>
  <c r="AG101" i="2"/>
  <c r="AG69" i="2"/>
  <c r="AG37" i="2"/>
  <c r="AG5" i="2"/>
  <c r="AG76" i="2"/>
  <c r="AG44" i="2"/>
  <c r="AG12" i="2"/>
  <c r="AG51" i="2"/>
  <c r="AG50" i="2"/>
  <c r="AG97" i="2"/>
  <c r="AG33" i="2"/>
  <c r="AG34" i="2"/>
  <c r="AG79" i="2"/>
  <c r="AG15" i="2"/>
  <c r="AG91" i="2"/>
  <c r="AG27" i="2"/>
  <c r="AG42" i="2"/>
  <c r="AG57" i="2"/>
  <c r="AG71" i="2"/>
  <c r="AG7" i="2"/>
  <c r="AG80" i="2"/>
  <c r="AG48" i="2"/>
  <c r="AG16" i="2"/>
  <c r="AG86" i="2"/>
  <c r="AG54" i="2"/>
  <c r="AG22" i="2"/>
  <c r="AG93" i="2"/>
  <c r="AG61" i="2"/>
  <c r="AG29" i="2"/>
  <c r="AG100" i="2"/>
  <c r="AG68" i="2"/>
  <c r="AG36" i="2"/>
  <c r="AG99" i="2"/>
  <c r="AG35" i="2"/>
  <c r="AG18" i="2"/>
  <c r="AG81" i="2"/>
  <c r="AG17" i="2"/>
  <c r="AG63" i="2"/>
  <c r="AG75" i="2"/>
  <c r="AG11" i="2"/>
  <c r="AG90" i="2"/>
  <c r="AG26" i="2"/>
  <c r="AG41" i="2"/>
  <c r="AG55" i="2"/>
  <c r="AG72" i="2"/>
  <c r="AG40" i="2"/>
  <c r="AG8" i="2"/>
  <c r="AG78" i="2"/>
  <c r="AG46" i="2"/>
  <c r="AG14" i="2"/>
  <c r="AG85" i="2"/>
  <c r="AG53" i="2"/>
  <c r="AG21" i="2"/>
  <c r="AG92" i="2"/>
  <c r="AG60" i="2"/>
  <c r="AG28" i="2"/>
  <c r="AG83" i="2"/>
  <c r="AG19" i="2"/>
  <c r="AG65" i="2"/>
  <c r="AG98" i="2"/>
  <c r="AG47" i="2"/>
  <c r="AG59" i="2"/>
  <c r="AG74" i="2"/>
  <c r="AG10" i="2"/>
  <c r="AG89" i="2"/>
  <c r="AG25" i="2"/>
  <c r="AG103" i="2"/>
  <c r="AG39" i="2"/>
  <c r="AG96" i="2"/>
  <c r="AG64" i="2"/>
  <c r="AG32" i="2"/>
  <c r="AG102" i="2"/>
  <c r="AG70" i="2"/>
  <c r="AG38" i="2"/>
  <c r="AG6" i="2"/>
  <c r="AG77" i="2"/>
  <c r="AG45" i="2"/>
  <c r="AG13" i="2"/>
  <c r="AG84" i="2"/>
  <c r="AG52" i="2"/>
  <c r="AG20" i="2"/>
  <c r="BP22" i="1"/>
  <c r="BT22" i="1"/>
  <c r="BX22" i="1"/>
  <c r="BV22" i="1"/>
  <c r="AC64" i="1"/>
  <c r="AB64" i="1"/>
  <c r="V64" i="1"/>
  <c r="Q64" i="1"/>
  <c r="P64" i="1"/>
  <c r="BH22" i="1" l="1"/>
  <c r="BJ22" i="1"/>
  <c r="AC65" i="1"/>
  <c r="AB65" i="1"/>
  <c r="Q65" i="1"/>
  <c r="V65" i="1"/>
  <c r="P65" i="1"/>
  <c r="AZ23" i="1" l="1"/>
  <c r="BD23" i="1"/>
  <c r="BB23" i="1"/>
  <c r="BF23" i="1"/>
  <c r="V66" i="1"/>
  <c r="AC66" i="1"/>
  <c r="Q66" i="1"/>
  <c r="P66" i="1"/>
  <c r="AB66" i="1"/>
  <c r="CD23" i="1" l="1"/>
  <c r="BT23" i="1" s="1"/>
  <c r="CF23" i="1"/>
  <c r="BX23" i="1" s="1"/>
  <c r="CB23" i="1"/>
  <c r="BN23" i="1" s="1"/>
  <c r="AC67" i="1"/>
  <c r="Q67" i="1"/>
  <c r="P67" i="1"/>
  <c r="AB67" i="1"/>
  <c r="V67" i="1"/>
  <c r="BR23" i="1" l="1"/>
  <c r="BP23" i="1"/>
  <c r="BV23" i="1"/>
  <c r="AC68" i="1"/>
  <c r="AB68" i="1"/>
  <c r="V68" i="1"/>
  <c r="Q68" i="1"/>
  <c r="P68" i="1"/>
  <c r="BH23" i="1" l="1"/>
  <c r="BJ23" i="1"/>
  <c r="AC69" i="1"/>
  <c r="AB69" i="1"/>
  <c r="Q69" i="1"/>
  <c r="V69" i="1"/>
  <c r="P69" i="1"/>
  <c r="AZ24" i="1" l="1"/>
  <c r="BD24" i="1"/>
  <c r="BB24" i="1"/>
  <c r="BF24" i="1"/>
  <c r="Q70" i="1"/>
  <c r="P70" i="1"/>
  <c r="AC70" i="1"/>
  <c r="AB70" i="1"/>
  <c r="V70" i="1"/>
  <c r="CD24" i="1" l="1"/>
  <c r="BT24" i="1" s="1"/>
  <c r="CF24" i="1"/>
  <c r="BV24" i="1" s="1"/>
  <c r="CB24" i="1"/>
  <c r="BP24" i="1" s="1"/>
  <c r="AB71" i="1"/>
  <c r="V71" i="1"/>
  <c r="P71" i="1"/>
  <c r="AC71" i="1"/>
  <c r="Q71" i="1"/>
  <c r="BN24" i="1" l="1"/>
  <c r="BR24" i="1"/>
  <c r="BH24" i="1" s="1"/>
  <c r="BX24" i="1"/>
  <c r="AC72" i="1"/>
  <c r="AB72" i="1"/>
  <c r="V72" i="1"/>
  <c r="Q72" i="1"/>
  <c r="P72" i="1"/>
  <c r="BJ24" i="1" l="1"/>
  <c r="BB25" i="1" s="1"/>
  <c r="AZ25" i="1"/>
  <c r="BD25" i="1"/>
  <c r="AC73" i="1"/>
  <c r="AB73" i="1"/>
  <c r="Q73" i="1"/>
  <c r="P73" i="1"/>
  <c r="V73" i="1"/>
  <c r="CF25" i="1" l="1"/>
  <c r="BV25" i="1" s="1"/>
  <c r="CD25" i="1"/>
  <c r="BT25" i="1" s="1"/>
  <c r="BF25" i="1"/>
  <c r="CB25" i="1"/>
  <c r="BN25" i="1" s="1"/>
  <c r="V74" i="1"/>
  <c r="AB74" i="1"/>
  <c r="Q74" i="1"/>
  <c r="AC74" i="1"/>
  <c r="P74" i="1"/>
  <c r="BP25" i="1" l="1"/>
  <c r="BR25" i="1"/>
  <c r="BX25" i="1"/>
  <c r="AC75" i="1"/>
  <c r="P75" i="1"/>
  <c r="V75" i="1"/>
  <c r="AB75" i="1"/>
  <c r="Q75" i="1"/>
  <c r="BH25" i="1" l="1"/>
  <c r="BJ25" i="1"/>
  <c r="AC76" i="1"/>
  <c r="AB76" i="1"/>
  <c r="V76" i="1"/>
  <c r="Q76" i="1"/>
  <c r="P76" i="1"/>
  <c r="AZ26" i="1" l="1"/>
  <c r="BD26" i="1"/>
  <c r="BB26" i="1"/>
  <c r="BF26" i="1"/>
  <c r="AC77" i="1"/>
  <c r="AB77" i="1"/>
  <c r="V77" i="1"/>
  <c r="Q77" i="1"/>
  <c r="P77" i="1"/>
  <c r="CD26" i="1" l="1"/>
  <c r="BT26" i="1" s="1"/>
  <c r="CF26" i="1"/>
  <c r="BV26" i="1" s="1"/>
  <c r="CB26" i="1"/>
  <c r="BP26" i="1" s="1"/>
  <c r="Q78" i="1"/>
  <c r="AB78" i="1"/>
  <c r="P78" i="1"/>
  <c r="AC78" i="1"/>
  <c r="V78" i="1"/>
  <c r="BN26" i="1" l="1"/>
  <c r="BR26" i="1"/>
  <c r="BX26" i="1"/>
  <c r="BJ26" i="1" s="1"/>
  <c r="AB79" i="1"/>
  <c r="P79" i="1"/>
  <c r="Q79" i="1"/>
  <c r="AC79" i="1"/>
  <c r="V79" i="1"/>
  <c r="BH26" i="1" l="1"/>
  <c r="AZ27" i="1" s="1"/>
  <c r="BF27" i="1"/>
  <c r="BB27" i="1"/>
  <c r="AC80" i="1"/>
  <c r="AB80" i="1"/>
  <c r="V80" i="1"/>
  <c r="Q80" i="1"/>
  <c r="P80" i="1"/>
  <c r="CD27" i="1" l="1"/>
  <c r="BT27" i="1" s="1"/>
  <c r="CF27" i="1"/>
  <c r="BX27" i="1" s="1"/>
  <c r="BD27" i="1"/>
  <c r="CB27" i="1"/>
  <c r="BN27" i="1" s="1"/>
  <c r="AC81" i="1"/>
  <c r="AB81" i="1"/>
  <c r="Q81" i="1"/>
  <c r="P81" i="1"/>
  <c r="V81" i="1"/>
  <c r="BR27" i="1" l="1"/>
  <c r="BP27" i="1"/>
  <c r="BV27" i="1"/>
  <c r="V82" i="1"/>
  <c r="AC82" i="1"/>
  <c r="Q82" i="1"/>
  <c r="AB82" i="1"/>
  <c r="P82" i="1"/>
  <c r="BH27" i="1" l="1"/>
  <c r="AZ28" i="1" s="1"/>
  <c r="BJ27" i="1"/>
  <c r="BB28" i="1" s="1"/>
  <c r="AC83" i="1"/>
  <c r="Q83" i="1"/>
  <c r="P83" i="1"/>
  <c r="AB83" i="1"/>
  <c r="V83" i="1"/>
  <c r="CD28" i="1" l="1"/>
  <c r="BR28" i="1" s="1"/>
  <c r="CF28" i="1"/>
  <c r="BV28" i="1" s="1"/>
  <c r="BF28" i="1"/>
  <c r="CB28" i="1"/>
  <c r="BN28" i="1" s="1"/>
  <c r="BD28" i="1"/>
  <c r="AC84" i="1"/>
  <c r="AB84" i="1"/>
  <c r="V84" i="1"/>
  <c r="Q84" i="1"/>
  <c r="P84" i="1"/>
  <c r="BP28" i="1" l="1"/>
  <c r="BT28" i="1"/>
  <c r="BX28" i="1"/>
  <c r="BJ28" i="1" s="1"/>
  <c r="BB29" i="1" s="1"/>
  <c r="BH28" i="1"/>
  <c r="AC85" i="1"/>
  <c r="AB85" i="1"/>
  <c r="V85" i="1"/>
  <c r="Q85" i="1"/>
  <c r="P85" i="1"/>
  <c r="BF29" i="1" l="1"/>
  <c r="AZ29" i="1"/>
  <c r="BD29" i="1"/>
  <c r="Q86" i="1"/>
  <c r="P86" i="1"/>
  <c r="AC86" i="1"/>
  <c r="AB86" i="1"/>
  <c r="V86" i="1"/>
  <c r="CB29" i="1" l="1"/>
  <c r="BP29" i="1" s="1"/>
  <c r="CF29" i="1"/>
  <c r="BX29" i="1" s="1"/>
  <c r="CD29" i="1"/>
  <c r="BT29" i="1" s="1"/>
  <c r="AB87" i="1"/>
  <c r="V87" i="1"/>
  <c r="P87" i="1"/>
  <c r="AC87" i="1"/>
  <c r="Q87" i="1"/>
  <c r="BN29" i="1" l="1"/>
  <c r="BR29" i="1"/>
  <c r="BV29" i="1"/>
  <c r="BJ29" i="1"/>
  <c r="BB30" i="1" s="1"/>
  <c r="AC88" i="1"/>
  <c r="AB88" i="1"/>
  <c r="V88" i="1"/>
  <c r="Q88" i="1"/>
  <c r="P88" i="1"/>
  <c r="BH29" i="1" l="1"/>
  <c r="AZ30" i="1" s="1"/>
  <c r="CD30" i="1" s="1"/>
  <c r="BT30" i="1" s="1"/>
  <c r="BF30" i="1"/>
  <c r="BD30" i="1"/>
  <c r="CB30" i="1"/>
  <c r="BP30" i="1" s="1"/>
  <c r="AC89" i="1"/>
  <c r="AB89" i="1"/>
  <c r="Q89" i="1"/>
  <c r="P89" i="1"/>
  <c r="V89" i="1"/>
  <c r="CF30" i="1" l="1"/>
  <c r="BV30" i="1" s="1"/>
  <c r="BN30" i="1"/>
  <c r="BR30" i="1"/>
  <c r="BX30" i="1"/>
  <c r="BJ30" i="1" s="1"/>
  <c r="BB31" i="1" s="1"/>
  <c r="AB90" i="1"/>
  <c r="Q90" i="1"/>
  <c r="V90" i="1"/>
  <c r="AC90" i="1"/>
  <c r="P90" i="1"/>
  <c r="BH30" i="1" l="1"/>
  <c r="AZ31" i="1" s="1"/>
  <c r="BF31" i="1"/>
  <c r="AC91" i="1"/>
  <c r="P91" i="1"/>
  <c r="AB91" i="1"/>
  <c r="V91" i="1"/>
  <c r="Q91" i="1"/>
  <c r="CF31" i="1" l="1"/>
  <c r="BX31" i="1" s="1"/>
  <c r="CD31" i="1"/>
  <c r="BT31" i="1" s="1"/>
  <c r="BD31" i="1"/>
  <c r="CB31" i="1"/>
  <c r="BP31" i="1" s="1"/>
  <c r="AC92" i="1"/>
  <c r="AB92" i="1"/>
  <c r="V92" i="1"/>
  <c r="Q92" i="1"/>
  <c r="P92" i="1"/>
  <c r="BN31" i="1" l="1"/>
  <c r="BR31" i="1"/>
  <c r="BV31" i="1"/>
  <c r="AC93" i="1"/>
  <c r="AB93" i="1"/>
  <c r="V93" i="1"/>
  <c r="Q93" i="1"/>
  <c r="P93" i="1"/>
  <c r="BH31" i="1" l="1"/>
  <c r="BD32" i="1" s="1"/>
  <c r="AZ32" i="1"/>
  <c r="BJ31" i="1"/>
  <c r="BB32" i="1" s="1"/>
  <c r="Q94" i="1"/>
  <c r="AB94" i="1"/>
  <c r="P94" i="1"/>
  <c r="AC94" i="1"/>
  <c r="V94" i="1"/>
  <c r="BF32" i="1" l="1"/>
  <c r="CF32" i="1"/>
  <c r="BV32" i="1" s="1"/>
  <c r="CD32" i="1"/>
  <c r="BT32" i="1" s="1"/>
  <c r="CB32" i="1"/>
  <c r="BP32" i="1" s="1"/>
  <c r="AB95" i="1"/>
  <c r="P95" i="1"/>
  <c r="V95" i="1"/>
  <c r="Q95" i="1"/>
  <c r="AC95" i="1"/>
  <c r="BN32" i="1" l="1"/>
  <c r="BR32" i="1"/>
  <c r="BH32" i="1" s="1"/>
  <c r="BX32" i="1"/>
  <c r="AC96" i="1"/>
  <c r="AB96" i="1"/>
  <c r="V96" i="1"/>
  <c r="Q96" i="1"/>
  <c r="P96" i="1"/>
  <c r="BJ32" i="1" l="1"/>
  <c r="AZ33" i="1"/>
  <c r="AC97" i="1"/>
  <c r="AB97" i="1"/>
  <c r="Q97" i="1"/>
  <c r="P97" i="1"/>
  <c r="V97" i="1"/>
  <c r="BF33" i="1" l="1"/>
  <c r="BB33" i="1"/>
  <c r="BD33" i="1"/>
  <c r="V98" i="1"/>
  <c r="AC98" i="1"/>
  <c r="AB98" i="1"/>
  <c r="Q98" i="1"/>
  <c r="P98" i="1"/>
  <c r="CB33" i="1" l="1"/>
  <c r="BN33" i="1" s="1"/>
  <c r="CD33" i="1"/>
  <c r="CF33" i="1"/>
  <c r="AC99" i="1"/>
  <c r="Q99" i="1"/>
  <c r="P99" i="1"/>
  <c r="V99" i="1"/>
  <c r="AB99" i="1"/>
  <c r="BP33" i="1" l="1"/>
  <c r="BT33" i="1"/>
  <c r="BR33" i="1"/>
  <c r="BX33" i="1"/>
  <c r="BJ33" i="1" s="1"/>
  <c r="BB34" i="1" s="1"/>
  <c r="BV33" i="1"/>
  <c r="BH33" i="1"/>
  <c r="AC100" i="1"/>
  <c r="AB100" i="1"/>
  <c r="V100" i="1"/>
  <c r="Q100" i="1"/>
  <c r="P100" i="1"/>
  <c r="BF34" i="1" l="1"/>
  <c r="AZ34" i="1"/>
  <c r="BD34" i="1"/>
  <c r="AC101" i="1"/>
  <c r="AB101" i="1"/>
  <c r="Q101" i="1"/>
  <c r="V101" i="1"/>
  <c r="P101" i="1"/>
  <c r="CD34" i="1" l="1"/>
  <c r="BT34" i="1" s="1"/>
  <c r="CF34" i="1"/>
  <c r="BX34" i="1" s="1"/>
  <c r="CB34" i="1"/>
  <c r="BP34" i="1" s="1"/>
  <c r="P102" i="1"/>
  <c r="AC102" i="1"/>
  <c r="Q102" i="1"/>
  <c r="AB102" i="1"/>
  <c r="V102" i="1"/>
  <c r="BN34" i="1" l="1"/>
  <c r="BR34" i="1"/>
  <c r="BV34" i="1"/>
  <c r="BJ34" i="1"/>
  <c r="BB35" i="1" s="1"/>
  <c r="AB103" i="1"/>
  <c r="V103" i="1"/>
  <c r="P103" i="1"/>
  <c r="AC103" i="1"/>
  <c r="Q103" i="1"/>
  <c r="BH34" i="1" l="1"/>
  <c r="AZ35" i="1" s="1"/>
  <c r="BF35" i="1"/>
  <c r="CD35" i="1"/>
  <c r="BT35" i="1" s="1"/>
  <c r="BD35" i="1"/>
  <c r="CB35" i="1"/>
  <c r="BP35" i="1" s="1"/>
  <c r="AC104" i="1"/>
  <c r="AB104" i="1"/>
  <c r="V104" i="1"/>
  <c r="Q104" i="1"/>
  <c r="P104" i="1"/>
  <c r="CF35" i="1" l="1"/>
  <c r="BX35" i="1" s="1"/>
  <c r="BN35" i="1"/>
  <c r="BR35" i="1"/>
  <c r="BV35" i="1"/>
  <c r="BJ35" i="1"/>
  <c r="BB36" i="1" s="1"/>
  <c r="AC105" i="1"/>
  <c r="AB105" i="1"/>
  <c r="Q105" i="1"/>
  <c r="P105" i="1"/>
  <c r="V105" i="1"/>
  <c r="BH35" i="1" l="1"/>
  <c r="AZ36" i="1" s="1"/>
  <c r="BF36" i="1"/>
  <c r="V106" i="1"/>
  <c r="AB106" i="1"/>
  <c r="Q106" i="1"/>
  <c r="AC106" i="1"/>
  <c r="P106" i="1"/>
  <c r="BD36" i="1" l="1"/>
  <c r="CF36" i="1"/>
  <c r="BV36" i="1" s="1"/>
  <c r="CD36" i="1"/>
  <c r="BT36" i="1" s="1"/>
  <c r="CB36" i="1"/>
  <c r="BP36" i="1" s="1"/>
  <c r="AC107" i="1"/>
  <c r="P107" i="1"/>
  <c r="AB107" i="1"/>
  <c r="Q107" i="1"/>
  <c r="V107" i="1"/>
  <c r="BN36" i="1" l="1"/>
  <c r="BR36" i="1"/>
  <c r="BX36" i="1"/>
  <c r="BJ36" i="1" s="1"/>
  <c r="BB37" i="1" s="1"/>
  <c r="AC108" i="1"/>
  <c r="AB108" i="1"/>
  <c r="V108" i="1"/>
  <c r="Q108" i="1"/>
  <c r="P108" i="1"/>
  <c r="BH36" i="1" l="1"/>
  <c r="AZ37" i="1" s="1"/>
  <c r="BF37" i="1"/>
  <c r="AC109" i="1"/>
  <c r="AB109" i="1"/>
  <c r="V109" i="1"/>
  <c r="P109" i="1"/>
  <c r="Q109" i="1"/>
  <c r="CF37" i="1" l="1"/>
  <c r="BX37" i="1" s="1"/>
  <c r="CD37" i="1"/>
  <c r="BT37" i="1" s="1"/>
  <c r="BD37" i="1"/>
  <c r="CB37" i="1"/>
  <c r="BP37" i="1" s="1"/>
  <c r="Q110" i="1"/>
  <c r="AB110" i="1"/>
  <c r="P110" i="1"/>
  <c r="AC110" i="1"/>
  <c r="V110" i="1"/>
  <c r="BN37" i="1" l="1"/>
  <c r="BR37" i="1"/>
  <c r="BV37" i="1"/>
  <c r="BJ37" i="1"/>
  <c r="BB38" i="1" s="1"/>
  <c r="P111" i="1"/>
  <c r="AB111" i="1"/>
  <c r="Q111" i="1"/>
  <c r="AC111" i="1"/>
  <c r="V111" i="1"/>
  <c r="BH37" i="1" l="1"/>
  <c r="AZ38" i="1" s="1"/>
  <c r="BF38" i="1"/>
  <c r="AC112" i="1"/>
  <c r="AB112" i="1"/>
  <c r="V112" i="1"/>
  <c r="Q112" i="1"/>
  <c r="P112" i="1"/>
  <c r="CF38" i="1" l="1"/>
  <c r="BX38" i="1" s="1"/>
  <c r="CD38" i="1"/>
  <c r="BR38" i="1" s="1"/>
  <c r="BD38" i="1"/>
  <c r="CB38" i="1"/>
  <c r="BP38" i="1" s="1"/>
  <c r="AC113" i="1"/>
  <c r="AB113" i="1"/>
  <c r="V113" i="1"/>
  <c r="Q113" i="1"/>
  <c r="P113" i="1"/>
  <c r="BN38" i="1" l="1"/>
  <c r="BT38" i="1"/>
  <c r="BV38" i="1"/>
  <c r="AC114" i="1"/>
  <c r="AB114" i="1"/>
  <c r="Q114" i="1"/>
  <c r="P114" i="1"/>
  <c r="V114" i="1"/>
  <c r="BH38" i="1" l="1"/>
  <c r="AZ39" i="1" s="1"/>
  <c r="BJ38" i="1"/>
  <c r="BB39" i="1" s="1"/>
  <c r="AC115" i="1"/>
  <c r="AB115" i="1"/>
  <c r="V115" i="1"/>
  <c r="Q115" i="1"/>
  <c r="P115" i="1"/>
  <c r="BF39" i="1" l="1"/>
  <c r="CF39" i="1"/>
  <c r="BX39" i="1" s="1"/>
  <c r="CD39" i="1"/>
  <c r="BT39" i="1" s="1"/>
  <c r="BD39" i="1"/>
  <c r="CB39" i="1"/>
  <c r="BP39" i="1" s="1"/>
  <c r="AC116" i="1"/>
  <c r="AB116" i="1"/>
  <c r="V116" i="1"/>
  <c r="P116" i="1"/>
  <c r="Q116" i="1"/>
  <c r="BN39" i="1" l="1"/>
  <c r="BR39" i="1"/>
  <c r="BV39" i="1"/>
  <c r="BJ39" i="1"/>
  <c r="AC117" i="1"/>
  <c r="AB117" i="1"/>
  <c r="P117" i="1"/>
  <c r="V117" i="1"/>
  <c r="Q117" i="1"/>
  <c r="BH39" i="1" l="1"/>
  <c r="AZ40" i="1" s="1"/>
  <c r="BF40" i="1"/>
  <c r="BB40" i="1"/>
  <c r="AC118" i="1"/>
  <c r="AB118" i="1"/>
  <c r="Q118" i="1"/>
  <c r="P118" i="1"/>
  <c r="V118" i="1"/>
  <c r="CD40" i="1" l="1"/>
  <c r="BT40" i="1" s="1"/>
  <c r="CF40" i="1"/>
  <c r="BX40" i="1" s="1"/>
  <c r="BD40" i="1"/>
  <c r="CB40" i="1"/>
  <c r="BP40" i="1" s="1"/>
  <c r="AC119" i="1"/>
  <c r="AB119" i="1"/>
  <c r="V119" i="1"/>
  <c r="Q119" i="1"/>
  <c r="P119" i="1"/>
  <c r="BN40" i="1" l="1"/>
  <c r="BR40" i="1"/>
  <c r="BV40" i="1"/>
  <c r="BJ40" i="1"/>
  <c r="BB41" i="1" s="1"/>
  <c r="AC120" i="1"/>
  <c r="AB120" i="1"/>
  <c r="V120" i="1"/>
  <c r="Q120" i="1"/>
  <c r="P120" i="1"/>
  <c r="BF41" i="1" l="1"/>
  <c r="BH40" i="1"/>
  <c r="AZ41" i="1" s="1"/>
  <c r="AB121" i="1"/>
  <c r="AC121" i="1"/>
  <c r="V121" i="1"/>
  <c r="Q121" i="1"/>
  <c r="P121" i="1"/>
  <c r="CF41" i="1" l="1"/>
  <c r="BX41" i="1" s="1"/>
  <c r="CD41" i="1"/>
  <c r="BT41" i="1" s="1"/>
  <c r="BD41" i="1"/>
  <c r="AC122" i="1"/>
  <c r="AB122" i="1"/>
  <c r="Q122" i="1"/>
  <c r="P122" i="1"/>
  <c r="V122" i="1"/>
  <c r="BR41" i="1" l="1"/>
  <c r="BV41" i="1"/>
  <c r="CB41" i="1"/>
  <c r="BN41" i="1" s="1"/>
  <c r="AC123" i="1"/>
  <c r="V123" i="1"/>
  <c r="AB123" i="1"/>
  <c r="Q123" i="1"/>
  <c r="P123" i="1"/>
  <c r="BP41" i="1" l="1"/>
  <c r="BJ41" i="1" s="1"/>
  <c r="BB42" i="1" s="1"/>
  <c r="AC124" i="1"/>
  <c r="AB124" i="1"/>
  <c r="V124" i="1"/>
  <c r="P124" i="1"/>
  <c r="Q124" i="1"/>
  <c r="BH41" i="1" l="1"/>
  <c r="AZ42" i="1" s="1"/>
  <c r="BF42" i="1"/>
  <c r="AC125" i="1"/>
  <c r="AB125" i="1"/>
  <c r="V125" i="1"/>
  <c r="P125" i="1"/>
  <c r="Q125" i="1"/>
  <c r="CF42" i="1" l="1"/>
  <c r="BX42" i="1" s="1"/>
  <c r="CD42" i="1"/>
  <c r="BT42" i="1" s="1"/>
  <c r="BD42" i="1"/>
  <c r="CB42" i="1"/>
  <c r="BP42" i="1" s="1"/>
  <c r="AC126" i="1"/>
  <c r="AB126" i="1"/>
  <c r="Q126" i="1"/>
  <c r="P126" i="1"/>
  <c r="V126" i="1"/>
  <c r="BN42" i="1" l="1"/>
  <c r="BR42" i="1"/>
  <c r="BV42" i="1"/>
  <c r="BJ42" i="1"/>
  <c r="BB43" i="1" s="1"/>
  <c r="AC127" i="1"/>
  <c r="AB127" i="1"/>
  <c r="V127" i="1"/>
  <c r="Q127" i="1"/>
  <c r="P127" i="1"/>
  <c r="BH42" i="1" l="1"/>
  <c r="AZ43" i="1" s="1"/>
  <c r="BF43" i="1"/>
  <c r="AC128" i="1"/>
  <c r="AB128" i="1"/>
  <c r="V128" i="1"/>
  <c r="Q128" i="1"/>
  <c r="P128" i="1"/>
  <c r="CF43" i="1" l="1"/>
  <c r="BX43" i="1" s="1"/>
  <c r="CD43" i="1"/>
  <c r="BT43" i="1" s="1"/>
  <c r="BD43" i="1"/>
  <c r="CB43" i="1"/>
  <c r="BP43" i="1" s="1"/>
  <c r="AC129" i="1"/>
  <c r="AB129" i="1"/>
  <c r="V129" i="1"/>
  <c r="Q129" i="1"/>
  <c r="P129" i="1"/>
  <c r="BN43" i="1" l="1"/>
  <c r="BR43" i="1"/>
  <c r="BV43" i="1"/>
  <c r="AC130" i="1"/>
  <c r="AB130" i="1"/>
  <c r="Q130" i="1"/>
  <c r="P130" i="1"/>
  <c r="V130" i="1"/>
  <c r="BH43" i="1" l="1"/>
  <c r="BJ43" i="1"/>
  <c r="BB44" i="1" s="1"/>
  <c r="AZ44" i="1"/>
  <c r="AC131" i="1"/>
  <c r="AB131" i="1"/>
  <c r="V131" i="1"/>
  <c r="Q131" i="1"/>
  <c r="P131" i="1"/>
  <c r="CD44" i="1" l="1"/>
  <c r="BT44" i="1" s="1"/>
  <c r="CF44" i="1"/>
  <c r="BX44" i="1" s="1"/>
  <c r="BD44" i="1"/>
  <c r="BF44" i="1"/>
  <c r="AC132" i="1"/>
  <c r="AB132" i="1"/>
  <c r="V132" i="1"/>
  <c r="P132" i="1"/>
  <c r="Q132" i="1"/>
  <c r="BR44" i="1" l="1"/>
  <c r="BV44" i="1"/>
  <c r="CB44" i="1"/>
  <c r="BN44" i="1" s="1"/>
  <c r="AB133" i="1"/>
  <c r="AC133" i="1"/>
  <c r="P133" i="1"/>
  <c r="V133" i="1"/>
  <c r="Q133" i="1"/>
  <c r="BP44" i="1" l="1"/>
  <c r="AC134" i="1"/>
  <c r="AB134" i="1"/>
  <c r="Q134" i="1"/>
  <c r="P134" i="1"/>
  <c r="V134" i="1"/>
  <c r="BH44" i="1" l="1"/>
  <c r="AZ45" i="1" s="1"/>
  <c r="BJ44" i="1"/>
  <c r="BB45" i="1" s="1"/>
  <c r="BD45" i="1"/>
  <c r="AC135" i="1"/>
  <c r="AB135" i="1"/>
  <c r="V135" i="1"/>
  <c r="Q135" i="1"/>
  <c r="P135" i="1"/>
  <c r="CD45" i="1" l="1"/>
  <c r="BT45" i="1" s="1"/>
  <c r="CF45" i="1"/>
  <c r="BX45" i="1" s="1"/>
  <c r="BF45" i="1"/>
  <c r="CB45" i="1"/>
  <c r="BP45" i="1" s="1"/>
  <c r="AC136" i="1"/>
  <c r="AB136" i="1"/>
  <c r="V136" i="1"/>
  <c r="Q136" i="1"/>
  <c r="P136" i="1"/>
  <c r="BN45" i="1" l="1"/>
  <c r="BR45" i="1"/>
  <c r="BV45" i="1"/>
  <c r="BJ45" i="1"/>
  <c r="BB46" i="1" s="1"/>
  <c r="AC137" i="1"/>
  <c r="AB137" i="1"/>
  <c r="V137" i="1"/>
  <c r="Q137" i="1"/>
  <c r="P137" i="1"/>
  <c r="BH45" i="1" l="1"/>
  <c r="AZ46" i="1" s="1"/>
  <c r="BF46" i="1"/>
  <c r="AC138" i="1"/>
  <c r="AB138" i="1"/>
  <c r="Q138" i="1"/>
  <c r="P138" i="1"/>
  <c r="V138" i="1"/>
  <c r="CF46" i="1" l="1"/>
  <c r="BX46" i="1" s="1"/>
  <c r="CD46" i="1"/>
  <c r="BT46" i="1" s="1"/>
  <c r="BD46" i="1"/>
  <c r="CB46" i="1"/>
  <c r="BP46" i="1" s="1"/>
  <c r="AC139" i="1"/>
  <c r="V139" i="1"/>
  <c r="AB139" i="1"/>
  <c r="Q139" i="1"/>
  <c r="P139" i="1"/>
  <c r="BN46" i="1" l="1"/>
  <c r="BR46" i="1"/>
  <c r="BV46" i="1"/>
  <c r="AC140" i="1"/>
  <c r="AB140" i="1"/>
  <c r="V140" i="1"/>
  <c r="P140" i="1"/>
  <c r="Q140" i="1"/>
  <c r="BH46" i="1" l="1"/>
  <c r="AZ47" i="1" s="1"/>
  <c r="BJ46" i="1"/>
  <c r="BB47" i="1" s="1"/>
  <c r="BD47" i="1"/>
  <c r="AC141" i="1"/>
  <c r="AB141" i="1"/>
  <c r="V141" i="1"/>
  <c r="P141" i="1"/>
  <c r="Q141" i="1"/>
  <c r="CF47" i="1" l="1"/>
  <c r="BV47" i="1" s="1"/>
  <c r="CD47" i="1"/>
  <c r="BR47" i="1" s="1"/>
  <c r="BF47" i="1"/>
  <c r="CB47" i="1"/>
  <c r="BN47" i="1" s="1"/>
  <c r="AC142" i="1"/>
  <c r="AB142" i="1"/>
  <c r="Q142" i="1"/>
  <c r="P142" i="1"/>
  <c r="V142" i="1"/>
  <c r="BP47" i="1" l="1"/>
  <c r="BX47" i="1"/>
  <c r="BT47" i="1"/>
  <c r="AC143" i="1"/>
  <c r="AB143" i="1"/>
  <c r="V143" i="1"/>
  <c r="Q143" i="1"/>
  <c r="P143" i="1"/>
  <c r="BJ47" i="1" l="1"/>
  <c r="BB48" i="1" s="1"/>
  <c r="BH47" i="1"/>
  <c r="AZ48" i="1" s="1"/>
  <c r="BF48" i="1"/>
  <c r="AC144" i="1"/>
  <c r="AB144" i="1"/>
  <c r="V144" i="1"/>
  <c r="Q144" i="1"/>
  <c r="P144" i="1"/>
  <c r="CF48" i="1" l="1"/>
  <c r="BX48" i="1" s="1"/>
  <c r="CD48" i="1"/>
  <c r="BT48" i="1" s="1"/>
  <c r="BD48" i="1"/>
  <c r="CB48" i="1"/>
  <c r="BP48" i="1" s="1"/>
  <c r="AC145" i="1"/>
  <c r="AB145" i="1"/>
  <c r="V145" i="1"/>
  <c r="Q145" i="1"/>
  <c r="P145" i="1"/>
  <c r="BN48" i="1" l="1"/>
  <c r="BR48" i="1"/>
  <c r="BV48" i="1"/>
  <c r="BJ48" i="1"/>
  <c r="BB49" i="1" s="1"/>
  <c r="AC146" i="1"/>
  <c r="AB146" i="1"/>
  <c r="Q146" i="1"/>
  <c r="P146" i="1"/>
  <c r="V146" i="1"/>
  <c r="BH48" i="1" l="1"/>
  <c r="AZ49" i="1"/>
  <c r="BF49" i="1"/>
  <c r="BD49" i="1"/>
  <c r="AC147" i="1"/>
  <c r="AB147" i="1"/>
  <c r="V147" i="1"/>
  <c r="Q147" i="1"/>
  <c r="P147" i="1"/>
  <c r="CF49" i="1" l="1"/>
  <c r="BX49" i="1" s="1"/>
  <c r="CD49" i="1"/>
  <c r="BT49" i="1" s="1"/>
  <c r="CB49" i="1"/>
  <c r="BP49" i="1" s="1"/>
  <c r="AC148" i="1"/>
  <c r="AB148" i="1"/>
  <c r="V148" i="1"/>
  <c r="P148" i="1"/>
  <c r="Q148" i="1"/>
  <c r="BN49" i="1" l="1"/>
  <c r="BR49" i="1"/>
  <c r="BV49" i="1"/>
  <c r="AC149" i="1"/>
  <c r="AB149" i="1"/>
  <c r="P149" i="1"/>
  <c r="V149" i="1"/>
  <c r="Q149" i="1"/>
  <c r="BH49" i="1" l="1"/>
  <c r="AZ50" i="1" s="1"/>
  <c r="BJ49" i="1"/>
  <c r="BB50" i="1" s="1"/>
  <c r="AC150" i="1"/>
  <c r="AB150" i="1"/>
  <c r="Q150" i="1"/>
  <c r="P150" i="1"/>
  <c r="V150" i="1"/>
  <c r="CD50" i="1" l="1"/>
  <c r="BR50" i="1" s="1"/>
  <c r="CF50" i="1"/>
  <c r="BV50" i="1" s="1"/>
  <c r="BD50" i="1"/>
  <c r="BF50" i="1"/>
  <c r="CB50" i="1"/>
  <c r="BN50" i="1" s="1"/>
  <c r="AC151" i="1"/>
  <c r="V151" i="1"/>
  <c r="AB151" i="1"/>
  <c r="Q151" i="1"/>
  <c r="P151" i="1"/>
  <c r="BP50" i="1" l="1"/>
  <c r="BT50" i="1"/>
  <c r="BX50" i="1"/>
  <c r="BH50" i="1"/>
  <c r="AZ51" i="1" s="1"/>
  <c r="AC152" i="1"/>
  <c r="AB152" i="1"/>
  <c r="V152" i="1"/>
  <c r="Q152" i="1"/>
  <c r="P152" i="1"/>
  <c r="BJ50" i="1" l="1"/>
  <c r="BB51" i="1" s="1"/>
  <c r="BD51" i="1"/>
  <c r="AB153" i="1"/>
  <c r="AC153" i="1"/>
  <c r="V153" i="1"/>
  <c r="Q153" i="1"/>
  <c r="P153" i="1"/>
  <c r="CF51" i="1" l="1"/>
  <c r="CD51" i="1"/>
  <c r="BF51" i="1"/>
  <c r="CB51" i="1"/>
  <c r="BN51" i="1" s="1"/>
  <c r="AB154" i="1"/>
  <c r="AC154" i="1"/>
  <c r="Q154" i="1"/>
  <c r="P154" i="1"/>
  <c r="V154" i="1"/>
  <c r="BP51" i="1" l="1"/>
  <c r="BT51" i="1"/>
  <c r="BR51" i="1"/>
  <c r="BX51" i="1"/>
  <c r="BV51" i="1"/>
  <c r="AC155" i="1"/>
  <c r="AB155" i="1"/>
  <c r="V155" i="1"/>
  <c r="Q155" i="1"/>
  <c r="P155" i="1"/>
  <c r="BH51" i="1" l="1"/>
  <c r="AZ52" i="1" s="1"/>
  <c r="BJ51" i="1"/>
  <c r="BB52" i="1" s="1"/>
  <c r="AC156" i="1"/>
  <c r="AB156" i="1"/>
  <c r="V156" i="1"/>
  <c r="P156" i="1"/>
  <c r="Q156" i="1"/>
  <c r="CD52" i="1" l="1"/>
  <c r="BT52" i="1" s="1"/>
  <c r="CF52" i="1"/>
  <c r="BX52" i="1" s="1"/>
  <c r="BD52" i="1"/>
  <c r="BF52" i="1"/>
  <c r="AC157" i="1"/>
  <c r="AB157" i="1"/>
  <c r="V157" i="1"/>
  <c r="P157" i="1"/>
  <c r="Q157" i="1"/>
  <c r="BR52" i="1" l="1"/>
  <c r="BV52" i="1"/>
  <c r="CB52" i="1"/>
  <c r="BN52" i="1" s="1"/>
  <c r="AC158" i="1"/>
  <c r="Q158" i="1"/>
  <c r="P158" i="1"/>
  <c r="AB158" i="1"/>
  <c r="V158" i="1"/>
  <c r="BP52" i="1" l="1"/>
  <c r="BH52" i="1"/>
  <c r="BJ52" i="1"/>
  <c r="BB53" i="1" s="1"/>
  <c r="AC159" i="1"/>
  <c r="V159" i="1"/>
  <c r="Q159" i="1"/>
  <c r="P159" i="1"/>
  <c r="AB159" i="1"/>
  <c r="BF53" i="1" l="1"/>
  <c r="AZ53" i="1"/>
  <c r="BD53" i="1"/>
  <c r="AC160" i="1"/>
  <c r="AB160" i="1"/>
  <c r="V160" i="1"/>
  <c r="Q160" i="1"/>
  <c r="P160" i="1"/>
  <c r="CF53" i="1" l="1"/>
  <c r="BX53" i="1" s="1"/>
  <c r="CD53" i="1"/>
  <c r="BT53" i="1" s="1"/>
  <c r="CB53" i="1"/>
  <c r="BN53" i="1" s="1"/>
  <c r="AC161" i="1"/>
  <c r="AB161" i="1"/>
  <c r="V161" i="1"/>
  <c r="Q161" i="1"/>
  <c r="P161" i="1"/>
  <c r="BP53" i="1" l="1"/>
  <c r="BJ53" i="1" s="1"/>
  <c r="BR53" i="1"/>
  <c r="BV53" i="1"/>
  <c r="AC162" i="1"/>
  <c r="AB162" i="1"/>
  <c r="Q162" i="1"/>
  <c r="P162" i="1"/>
  <c r="V162" i="1"/>
  <c r="BB54" i="1" l="1"/>
  <c r="BF54" i="1"/>
  <c r="BH53" i="1"/>
  <c r="AZ54" i="1" s="1"/>
  <c r="AC163" i="1"/>
  <c r="AB163" i="1"/>
  <c r="V163" i="1"/>
  <c r="Q163" i="1"/>
  <c r="P163" i="1"/>
  <c r="BD54" i="1" l="1"/>
  <c r="CF54" i="1"/>
  <c r="BX54" i="1" s="1"/>
  <c r="CD54" i="1"/>
  <c r="BT54" i="1" s="1"/>
  <c r="CB54" i="1"/>
  <c r="BP54" i="1" s="1"/>
  <c r="AC164" i="1"/>
  <c r="AB164" i="1"/>
  <c r="V164" i="1"/>
  <c r="P164" i="1"/>
  <c r="Q164" i="1"/>
  <c r="BV54" i="1" l="1"/>
  <c r="BN54" i="1"/>
  <c r="BR54" i="1"/>
  <c r="BJ54" i="1"/>
  <c r="BB55" i="1" s="1"/>
  <c r="AC165" i="1"/>
  <c r="AB165" i="1"/>
  <c r="P165" i="1"/>
  <c r="V165" i="1"/>
  <c r="Q165" i="1"/>
  <c r="BH54" i="1" l="1"/>
  <c r="AZ55" i="1" s="1"/>
  <c r="BF55" i="1"/>
  <c r="AC166" i="1"/>
  <c r="AB166" i="1"/>
  <c r="Q166" i="1"/>
  <c r="P166" i="1"/>
  <c r="V166" i="1"/>
  <c r="CF55" i="1" l="1"/>
  <c r="BX55" i="1" s="1"/>
  <c r="CD55" i="1"/>
  <c r="BT55" i="1" s="1"/>
  <c r="BD55" i="1"/>
  <c r="AC167" i="1"/>
  <c r="V167" i="1"/>
  <c r="AB167" i="1"/>
  <c r="Q167" i="1"/>
  <c r="P167" i="1"/>
  <c r="BR55" i="1" l="1"/>
  <c r="BV55" i="1"/>
  <c r="CB55" i="1"/>
  <c r="BN55" i="1" s="1"/>
  <c r="AC168" i="1"/>
  <c r="AB168" i="1"/>
  <c r="V168" i="1"/>
  <c r="Q168" i="1"/>
  <c r="P168" i="1"/>
  <c r="BP55" i="1" l="1"/>
  <c r="BH55" i="1"/>
  <c r="AC169" i="1"/>
  <c r="AB169" i="1"/>
  <c r="V169" i="1"/>
  <c r="Q169" i="1"/>
  <c r="P169" i="1"/>
  <c r="BJ55" i="1" l="1"/>
  <c r="AZ56" i="1"/>
  <c r="AC170" i="1"/>
  <c r="AB170" i="1"/>
  <c r="Q170" i="1"/>
  <c r="P170" i="1"/>
  <c r="V170" i="1"/>
  <c r="BF56" i="1" l="1"/>
  <c r="BB56" i="1"/>
  <c r="BD56" i="1"/>
  <c r="AC171" i="1"/>
  <c r="AB171" i="1"/>
  <c r="V171" i="1"/>
  <c r="Q171" i="1"/>
  <c r="P171" i="1"/>
  <c r="CF56" i="1" l="1"/>
  <c r="CD56" i="1"/>
  <c r="CB56" i="1"/>
  <c r="BN56" i="1" s="1"/>
  <c r="AC172" i="1"/>
  <c r="AB172" i="1"/>
  <c r="V172" i="1"/>
  <c r="P172" i="1"/>
  <c r="Q172" i="1"/>
  <c r="BP56" i="1" l="1"/>
  <c r="BT56" i="1"/>
  <c r="BR56" i="1"/>
  <c r="BX56" i="1"/>
  <c r="BV56" i="1"/>
  <c r="AC173" i="1"/>
  <c r="AB173" i="1"/>
  <c r="V173" i="1"/>
  <c r="P173" i="1"/>
  <c r="Q173" i="1"/>
  <c r="BH56" i="1" l="1"/>
  <c r="AZ57" i="1" s="1"/>
  <c r="BJ56" i="1"/>
  <c r="BB57" i="1" s="1"/>
  <c r="AC174" i="1"/>
  <c r="AB174" i="1"/>
  <c r="Q174" i="1"/>
  <c r="P174" i="1"/>
  <c r="V174" i="1"/>
  <c r="CD57" i="1" l="1"/>
  <c r="BT57" i="1" s="1"/>
  <c r="CF57" i="1"/>
  <c r="BV57" i="1" s="1"/>
  <c r="BD57" i="1"/>
  <c r="BF57" i="1"/>
  <c r="AC175" i="1"/>
  <c r="V175" i="1"/>
  <c r="AB175" i="1"/>
  <c r="Q175" i="1"/>
  <c r="P175" i="1"/>
  <c r="BR57" i="1" l="1"/>
  <c r="BX57" i="1"/>
  <c r="CB57" i="1"/>
  <c r="BN57" i="1" s="1"/>
  <c r="AC176" i="1"/>
  <c r="AB176" i="1"/>
  <c r="V176" i="1"/>
  <c r="Q176" i="1"/>
  <c r="P176" i="1"/>
  <c r="BP57" i="1" l="1"/>
  <c r="BH57" i="1"/>
  <c r="AZ58" i="1" s="1"/>
  <c r="AC177" i="1"/>
  <c r="AB177" i="1"/>
  <c r="V177" i="1"/>
  <c r="Q177" i="1"/>
  <c r="P177" i="1"/>
  <c r="BJ57" i="1" l="1"/>
  <c r="BB58" i="1" s="1"/>
  <c r="BD58" i="1"/>
  <c r="AC178" i="1"/>
  <c r="AB178" i="1"/>
  <c r="Q178" i="1"/>
  <c r="P178" i="1"/>
  <c r="V178" i="1"/>
  <c r="CF58" i="1" l="1"/>
  <c r="CD58" i="1"/>
  <c r="BR58" i="1" s="1"/>
  <c r="BF58" i="1"/>
  <c r="CB58" i="1"/>
  <c r="BN58" i="1" s="1"/>
  <c r="AC179" i="1"/>
  <c r="AB179" i="1"/>
  <c r="V179" i="1"/>
  <c r="Q179" i="1"/>
  <c r="P179" i="1"/>
  <c r="BP58" i="1" l="1"/>
  <c r="BT58" i="1"/>
  <c r="BX58" i="1"/>
  <c r="BV58" i="1"/>
  <c r="AC180" i="1"/>
  <c r="AB180" i="1"/>
  <c r="V180" i="1"/>
  <c r="P180" i="1"/>
  <c r="Q180" i="1"/>
  <c r="BH58" i="1" l="1"/>
  <c r="AZ59" i="1" s="1"/>
  <c r="BJ58" i="1"/>
  <c r="BB59" i="1" s="1"/>
  <c r="AC181" i="1"/>
  <c r="AB181" i="1"/>
  <c r="P181" i="1"/>
  <c r="V181" i="1"/>
  <c r="Q181" i="1"/>
  <c r="BD59" i="1" l="1"/>
  <c r="CD59" i="1"/>
  <c r="BT59" i="1" s="1"/>
  <c r="CF59" i="1"/>
  <c r="BV59" i="1" s="1"/>
  <c r="BF59" i="1"/>
  <c r="AC182" i="1"/>
  <c r="AB182" i="1"/>
  <c r="Q182" i="1"/>
  <c r="P182" i="1"/>
  <c r="V182" i="1"/>
  <c r="BR59" i="1" l="1"/>
  <c r="BX59" i="1"/>
  <c r="CB59" i="1"/>
  <c r="BN59" i="1" s="1"/>
  <c r="AC183" i="1"/>
  <c r="V183" i="1"/>
  <c r="AB183" i="1"/>
  <c r="Q183" i="1"/>
  <c r="P183" i="1"/>
  <c r="BP59" i="1" l="1"/>
  <c r="BJ59" i="1" s="1"/>
  <c r="BB60" i="1" s="1"/>
  <c r="BH59" i="1"/>
  <c r="AZ60" i="1" s="1"/>
  <c r="AC184" i="1"/>
  <c r="AB184" i="1"/>
  <c r="V184" i="1"/>
  <c r="Q184" i="1"/>
  <c r="P184" i="1"/>
  <c r="CD60" i="1" l="1"/>
  <c r="BT60" i="1" s="1"/>
  <c r="CF60" i="1"/>
  <c r="BX60" i="1" s="1"/>
  <c r="BD60" i="1"/>
  <c r="BF60" i="1"/>
  <c r="AC185" i="1"/>
  <c r="AB185" i="1"/>
  <c r="V185" i="1"/>
  <c r="Q185" i="1"/>
  <c r="P185" i="1"/>
  <c r="BR60" i="1" l="1"/>
  <c r="BV60" i="1"/>
  <c r="CB60" i="1"/>
  <c r="BN60" i="1" s="1"/>
  <c r="AC186" i="1"/>
  <c r="AB186" i="1"/>
  <c r="Q186" i="1"/>
  <c r="P186" i="1"/>
  <c r="V186" i="1"/>
  <c r="BP60" i="1" l="1"/>
  <c r="BH60" i="1"/>
  <c r="AC187" i="1"/>
  <c r="AB187" i="1"/>
  <c r="V187" i="1"/>
  <c r="Q187" i="1"/>
  <c r="P187" i="1"/>
  <c r="BJ60" i="1" l="1"/>
  <c r="AZ61" i="1"/>
  <c r="AC188" i="1"/>
  <c r="AB188" i="1"/>
  <c r="V188" i="1"/>
  <c r="P188" i="1"/>
  <c r="Q188" i="1"/>
  <c r="BF61" i="1" l="1"/>
  <c r="BB61" i="1"/>
  <c r="BD61" i="1"/>
  <c r="AC189" i="1"/>
  <c r="AB189" i="1"/>
  <c r="V189" i="1"/>
  <c r="P189" i="1"/>
  <c r="Q189" i="1"/>
  <c r="CF61" i="1" l="1"/>
  <c r="BV61" i="1" s="1"/>
  <c r="CD61" i="1"/>
  <c r="CB61" i="1"/>
  <c r="BN61" i="1" s="1"/>
  <c r="AC190" i="1"/>
  <c r="Q190" i="1"/>
  <c r="P190" i="1"/>
  <c r="V190" i="1"/>
  <c r="AB190" i="1"/>
  <c r="BP61" i="1" l="1"/>
  <c r="BT61" i="1"/>
  <c r="BR61" i="1"/>
  <c r="BX61" i="1"/>
  <c r="AC191" i="1"/>
  <c r="V191" i="1"/>
  <c r="Q191" i="1"/>
  <c r="P191" i="1"/>
  <c r="AB191" i="1"/>
  <c r="BJ61" i="1" l="1"/>
  <c r="BB62" i="1" s="1"/>
  <c r="BH61" i="1"/>
  <c r="AZ62" i="1" s="1"/>
  <c r="AC192" i="1"/>
  <c r="AB192" i="1"/>
  <c r="V192" i="1"/>
  <c r="Q192" i="1"/>
  <c r="P192" i="1"/>
  <c r="BF62" i="1" l="1"/>
  <c r="CF62" i="1"/>
  <c r="BX62" i="1" s="1"/>
  <c r="CD62" i="1"/>
  <c r="BT62" i="1" s="1"/>
  <c r="BD62" i="1"/>
  <c r="CB62" i="1"/>
  <c r="BP62" i="1" s="1"/>
  <c r="AC193" i="1"/>
  <c r="AB193" i="1"/>
  <c r="V193" i="1"/>
  <c r="Q193" i="1"/>
  <c r="P193" i="1"/>
  <c r="BN62" i="1" l="1"/>
  <c r="BR62" i="1"/>
  <c r="BV62" i="1"/>
  <c r="BJ62" i="1"/>
  <c r="BB63" i="1" s="1"/>
  <c r="AC194" i="1"/>
  <c r="AB194" i="1"/>
  <c r="Q194" i="1"/>
  <c r="P194" i="1"/>
  <c r="V194" i="1"/>
  <c r="BH62" i="1" l="1"/>
  <c r="AZ63" i="1" s="1"/>
  <c r="BF63" i="1"/>
  <c r="BD63" i="1"/>
  <c r="AB195" i="1"/>
  <c r="V195" i="1"/>
  <c r="AC195" i="1"/>
  <c r="Q195" i="1"/>
  <c r="P195" i="1"/>
  <c r="CF63" i="1" l="1"/>
  <c r="BX63" i="1" s="1"/>
  <c r="CD63" i="1"/>
  <c r="BT63" i="1" s="1"/>
  <c r="CB63" i="1"/>
  <c r="BP63" i="1" s="1"/>
  <c r="AC196" i="1"/>
  <c r="AB196" i="1"/>
  <c r="V196" i="1"/>
  <c r="P196" i="1"/>
  <c r="Q196" i="1"/>
  <c r="BN63" i="1" l="1"/>
  <c r="BR63" i="1"/>
  <c r="BV63" i="1"/>
  <c r="BJ63" i="1"/>
  <c r="BB64" i="1" s="1"/>
  <c r="AB197" i="1"/>
  <c r="AC197" i="1"/>
  <c r="P197" i="1"/>
  <c r="V197" i="1"/>
  <c r="Q197" i="1"/>
  <c r="BH63" i="1" l="1"/>
  <c r="AZ64" i="1" s="1"/>
  <c r="BF64" i="1"/>
  <c r="AC198" i="1"/>
  <c r="AB198" i="1"/>
  <c r="Q198" i="1"/>
  <c r="P198" i="1"/>
  <c r="V198" i="1"/>
  <c r="CF64" i="1" l="1"/>
  <c r="BX64" i="1" s="1"/>
  <c r="CD64" i="1"/>
  <c r="BT64" i="1" s="1"/>
  <c r="BD64" i="1"/>
  <c r="CB64" i="1"/>
  <c r="BP64" i="1" s="1"/>
  <c r="AC199" i="1"/>
  <c r="V199" i="1"/>
  <c r="AB199" i="1"/>
  <c r="Q199" i="1"/>
  <c r="P199" i="1"/>
  <c r="BN64" i="1" l="1"/>
  <c r="BR64" i="1"/>
  <c r="BV64" i="1"/>
  <c r="BJ64" i="1"/>
  <c r="AC200" i="1"/>
  <c r="AB200" i="1"/>
  <c r="V200" i="1"/>
  <c r="Q200" i="1"/>
  <c r="P200" i="1"/>
  <c r="BH64" i="1" l="1"/>
  <c r="BF65" i="1"/>
  <c r="BB65" i="1"/>
  <c r="AZ65" i="1"/>
  <c r="AC201" i="1"/>
  <c r="AB201" i="1"/>
  <c r="V201" i="1"/>
  <c r="Q201" i="1"/>
  <c r="P201" i="1"/>
  <c r="CF65" i="1" l="1"/>
  <c r="BX65" i="1" s="1"/>
  <c r="CD65" i="1"/>
  <c r="BT65" i="1" s="1"/>
  <c r="BD65" i="1"/>
  <c r="CB65" i="1"/>
  <c r="BP65" i="1" s="1"/>
  <c r="AC202" i="1"/>
  <c r="AB202" i="1"/>
  <c r="Q202" i="1"/>
  <c r="P202" i="1"/>
  <c r="V202" i="1"/>
  <c r="BN65" i="1" l="1"/>
  <c r="BR65" i="1"/>
  <c r="BV65" i="1"/>
  <c r="BJ65" i="1"/>
  <c r="AC203" i="1"/>
  <c r="AB203" i="1"/>
  <c r="V203" i="1"/>
  <c r="Q203" i="1"/>
  <c r="P203" i="1"/>
  <c r="BH65" i="1" l="1"/>
  <c r="AZ66" i="1" s="1"/>
  <c r="BF66" i="1"/>
  <c r="BB66" i="1"/>
  <c r="AC204" i="1"/>
  <c r="AB204" i="1"/>
  <c r="V204" i="1"/>
  <c r="P204" i="1"/>
  <c r="Q204" i="1"/>
  <c r="CD66" i="1" l="1"/>
  <c r="BT66" i="1" s="1"/>
  <c r="BD66" i="1"/>
  <c r="CF66" i="1"/>
  <c r="BX66" i="1" s="1"/>
  <c r="CB66" i="1"/>
  <c r="BP66" i="1" s="1"/>
  <c r="AC205" i="1"/>
  <c r="AB205" i="1"/>
  <c r="V205" i="1"/>
  <c r="P205" i="1"/>
  <c r="Q205" i="1"/>
  <c r="BN66" i="1" l="1"/>
  <c r="BR66" i="1"/>
  <c r="BV66" i="1"/>
  <c r="BJ66" i="1"/>
  <c r="BB67" i="1" s="1"/>
  <c r="AC206" i="1"/>
  <c r="AB206" i="1"/>
  <c r="Q206" i="1"/>
  <c r="P206" i="1"/>
  <c r="V206" i="1"/>
  <c r="BH66" i="1" l="1"/>
  <c r="AZ67" i="1" s="1"/>
  <c r="BF67" i="1"/>
  <c r="AC207" i="1"/>
  <c r="V207" i="1"/>
  <c r="AB207" i="1"/>
  <c r="Q207" i="1"/>
  <c r="P207" i="1"/>
  <c r="BD67" i="1" l="1"/>
  <c r="CF67" i="1"/>
  <c r="BV67" i="1" s="1"/>
  <c r="CD67" i="1"/>
  <c r="BT67" i="1" s="1"/>
  <c r="CB67" i="1"/>
  <c r="BP67" i="1" s="1"/>
  <c r="AC208" i="1"/>
  <c r="AB208" i="1"/>
  <c r="V208" i="1"/>
  <c r="Q208" i="1"/>
  <c r="P208" i="1"/>
  <c r="BN67" i="1" l="1"/>
  <c r="BR67" i="1"/>
  <c r="BX67" i="1"/>
  <c r="BJ67" i="1"/>
  <c r="BB68" i="1" s="1"/>
  <c r="AC209" i="1"/>
  <c r="AB209" i="1"/>
  <c r="V209" i="1"/>
  <c r="Q209" i="1"/>
  <c r="P209" i="1"/>
  <c r="BH67" i="1" l="1"/>
  <c r="AZ68" i="1" s="1"/>
  <c r="CB68" i="1" s="1"/>
  <c r="BF68" i="1"/>
  <c r="AC210" i="1"/>
  <c r="AB210" i="1"/>
  <c r="Q210" i="1"/>
  <c r="P210" i="1"/>
  <c r="V210" i="1"/>
  <c r="BD68" i="1" l="1"/>
  <c r="BN68" i="1"/>
  <c r="BP68" i="1"/>
  <c r="CF68" i="1"/>
  <c r="BX68" i="1" s="1"/>
  <c r="CD68" i="1"/>
  <c r="BT68" i="1" s="1"/>
  <c r="AC211" i="1"/>
  <c r="AB211" i="1"/>
  <c r="V211" i="1"/>
  <c r="Q211" i="1"/>
  <c r="P211" i="1"/>
  <c r="BV68" i="1" l="1"/>
  <c r="BJ68" i="1"/>
  <c r="BB69" i="1" s="1"/>
  <c r="BR68" i="1"/>
  <c r="BH68" i="1" s="1"/>
  <c r="AZ69" i="1" s="1"/>
  <c r="AC212" i="1"/>
  <c r="AB212" i="1"/>
  <c r="V212" i="1"/>
  <c r="P212" i="1"/>
  <c r="Q212" i="1"/>
  <c r="BF69" i="1" l="1"/>
  <c r="CF69" i="1"/>
  <c r="BX69" i="1" s="1"/>
  <c r="CD69" i="1"/>
  <c r="BT69" i="1" s="1"/>
  <c r="BD69" i="1"/>
  <c r="AC213" i="1"/>
  <c r="AB213" i="1"/>
  <c r="P213" i="1"/>
  <c r="V213" i="1"/>
  <c r="Q213" i="1"/>
  <c r="BR69" i="1" l="1"/>
  <c r="BV69" i="1"/>
  <c r="CB69" i="1"/>
  <c r="BN69" i="1" s="1"/>
  <c r="AC214" i="1"/>
  <c r="AB214" i="1"/>
  <c r="Q214" i="1"/>
  <c r="P214" i="1"/>
  <c r="V214" i="1"/>
  <c r="BP69" i="1" l="1"/>
  <c r="BJ69" i="1" s="1"/>
  <c r="BB70" i="1" s="1"/>
  <c r="AC215" i="1"/>
  <c r="V215" i="1"/>
  <c r="AB215" i="1"/>
  <c r="Q215" i="1"/>
  <c r="P215" i="1"/>
  <c r="BH69" i="1" l="1"/>
  <c r="AZ70" i="1" s="1"/>
  <c r="BF70" i="1"/>
  <c r="AC216" i="1"/>
  <c r="AB216" i="1"/>
  <c r="V216" i="1"/>
  <c r="Q216" i="1"/>
  <c r="P216" i="1"/>
  <c r="CF70" i="1" l="1"/>
  <c r="BX70" i="1" s="1"/>
  <c r="CD70" i="1"/>
  <c r="BT70" i="1" s="1"/>
  <c r="BD70" i="1"/>
  <c r="AB217" i="1"/>
  <c r="AC217" i="1"/>
  <c r="V217" i="1"/>
  <c r="Q217" i="1"/>
  <c r="P217" i="1"/>
  <c r="BR70" i="1" l="1"/>
  <c r="BV70" i="1"/>
  <c r="CB70" i="1"/>
  <c r="BN70" i="1" s="1"/>
  <c r="AB218" i="1"/>
  <c r="AC218" i="1"/>
  <c r="Q218" i="1"/>
  <c r="P218" i="1"/>
  <c r="V218" i="1"/>
  <c r="BP70" i="1" l="1"/>
  <c r="BJ70" i="1"/>
  <c r="BB71" i="1" s="1"/>
  <c r="AC219" i="1"/>
  <c r="AB219" i="1"/>
  <c r="V219" i="1"/>
  <c r="Q219" i="1"/>
  <c r="P219" i="1"/>
  <c r="BF71" i="1" l="1"/>
  <c r="BH70" i="1"/>
  <c r="AZ71" i="1" s="1"/>
  <c r="AC220" i="1"/>
  <c r="AB220" i="1"/>
  <c r="V220" i="1"/>
  <c r="P220" i="1"/>
  <c r="Q220" i="1"/>
  <c r="CF71" i="1" l="1"/>
  <c r="BX71" i="1" s="1"/>
  <c r="CD71" i="1"/>
  <c r="BT71" i="1" s="1"/>
  <c r="BD71" i="1"/>
  <c r="CB71" i="1"/>
  <c r="BP71" i="1" s="1"/>
  <c r="AC221" i="1"/>
  <c r="AB221" i="1"/>
  <c r="V221" i="1"/>
  <c r="P221" i="1"/>
  <c r="Q221" i="1"/>
  <c r="BN71" i="1" l="1"/>
  <c r="BR71" i="1"/>
  <c r="BV71" i="1"/>
  <c r="BJ71" i="1"/>
  <c r="BB72" i="1" s="1"/>
  <c r="AC222" i="1"/>
  <c r="Q222" i="1"/>
  <c r="P222" i="1"/>
  <c r="AB222" i="1"/>
  <c r="V222" i="1"/>
  <c r="BH71" i="1" l="1"/>
  <c r="AZ72" i="1" s="1"/>
  <c r="BF72" i="1"/>
  <c r="AC223" i="1"/>
  <c r="V223" i="1"/>
  <c r="Q223" i="1"/>
  <c r="P223" i="1"/>
  <c r="AB223" i="1"/>
  <c r="CF72" i="1" l="1"/>
  <c r="BX72" i="1" s="1"/>
  <c r="CD72" i="1"/>
  <c r="BT72" i="1" s="1"/>
  <c r="BD72" i="1"/>
  <c r="AC224" i="1"/>
  <c r="AB224" i="1"/>
  <c r="V224" i="1"/>
  <c r="Q224" i="1"/>
  <c r="P224" i="1"/>
  <c r="BR72" i="1" l="1"/>
  <c r="BV72" i="1"/>
  <c r="CB72" i="1"/>
  <c r="BN72" i="1" s="1"/>
  <c r="AC225" i="1"/>
  <c r="AB225" i="1"/>
  <c r="V225" i="1"/>
  <c r="Q225" i="1"/>
  <c r="P225" i="1"/>
  <c r="BP72" i="1" l="1"/>
  <c r="BJ72" i="1" s="1"/>
  <c r="BB73" i="1" s="1"/>
  <c r="AC226" i="1"/>
  <c r="AB226" i="1"/>
  <c r="Q226" i="1"/>
  <c r="P226" i="1"/>
  <c r="V226" i="1"/>
  <c r="BH72" i="1" l="1"/>
  <c r="AZ73" i="1" s="1"/>
  <c r="BF73" i="1"/>
  <c r="AC227" i="1"/>
  <c r="AB227" i="1"/>
  <c r="V227" i="1"/>
  <c r="Q227" i="1"/>
  <c r="P227" i="1"/>
  <c r="CF73" i="1" l="1"/>
  <c r="BX73" i="1" s="1"/>
  <c r="CD73" i="1"/>
  <c r="BT73" i="1" s="1"/>
  <c r="BD73" i="1"/>
  <c r="AC228" i="1"/>
  <c r="AB228" i="1"/>
  <c r="V228" i="1"/>
  <c r="P228" i="1"/>
  <c r="Q228" i="1"/>
  <c r="BR73" i="1" l="1"/>
  <c r="BV73" i="1"/>
  <c r="CB73" i="1"/>
  <c r="BN73" i="1" s="1"/>
  <c r="AC229" i="1"/>
  <c r="AB229" i="1"/>
  <c r="P229" i="1"/>
  <c r="V229" i="1"/>
  <c r="Q229" i="1"/>
  <c r="BP73" i="1" l="1"/>
  <c r="AC230" i="1"/>
  <c r="AB230" i="1"/>
  <c r="Q230" i="1"/>
  <c r="P230" i="1"/>
  <c r="V230" i="1"/>
  <c r="BH73" i="1" l="1"/>
  <c r="AZ74" i="1" s="1"/>
  <c r="BJ73" i="1"/>
  <c r="BB74" i="1" s="1"/>
  <c r="AC231" i="1"/>
  <c r="V231" i="1"/>
  <c r="AB231" i="1"/>
  <c r="Q231" i="1"/>
  <c r="P231" i="1"/>
  <c r="CD74" i="1" l="1"/>
  <c r="BT74" i="1" s="1"/>
  <c r="CF74" i="1"/>
  <c r="BX74" i="1" s="1"/>
  <c r="BF74" i="1"/>
  <c r="BD74" i="1"/>
  <c r="AC232" i="1"/>
  <c r="AB232" i="1"/>
  <c r="V232" i="1"/>
  <c r="Q232" i="1"/>
  <c r="P232" i="1"/>
  <c r="BR74" i="1" l="1"/>
  <c r="BV74" i="1"/>
  <c r="CB74" i="1"/>
  <c r="BN74" i="1" s="1"/>
  <c r="AC233" i="1"/>
  <c r="AB233" i="1"/>
  <c r="V233" i="1"/>
  <c r="Q233" i="1"/>
  <c r="P233" i="1"/>
  <c r="BP74" i="1" l="1"/>
  <c r="BJ74" i="1" s="1"/>
  <c r="BB75" i="1" s="1"/>
  <c r="BH74" i="1"/>
  <c r="AC234" i="1"/>
  <c r="AB234" i="1"/>
  <c r="Q234" i="1"/>
  <c r="P234" i="1"/>
  <c r="V234" i="1"/>
  <c r="AZ75" i="1" l="1"/>
  <c r="BF75" i="1"/>
  <c r="AC235" i="1"/>
  <c r="AB235" i="1"/>
  <c r="V235" i="1"/>
  <c r="Q235" i="1"/>
  <c r="P235" i="1"/>
  <c r="CF75" i="1" l="1"/>
  <c r="BX75" i="1" s="1"/>
  <c r="CD75" i="1"/>
  <c r="BT75" i="1" s="1"/>
  <c r="BD75" i="1"/>
  <c r="CB75" i="1"/>
  <c r="BP75" i="1" s="1"/>
  <c r="AC236" i="1"/>
  <c r="AB236" i="1"/>
  <c r="V236" i="1"/>
  <c r="P236" i="1"/>
  <c r="Q236" i="1"/>
  <c r="BN75" i="1" l="1"/>
  <c r="BR75" i="1"/>
  <c r="BV75" i="1"/>
  <c r="AC237" i="1"/>
  <c r="AB237" i="1"/>
  <c r="V237" i="1"/>
  <c r="P237" i="1"/>
  <c r="Q237" i="1"/>
  <c r="BJ75" i="1" l="1"/>
  <c r="AC238" i="1"/>
  <c r="AB238" i="1"/>
  <c r="Q238" i="1"/>
  <c r="P238" i="1"/>
  <c r="V238" i="1"/>
  <c r="BH75" i="1" l="1"/>
  <c r="AZ76" i="1" s="1"/>
  <c r="BF76" i="1"/>
  <c r="BB76" i="1"/>
  <c r="V239" i="1"/>
  <c r="AC239" i="1"/>
  <c r="AB239" i="1"/>
  <c r="Q239" i="1"/>
  <c r="P239" i="1"/>
  <c r="CD76" i="1" l="1"/>
  <c r="BT76" i="1" s="1"/>
  <c r="CF76" i="1"/>
  <c r="BX76" i="1" s="1"/>
  <c r="BD76" i="1"/>
  <c r="CB76" i="1"/>
  <c r="BP76" i="1" s="1"/>
  <c r="AC240" i="1"/>
  <c r="AB240" i="1"/>
  <c r="V240" i="1"/>
  <c r="Q240" i="1"/>
  <c r="P240" i="1"/>
  <c r="BN76" i="1" l="1"/>
  <c r="BR76" i="1"/>
  <c r="BV76" i="1"/>
  <c r="BJ76" i="1"/>
  <c r="BB77" i="1" s="1"/>
  <c r="AC241" i="1"/>
  <c r="AB241" i="1"/>
  <c r="V241" i="1"/>
  <c r="Q241" i="1"/>
  <c r="P241" i="1"/>
  <c r="BH76" i="1" l="1"/>
  <c r="AZ77" i="1" s="1"/>
  <c r="BF77" i="1"/>
  <c r="AC242" i="1"/>
  <c r="AB242" i="1"/>
  <c r="Q242" i="1"/>
  <c r="P242" i="1"/>
  <c r="V242" i="1"/>
  <c r="CF77" i="1" l="1"/>
  <c r="BX77" i="1" s="1"/>
  <c r="CD77" i="1"/>
  <c r="BT77" i="1" s="1"/>
  <c r="BD77" i="1"/>
  <c r="CB77" i="1"/>
  <c r="BP77" i="1" s="1"/>
  <c r="AC243" i="1"/>
  <c r="AB243" i="1"/>
  <c r="V243" i="1"/>
  <c r="Q243" i="1"/>
  <c r="P243" i="1"/>
  <c r="BN77" i="1" l="1"/>
  <c r="BR77" i="1"/>
  <c r="BV77" i="1"/>
  <c r="AC244" i="1"/>
  <c r="AB244" i="1"/>
  <c r="V244" i="1"/>
  <c r="P244" i="1"/>
  <c r="Q244" i="1"/>
  <c r="BJ77" i="1" l="1"/>
  <c r="BB78" i="1" s="1"/>
  <c r="BH77" i="1"/>
  <c r="AZ78" i="1" s="1"/>
  <c r="AC245" i="1"/>
  <c r="AB245" i="1"/>
  <c r="P245" i="1"/>
  <c r="V245" i="1"/>
  <c r="Q245" i="1"/>
  <c r="BF78" i="1" l="1"/>
  <c r="CF78" i="1"/>
  <c r="BV78" i="1" s="1"/>
  <c r="CD78" i="1"/>
  <c r="BT78" i="1" s="1"/>
  <c r="BD78" i="1"/>
  <c r="CB78" i="1"/>
  <c r="BP78" i="1" s="1"/>
  <c r="AC246" i="1"/>
  <c r="AB246" i="1"/>
  <c r="Q246" i="1"/>
  <c r="P246" i="1"/>
  <c r="V246" i="1"/>
  <c r="BN78" i="1" l="1"/>
  <c r="BR78" i="1"/>
  <c r="BX78" i="1"/>
  <c r="BJ78" i="1" s="1"/>
  <c r="BB79" i="1" s="1"/>
  <c r="AC247" i="1"/>
  <c r="V247" i="1"/>
  <c r="AB247" i="1"/>
  <c r="Q247" i="1"/>
  <c r="P247" i="1"/>
  <c r="BH78" i="1" l="1"/>
  <c r="AZ79" i="1" s="1"/>
  <c r="BF79" i="1"/>
  <c r="AC248" i="1"/>
  <c r="AB248" i="1"/>
  <c r="V248" i="1"/>
  <c r="Q248" i="1"/>
  <c r="P248" i="1"/>
  <c r="CF79" i="1" l="1"/>
  <c r="BX79" i="1" s="1"/>
  <c r="CD79" i="1"/>
  <c r="BT79" i="1" s="1"/>
  <c r="BD79" i="1"/>
  <c r="CB79" i="1"/>
  <c r="BP79" i="1" s="1"/>
  <c r="AC249" i="1"/>
  <c r="AB249" i="1"/>
  <c r="V249" i="1"/>
  <c r="Q249" i="1"/>
  <c r="P249" i="1"/>
  <c r="BN79" i="1" l="1"/>
  <c r="BR79" i="1"/>
  <c r="BV79" i="1"/>
  <c r="BJ79" i="1"/>
  <c r="BB80" i="1" s="1"/>
  <c r="AC250" i="1"/>
  <c r="AB250" i="1"/>
  <c r="Q250" i="1"/>
  <c r="P250" i="1"/>
  <c r="V250" i="1"/>
  <c r="BH79" i="1" l="1"/>
  <c r="AZ80" i="1" s="1"/>
  <c r="BF80" i="1"/>
  <c r="AC251" i="1"/>
  <c r="AB251" i="1"/>
  <c r="V251" i="1"/>
  <c r="Q251" i="1"/>
  <c r="P251" i="1"/>
  <c r="CF80" i="1" l="1"/>
  <c r="BV80" i="1" s="1"/>
  <c r="CD80" i="1"/>
  <c r="BT80" i="1" s="1"/>
  <c r="BD80" i="1"/>
  <c r="CB80" i="1"/>
  <c r="BP80" i="1" s="1"/>
  <c r="AC252" i="1"/>
  <c r="AB252" i="1"/>
  <c r="V252" i="1"/>
  <c r="P252" i="1"/>
  <c r="Q252" i="1"/>
  <c r="BN80" i="1" l="1"/>
  <c r="BR80" i="1"/>
  <c r="BX80" i="1"/>
  <c r="AC253" i="1"/>
  <c r="AB253" i="1"/>
  <c r="V253" i="1"/>
  <c r="P253" i="1"/>
  <c r="Q253" i="1"/>
  <c r="BJ80" i="1" l="1"/>
  <c r="BB81" i="1" s="1"/>
  <c r="BH80" i="1"/>
  <c r="AZ81" i="1" s="1"/>
  <c r="BF81" i="1"/>
  <c r="AC254" i="1"/>
  <c r="Q254" i="1"/>
  <c r="P254" i="1"/>
  <c r="V254" i="1"/>
  <c r="AB254" i="1"/>
  <c r="CF81" i="1" l="1"/>
  <c r="BX81" i="1" s="1"/>
  <c r="CD81" i="1"/>
  <c r="BT81" i="1" s="1"/>
  <c r="BD81" i="1"/>
  <c r="CB81" i="1"/>
  <c r="BP81" i="1" s="1"/>
  <c r="AC255" i="1"/>
  <c r="V255" i="1"/>
  <c r="Q255" i="1"/>
  <c r="P255" i="1"/>
  <c r="AB255" i="1"/>
  <c r="BN81" i="1" l="1"/>
  <c r="BR81" i="1"/>
  <c r="BV81" i="1"/>
  <c r="AC256" i="1"/>
  <c r="AB256" i="1"/>
  <c r="V256" i="1"/>
  <c r="Q256" i="1"/>
  <c r="P256" i="1"/>
  <c r="BH81" i="1" l="1"/>
  <c r="AZ82" i="1" s="1"/>
  <c r="BJ81" i="1"/>
  <c r="BB82" i="1" s="1"/>
  <c r="AC257" i="1"/>
  <c r="AB257" i="1"/>
  <c r="V257" i="1"/>
  <c r="Q257" i="1"/>
  <c r="P257" i="1"/>
  <c r="BF82" i="1" l="1"/>
  <c r="CD82" i="1"/>
  <c r="BT82" i="1" s="1"/>
  <c r="BD82" i="1"/>
  <c r="CF82" i="1"/>
  <c r="BX82" i="1" s="1"/>
  <c r="CB82" i="1"/>
  <c r="BP82" i="1" s="1"/>
  <c r="AC258" i="1"/>
  <c r="AB258" i="1"/>
  <c r="Q258" i="1"/>
  <c r="P258" i="1"/>
  <c r="V258" i="1"/>
  <c r="BN82" i="1" l="1"/>
  <c r="BR82" i="1"/>
  <c r="BV82" i="1"/>
  <c r="AC259" i="1"/>
  <c r="AB259" i="1"/>
  <c r="V259" i="1"/>
  <c r="Q259" i="1"/>
  <c r="P259" i="1"/>
  <c r="BH82" i="1" l="1"/>
  <c r="AZ83" i="1" s="1"/>
  <c r="BJ82" i="1"/>
  <c r="BD83" i="1"/>
  <c r="AC260" i="1"/>
  <c r="AB260" i="1"/>
  <c r="V260" i="1"/>
  <c r="P260" i="1"/>
  <c r="Q260" i="1"/>
  <c r="BF83" i="1" l="1"/>
  <c r="BB83" i="1"/>
  <c r="AB261" i="1"/>
  <c r="AC261" i="1"/>
  <c r="P261" i="1"/>
  <c r="V261" i="1"/>
  <c r="Q261" i="1"/>
  <c r="CF83" i="1" l="1"/>
  <c r="BV83" i="1" s="1"/>
  <c r="CD83" i="1"/>
  <c r="CB83" i="1"/>
  <c r="BN83" i="1" s="1"/>
  <c r="AC262" i="1"/>
  <c r="AB262" i="1"/>
  <c r="Q262" i="1"/>
  <c r="P262" i="1"/>
  <c r="V262" i="1"/>
  <c r="BP83" i="1" l="1"/>
  <c r="BT83" i="1"/>
  <c r="BR83" i="1"/>
  <c r="BX83" i="1"/>
  <c r="AC263" i="1"/>
  <c r="V263" i="1"/>
  <c r="AB263" i="1"/>
  <c r="Q263" i="1"/>
  <c r="P263" i="1"/>
  <c r="BJ83" i="1" l="1"/>
  <c r="BH83" i="1"/>
  <c r="AZ84" i="1" s="1"/>
  <c r="BF84" i="1"/>
  <c r="BB84" i="1"/>
  <c r="AC264" i="1"/>
  <c r="AB264" i="1"/>
  <c r="V264" i="1"/>
  <c r="Q264" i="1"/>
  <c r="P264" i="1"/>
  <c r="BD84" i="1" l="1"/>
  <c r="CD84" i="1"/>
  <c r="BT84" i="1" s="1"/>
  <c r="CF84" i="1"/>
  <c r="BX84" i="1" s="1"/>
  <c r="CB84" i="1"/>
  <c r="BP84" i="1" s="1"/>
  <c r="AC265" i="1"/>
  <c r="AB265" i="1"/>
  <c r="V265" i="1"/>
  <c r="Q265" i="1"/>
  <c r="P265" i="1"/>
  <c r="BN84" i="1" l="1"/>
  <c r="BR84" i="1"/>
  <c r="BV84" i="1"/>
  <c r="BJ84" i="1"/>
  <c r="BB85" i="1" s="1"/>
  <c r="AC266" i="1"/>
  <c r="AB266" i="1"/>
  <c r="Q266" i="1"/>
  <c r="P266" i="1"/>
  <c r="V266" i="1"/>
  <c r="BH84" i="1" l="1"/>
  <c r="AZ85" i="1" s="1"/>
  <c r="BF85" i="1"/>
  <c r="AC267" i="1"/>
  <c r="AB267" i="1"/>
  <c r="V267" i="1"/>
  <c r="Q267" i="1"/>
  <c r="P267" i="1"/>
  <c r="CF85" i="1" l="1"/>
  <c r="BX85" i="1" s="1"/>
  <c r="CD85" i="1"/>
  <c r="BT85" i="1" s="1"/>
  <c r="CB85" i="1"/>
  <c r="BP85" i="1" s="1"/>
  <c r="BD85" i="1"/>
  <c r="AC268" i="1"/>
  <c r="AB268" i="1"/>
  <c r="V268" i="1"/>
  <c r="P268" i="1"/>
  <c r="Q268" i="1"/>
  <c r="BN85" i="1" l="1"/>
  <c r="BR85" i="1"/>
  <c r="BV85" i="1"/>
  <c r="BJ85" i="1"/>
  <c r="BB86" i="1" s="1"/>
  <c r="AC269" i="1"/>
  <c r="AB269" i="1"/>
  <c r="V269" i="1"/>
  <c r="P269" i="1"/>
  <c r="Q269" i="1"/>
  <c r="BH85" i="1" l="1"/>
  <c r="AZ86" i="1" s="1"/>
  <c r="BF86" i="1"/>
  <c r="BD86" i="1"/>
  <c r="AC270" i="1"/>
  <c r="AB270" i="1"/>
  <c r="Q270" i="1"/>
  <c r="V270" i="1"/>
  <c r="P270" i="1"/>
  <c r="CD86" i="1" l="1"/>
  <c r="BT86" i="1" s="1"/>
  <c r="CF86" i="1"/>
  <c r="BX86" i="1" s="1"/>
  <c r="BR86" i="1"/>
  <c r="CB86" i="1"/>
  <c r="BN86" i="1" s="1"/>
  <c r="AC271" i="1"/>
  <c r="V271" i="1"/>
  <c r="AB271" i="1"/>
  <c r="Q271" i="1"/>
  <c r="P271" i="1"/>
  <c r="BV86" i="1" l="1"/>
  <c r="BP86" i="1"/>
  <c r="AC272" i="1"/>
  <c r="AB272" i="1"/>
  <c r="V272" i="1"/>
  <c r="Q272" i="1"/>
  <c r="P272" i="1"/>
  <c r="BH86" i="1" l="1"/>
  <c r="AZ87" i="1" s="1"/>
  <c r="BJ86" i="1"/>
  <c r="AC273" i="1"/>
  <c r="AB273" i="1"/>
  <c r="V273" i="1"/>
  <c r="P273" i="1"/>
  <c r="Q273" i="1"/>
  <c r="BF87" i="1" l="1"/>
  <c r="BB87" i="1"/>
  <c r="BD87" i="1"/>
  <c r="AC274" i="1"/>
  <c r="AB274" i="1"/>
  <c r="Q274" i="1"/>
  <c r="V274" i="1"/>
  <c r="P274" i="1"/>
  <c r="CF87" i="1" l="1"/>
  <c r="BV87" i="1" s="1"/>
  <c r="CD87" i="1"/>
  <c r="CB87" i="1"/>
  <c r="BN87" i="1" s="1"/>
  <c r="AC275" i="1"/>
  <c r="AB275" i="1"/>
  <c r="V275" i="1"/>
  <c r="Q275" i="1"/>
  <c r="P275" i="1"/>
  <c r="BP87" i="1" l="1"/>
  <c r="BT87" i="1"/>
  <c r="BR87" i="1"/>
  <c r="BX87" i="1"/>
  <c r="AC276" i="1"/>
  <c r="AB276" i="1"/>
  <c r="V276" i="1"/>
  <c r="Q276" i="1"/>
  <c r="P276" i="1"/>
  <c r="BJ87" i="1" l="1"/>
  <c r="BB88" i="1" s="1"/>
  <c r="BH87" i="1"/>
  <c r="AZ88" i="1" s="1"/>
  <c r="BF88" i="1"/>
  <c r="AC277" i="1"/>
  <c r="AB277" i="1"/>
  <c r="V277" i="1"/>
  <c r="Q277" i="1"/>
  <c r="P277" i="1"/>
  <c r="CF88" i="1" l="1"/>
  <c r="BX88" i="1" s="1"/>
  <c r="CD88" i="1"/>
  <c r="BT88" i="1" s="1"/>
  <c r="BD88" i="1"/>
  <c r="AC278" i="1"/>
  <c r="AB278" i="1"/>
  <c r="Q278" i="1"/>
  <c r="P278" i="1"/>
  <c r="V278" i="1"/>
  <c r="BR88" i="1" l="1"/>
  <c r="BV88" i="1"/>
  <c r="CB88" i="1"/>
  <c r="BN88" i="1" s="1"/>
  <c r="AC279" i="1"/>
  <c r="V279" i="1"/>
  <c r="AB279" i="1"/>
  <c r="Q279" i="1"/>
  <c r="P279" i="1"/>
  <c r="BP88" i="1" l="1"/>
  <c r="AC280" i="1"/>
  <c r="AB280" i="1"/>
  <c r="V280" i="1"/>
  <c r="Q280" i="1"/>
  <c r="P280" i="1"/>
  <c r="BJ88" i="1" l="1"/>
  <c r="BB89" i="1" s="1"/>
  <c r="BH88" i="1"/>
  <c r="AZ89" i="1" s="1"/>
  <c r="AB281" i="1"/>
  <c r="V281" i="1"/>
  <c r="AC281" i="1"/>
  <c r="Q281" i="1"/>
  <c r="P281" i="1"/>
  <c r="BF89" i="1" l="1"/>
  <c r="CF89" i="1"/>
  <c r="BX89" i="1" s="1"/>
  <c r="CD89" i="1"/>
  <c r="BT89" i="1" s="1"/>
  <c r="BD89" i="1"/>
  <c r="AB282" i="1"/>
  <c r="Q282" i="1"/>
  <c r="V282" i="1"/>
  <c r="AC282" i="1"/>
  <c r="P282" i="1"/>
  <c r="BR89" i="1" l="1"/>
  <c r="BV89" i="1"/>
  <c r="CB89" i="1"/>
  <c r="BN89" i="1" s="1"/>
  <c r="AC283" i="1"/>
  <c r="AB283" i="1"/>
  <c r="V283" i="1"/>
  <c r="Q283" i="1"/>
  <c r="P283" i="1"/>
  <c r="BP89" i="1" l="1"/>
  <c r="BJ89" i="1" s="1"/>
  <c r="BB90" i="1" s="1"/>
  <c r="AC284" i="1"/>
  <c r="AB284" i="1"/>
  <c r="V284" i="1"/>
  <c r="P284" i="1"/>
  <c r="Q284" i="1"/>
  <c r="BH89" i="1" l="1"/>
  <c r="BD90" i="1" s="1"/>
  <c r="BF90" i="1"/>
  <c r="AC285" i="1"/>
  <c r="AB285" i="1"/>
  <c r="V285" i="1"/>
  <c r="P285" i="1"/>
  <c r="Q285" i="1"/>
  <c r="AZ90" i="1" l="1"/>
  <c r="AC286" i="1"/>
  <c r="Q286" i="1"/>
  <c r="AB286" i="1"/>
  <c r="V286" i="1"/>
  <c r="P286" i="1"/>
  <c r="CF90" i="1" l="1"/>
  <c r="BX90" i="1" s="1"/>
  <c r="CD90" i="1"/>
  <c r="BT90" i="1" s="1"/>
  <c r="CB90" i="1"/>
  <c r="BN90" i="1" s="1"/>
  <c r="AC287" i="1"/>
  <c r="V287" i="1"/>
  <c r="Q287" i="1"/>
  <c r="P287" i="1"/>
  <c r="AB287" i="1"/>
  <c r="BP90" i="1" l="1"/>
  <c r="BJ90" i="1" s="1"/>
  <c r="BB91" i="1" s="1"/>
  <c r="BR90" i="1"/>
  <c r="BV90" i="1"/>
  <c r="AC288" i="1"/>
  <c r="AB288" i="1"/>
  <c r="V288" i="1"/>
  <c r="Q288" i="1"/>
  <c r="P288" i="1"/>
  <c r="BH90" i="1" l="1"/>
  <c r="AZ91" i="1" s="1"/>
  <c r="CF91" i="1" s="1"/>
  <c r="BX91" i="1" s="1"/>
  <c r="BF91" i="1"/>
  <c r="CD91" i="1"/>
  <c r="BT91" i="1" s="1"/>
  <c r="BD91" i="1"/>
  <c r="CB91" i="1"/>
  <c r="BP91" i="1" s="1"/>
  <c r="AC289" i="1"/>
  <c r="AB289" i="1"/>
  <c r="V289" i="1"/>
  <c r="P289" i="1"/>
  <c r="Q289" i="1"/>
  <c r="BN91" i="1" l="1"/>
  <c r="BR91" i="1"/>
  <c r="BV91" i="1"/>
  <c r="BJ91" i="1"/>
  <c r="BB92" i="1" s="1"/>
  <c r="AC290" i="1"/>
  <c r="AB290" i="1"/>
  <c r="Q290" i="1"/>
  <c r="V290" i="1"/>
  <c r="P290" i="1"/>
  <c r="BH91" i="1" l="1"/>
  <c r="AZ92" i="1" s="1"/>
  <c r="BF92" i="1"/>
  <c r="AC291" i="1"/>
  <c r="AB291" i="1"/>
  <c r="V291" i="1"/>
  <c r="Q291" i="1"/>
  <c r="P291" i="1"/>
  <c r="CF92" i="1" l="1"/>
  <c r="BX92" i="1" s="1"/>
  <c r="CD92" i="1"/>
  <c r="BT92" i="1" s="1"/>
  <c r="BD92" i="1"/>
  <c r="AC292" i="1"/>
  <c r="AB292" i="1"/>
  <c r="V292" i="1"/>
  <c r="Q292" i="1"/>
  <c r="P292" i="1"/>
  <c r="BR92" i="1" l="1"/>
  <c r="BV92" i="1"/>
  <c r="CB92" i="1"/>
  <c r="BN92" i="1" s="1"/>
  <c r="AC293" i="1"/>
  <c r="AB293" i="1"/>
  <c r="V293" i="1"/>
  <c r="Q293" i="1"/>
  <c r="P293" i="1"/>
  <c r="BP92" i="1" l="1"/>
  <c r="BJ92" i="1" s="1"/>
  <c r="BB93" i="1" s="1"/>
  <c r="AC294" i="1"/>
  <c r="AB294" i="1"/>
  <c r="Q294" i="1"/>
  <c r="P294" i="1"/>
  <c r="V294" i="1"/>
  <c r="BH92" i="1" l="1"/>
  <c r="AZ93" i="1" s="1"/>
  <c r="BF93" i="1"/>
  <c r="AC295" i="1"/>
  <c r="V295" i="1"/>
  <c r="AB295" i="1"/>
  <c r="Q295" i="1"/>
  <c r="P295" i="1"/>
  <c r="CF93" i="1" l="1"/>
  <c r="BX93" i="1" s="1"/>
  <c r="CD93" i="1"/>
  <c r="BT93" i="1" s="1"/>
  <c r="BD93" i="1"/>
  <c r="AC296" i="1"/>
  <c r="AB296" i="1"/>
  <c r="V296" i="1"/>
  <c r="Q296" i="1"/>
  <c r="P296" i="1"/>
  <c r="BR93" i="1" l="1"/>
  <c r="BV93" i="1"/>
  <c r="CB93" i="1"/>
  <c r="BN93" i="1" s="1"/>
  <c r="AC297" i="1"/>
  <c r="AB297" i="1"/>
  <c r="V297" i="1"/>
  <c r="Q297" i="1"/>
  <c r="P297" i="1"/>
  <c r="BP93" i="1" l="1"/>
  <c r="BJ93" i="1" s="1"/>
  <c r="BB94" i="1" s="1"/>
  <c r="AC298" i="1"/>
  <c r="AB298" i="1"/>
  <c r="Q298" i="1"/>
  <c r="V298" i="1"/>
  <c r="P298" i="1"/>
  <c r="BH93" i="1" l="1"/>
  <c r="AZ94" i="1" s="1"/>
  <c r="BF94" i="1"/>
  <c r="AC299" i="1"/>
  <c r="AB299" i="1"/>
  <c r="V299" i="1"/>
  <c r="Q299" i="1"/>
  <c r="P299" i="1"/>
  <c r="CF94" i="1" l="1"/>
  <c r="BX94" i="1" s="1"/>
  <c r="CD94" i="1"/>
  <c r="BT94" i="1" s="1"/>
  <c r="BD94" i="1"/>
  <c r="AC300" i="1"/>
  <c r="AB300" i="1"/>
  <c r="V300" i="1"/>
  <c r="P300" i="1"/>
  <c r="Q300" i="1"/>
  <c r="BR94" i="1" l="1"/>
  <c r="BV94" i="1"/>
  <c r="CB94" i="1"/>
  <c r="BN94" i="1" s="1"/>
  <c r="AC301" i="1"/>
  <c r="AB301" i="1"/>
  <c r="V301" i="1"/>
  <c r="P301" i="1"/>
  <c r="Q301" i="1"/>
  <c r="BP94" i="1" l="1"/>
  <c r="BJ94" i="1" s="1"/>
  <c r="BH94" i="1"/>
  <c r="AZ95" i="1" s="1"/>
  <c r="AC302" i="1"/>
  <c r="AB302" i="1"/>
  <c r="Q302" i="1"/>
  <c r="V302" i="1"/>
  <c r="P302" i="1"/>
  <c r="BF95" i="1" l="1"/>
  <c r="BB95" i="1"/>
  <c r="BD95" i="1"/>
  <c r="AC303" i="1"/>
  <c r="V303" i="1"/>
  <c r="AB303" i="1"/>
  <c r="Q303" i="1"/>
  <c r="P303" i="1"/>
  <c r="CF95" i="1" l="1"/>
  <c r="BV95" i="1" s="1"/>
  <c r="CD95" i="1"/>
  <c r="CB95" i="1"/>
  <c r="BN95" i="1" s="1"/>
  <c r="AC304" i="1"/>
  <c r="AB304" i="1"/>
  <c r="V304" i="1"/>
  <c r="Q304" i="1"/>
  <c r="P304" i="1"/>
  <c r="BP95" i="1" l="1"/>
  <c r="BT95" i="1"/>
  <c r="BR95" i="1"/>
  <c r="BX95" i="1"/>
  <c r="BJ95" i="1" s="1"/>
  <c r="BB96" i="1" s="1"/>
  <c r="AC305" i="1"/>
  <c r="AB305" i="1"/>
  <c r="V305" i="1"/>
  <c r="P305" i="1"/>
  <c r="Q305" i="1"/>
  <c r="BH95" i="1" l="1"/>
  <c r="AZ96" i="1" s="1"/>
  <c r="BF96" i="1"/>
  <c r="AC306" i="1"/>
  <c r="AB306" i="1"/>
  <c r="Q306" i="1"/>
  <c r="V306" i="1"/>
  <c r="P306" i="1"/>
  <c r="CF96" i="1" l="1"/>
  <c r="BV96" i="1" s="1"/>
  <c r="CD96" i="1"/>
  <c r="BT96" i="1" s="1"/>
  <c r="BD96" i="1"/>
  <c r="CB96" i="1"/>
  <c r="BP96" i="1" s="1"/>
  <c r="AC307" i="1"/>
  <c r="AB307" i="1"/>
  <c r="V307" i="1"/>
  <c r="Q307" i="1"/>
  <c r="P307" i="1"/>
  <c r="BN96" i="1" l="1"/>
  <c r="BR96" i="1"/>
  <c r="BX96" i="1"/>
  <c r="BJ96" i="1" s="1"/>
  <c r="BB97" i="1" s="1"/>
  <c r="AC308" i="1"/>
  <c r="AB308" i="1"/>
  <c r="V308" i="1"/>
  <c r="Q308" i="1"/>
  <c r="P308" i="1"/>
  <c r="BH96" i="1" l="1"/>
  <c r="AZ97" i="1"/>
  <c r="BF97" i="1"/>
  <c r="AC309" i="1"/>
  <c r="AB309" i="1"/>
  <c r="V309" i="1"/>
  <c r="Q309" i="1"/>
  <c r="P309" i="1"/>
  <c r="CF97" i="1" l="1"/>
  <c r="BX97" i="1" s="1"/>
  <c r="CD97" i="1"/>
  <c r="BT97" i="1" s="1"/>
  <c r="BD97" i="1"/>
  <c r="AC310" i="1"/>
  <c r="AB310" i="1"/>
  <c r="Q310" i="1"/>
  <c r="P310" i="1"/>
  <c r="V310" i="1"/>
  <c r="BR97" i="1" l="1"/>
  <c r="BV97" i="1"/>
  <c r="CB97" i="1"/>
  <c r="BN97" i="1" s="1"/>
  <c r="AC311" i="1"/>
  <c r="V311" i="1"/>
  <c r="AB311" i="1"/>
  <c r="Q311" i="1"/>
  <c r="P311" i="1"/>
  <c r="BP97" i="1" l="1"/>
  <c r="BH97" i="1"/>
  <c r="BJ97" i="1"/>
  <c r="BB98" i="1" s="1"/>
  <c r="AC312" i="1"/>
  <c r="AB312" i="1"/>
  <c r="V312" i="1"/>
  <c r="Q312" i="1"/>
  <c r="P312" i="1"/>
  <c r="AZ98" i="1" l="1"/>
  <c r="BD98" i="1"/>
  <c r="BF98" i="1"/>
  <c r="CB98" i="1"/>
  <c r="BP98" i="1" s="1"/>
  <c r="AC313" i="1"/>
  <c r="AB313" i="1"/>
  <c r="V313" i="1"/>
  <c r="Q313" i="1"/>
  <c r="P313" i="1"/>
  <c r="BN98" i="1" l="1"/>
  <c r="CF98" i="1"/>
  <c r="BX98" i="1" s="1"/>
  <c r="CD98" i="1"/>
  <c r="BT98" i="1" s="1"/>
  <c r="AC314" i="1"/>
  <c r="AB314" i="1"/>
  <c r="Q314" i="1"/>
  <c r="V314" i="1"/>
  <c r="P314" i="1"/>
  <c r="BJ98" i="1" l="1"/>
  <c r="BB99" i="1" s="1"/>
  <c r="BR98" i="1"/>
  <c r="BV98" i="1"/>
  <c r="BF99" i="1"/>
  <c r="AC315" i="1"/>
  <c r="AB315" i="1"/>
  <c r="V315" i="1"/>
  <c r="Q315" i="1"/>
  <c r="P315" i="1"/>
  <c r="BH98" i="1" l="1"/>
  <c r="AZ99" i="1" s="1"/>
  <c r="BD99" i="1"/>
  <c r="AC316" i="1"/>
  <c r="AB316" i="1"/>
  <c r="V316" i="1"/>
  <c r="P316" i="1"/>
  <c r="Q316" i="1"/>
  <c r="CD99" i="1" l="1"/>
  <c r="BT99" i="1" s="1"/>
  <c r="CF99" i="1"/>
  <c r="BX99" i="1" s="1"/>
  <c r="BR99" i="1"/>
  <c r="CB99" i="1"/>
  <c r="BP99" i="1" s="1"/>
  <c r="AC317" i="1"/>
  <c r="AB317" i="1"/>
  <c r="V317" i="1"/>
  <c r="P317" i="1"/>
  <c r="Q317" i="1"/>
  <c r="BN99" i="1" l="1"/>
  <c r="BV99" i="1"/>
  <c r="BJ99" i="1"/>
  <c r="BB100" i="1" s="1"/>
  <c r="AC318" i="1"/>
  <c r="Q318" i="1"/>
  <c r="V318" i="1"/>
  <c r="AB318" i="1"/>
  <c r="P318" i="1"/>
  <c r="BH99" i="1" l="1"/>
  <c r="AZ100" i="1" s="1"/>
  <c r="BF100" i="1"/>
  <c r="AC319" i="1"/>
  <c r="V319" i="1"/>
  <c r="Q319" i="1"/>
  <c r="P319" i="1"/>
  <c r="AB319" i="1"/>
  <c r="CF100" i="1" l="1"/>
  <c r="BX100" i="1" s="1"/>
  <c r="CD100" i="1"/>
  <c r="BT100" i="1" s="1"/>
  <c r="BD100" i="1"/>
  <c r="CB100" i="1"/>
  <c r="BP100" i="1" s="1"/>
  <c r="AC320" i="1"/>
  <c r="AB320" i="1"/>
  <c r="V320" i="1"/>
  <c r="Q320" i="1"/>
  <c r="P320" i="1"/>
  <c r="BN100" i="1" l="1"/>
  <c r="BR100" i="1"/>
  <c r="BV100" i="1"/>
  <c r="BJ100" i="1"/>
  <c r="BB101" i="1" s="1"/>
  <c r="AC321" i="1"/>
  <c r="AB321" i="1"/>
  <c r="V321" i="1"/>
  <c r="P321" i="1"/>
  <c r="Q321" i="1"/>
  <c r="BH100" i="1" l="1"/>
  <c r="AZ101" i="1" s="1"/>
  <c r="CD101" i="1" s="1"/>
  <c r="BT101" i="1" s="1"/>
  <c r="BF101" i="1"/>
  <c r="BD101" i="1"/>
  <c r="AC322" i="1"/>
  <c r="AB322" i="1"/>
  <c r="Q322" i="1"/>
  <c r="V322" i="1"/>
  <c r="P322" i="1"/>
  <c r="CF101" i="1" l="1"/>
  <c r="BX101" i="1" s="1"/>
  <c r="BR101" i="1"/>
  <c r="BV101" i="1"/>
  <c r="CB101" i="1"/>
  <c r="BP101" i="1" s="1"/>
  <c r="AB323" i="1"/>
  <c r="AC323" i="1"/>
  <c r="V323" i="1"/>
  <c r="Q323" i="1"/>
  <c r="P323" i="1"/>
  <c r="BN101" i="1" l="1"/>
  <c r="BH101" i="1" s="1"/>
  <c r="BJ101" i="1"/>
  <c r="BB102" i="1" s="1"/>
  <c r="AC324" i="1"/>
  <c r="AB324" i="1"/>
  <c r="V324" i="1"/>
  <c r="P324" i="1"/>
  <c r="Q324" i="1"/>
  <c r="BF102" i="1" l="1"/>
  <c r="AZ102" i="1"/>
  <c r="AB325" i="1"/>
  <c r="AC325" i="1"/>
  <c r="V325" i="1"/>
  <c r="Q325" i="1"/>
  <c r="P325" i="1"/>
  <c r="CF102" i="1" l="1"/>
  <c r="BX102" i="1" s="1"/>
  <c r="CD102" i="1"/>
  <c r="BT102" i="1" s="1"/>
  <c r="BD102" i="1"/>
  <c r="AC326" i="1"/>
  <c r="AB326" i="1"/>
  <c r="Q326" i="1"/>
  <c r="P326" i="1"/>
  <c r="V326" i="1"/>
  <c r="BV102" i="1" l="1"/>
  <c r="BR102" i="1"/>
  <c r="CB102" i="1"/>
  <c r="BN102" i="1" s="1"/>
  <c r="AC327" i="1"/>
  <c r="V327" i="1"/>
  <c r="AB327" i="1"/>
  <c r="Q327" i="1"/>
  <c r="P327" i="1"/>
  <c r="BP102" i="1" l="1"/>
  <c r="AC328" i="1"/>
  <c r="AB328" i="1"/>
  <c r="V328" i="1"/>
  <c r="Q328" i="1"/>
  <c r="P328" i="1"/>
  <c r="BJ102" i="1" l="1"/>
  <c r="BB103" i="1" s="1"/>
  <c r="BH102" i="1"/>
  <c r="AZ103" i="1"/>
  <c r="AC329" i="1"/>
  <c r="AB329" i="1"/>
  <c r="V329" i="1"/>
  <c r="Q329" i="1"/>
  <c r="P329" i="1"/>
  <c r="BF103" i="1" l="1"/>
  <c r="CF103" i="1"/>
  <c r="BX103" i="1" s="1"/>
  <c r="CD103" i="1"/>
  <c r="BT103" i="1" s="1"/>
  <c r="BD103" i="1"/>
  <c r="AC330" i="1"/>
  <c r="AB330" i="1"/>
  <c r="Q330" i="1"/>
  <c r="V330" i="1"/>
  <c r="P330" i="1"/>
  <c r="BR103" i="1" l="1"/>
  <c r="BV103" i="1"/>
  <c r="CB103" i="1"/>
  <c r="BN103" i="1" s="1"/>
  <c r="AC331" i="1"/>
  <c r="AB331" i="1"/>
  <c r="V331" i="1"/>
  <c r="Q331" i="1"/>
  <c r="P331" i="1"/>
  <c r="BP103" i="1" l="1"/>
  <c r="AC332" i="1"/>
  <c r="AB332" i="1"/>
  <c r="V332" i="1"/>
  <c r="P332" i="1"/>
  <c r="Q332" i="1"/>
  <c r="BJ103" i="1" l="1"/>
  <c r="BB104" i="1" s="1"/>
  <c r="BH103" i="1"/>
  <c r="AZ104" i="1" s="1"/>
  <c r="AC333" i="1"/>
  <c r="AB333" i="1"/>
  <c r="V333" i="1"/>
  <c r="P333" i="1"/>
  <c r="Q333" i="1"/>
  <c r="BF104" i="1" l="1"/>
  <c r="CF104" i="1"/>
  <c r="BX104" i="1" s="1"/>
  <c r="CD104" i="1"/>
  <c r="BT104" i="1" s="1"/>
  <c r="BD104" i="1"/>
  <c r="AC334" i="1"/>
  <c r="AB334" i="1"/>
  <c r="Q334" i="1"/>
  <c r="V334" i="1"/>
  <c r="P334" i="1"/>
  <c r="BR104" i="1" l="1"/>
  <c r="BV104" i="1"/>
  <c r="CB104" i="1"/>
  <c r="BN104" i="1" s="1"/>
  <c r="AC335" i="1"/>
  <c r="V335" i="1"/>
  <c r="AB335" i="1"/>
  <c r="Q335" i="1"/>
  <c r="P335" i="1"/>
  <c r="BP104" i="1" l="1"/>
  <c r="AC336" i="1"/>
  <c r="AB336" i="1"/>
  <c r="V336" i="1"/>
  <c r="Q336" i="1"/>
  <c r="P336" i="1"/>
  <c r="BH104" i="1" l="1"/>
  <c r="AZ105" i="1" s="1"/>
  <c r="BJ104" i="1"/>
  <c r="BB105" i="1" s="1"/>
  <c r="AC337" i="1"/>
  <c r="AB337" i="1"/>
  <c r="V337" i="1"/>
  <c r="P337" i="1"/>
  <c r="Q337" i="1"/>
  <c r="CF105" i="1" l="1"/>
  <c r="BX105" i="1" s="1"/>
  <c r="CD105" i="1"/>
  <c r="BT105" i="1" s="1"/>
  <c r="BD105" i="1"/>
  <c r="BF105" i="1"/>
  <c r="AC338" i="1"/>
  <c r="AB338" i="1"/>
  <c r="Q338" i="1"/>
  <c r="V338" i="1"/>
  <c r="P338" i="1"/>
  <c r="BR105" i="1" l="1"/>
  <c r="BV105" i="1"/>
  <c r="CB105" i="1"/>
  <c r="BN105" i="1" s="1"/>
  <c r="AC339" i="1"/>
  <c r="AB339" i="1"/>
  <c r="V339" i="1"/>
  <c r="Q339" i="1"/>
  <c r="P339" i="1"/>
  <c r="BP105" i="1" l="1"/>
  <c r="BH105" i="1"/>
  <c r="AZ106" i="1" s="1"/>
  <c r="AC340" i="1"/>
  <c r="AB340" i="1"/>
  <c r="V340" i="1"/>
  <c r="Q340" i="1"/>
  <c r="P340" i="1"/>
  <c r="BJ105" i="1" l="1"/>
  <c r="BD106" i="1"/>
  <c r="AC341" i="1"/>
  <c r="AB341" i="1"/>
  <c r="V341" i="1"/>
  <c r="Q341" i="1"/>
  <c r="P341" i="1"/>
  <c r="BF106" i="1" l="1"/>
  <c r="BB106" i="1"/>
  <c r="AC342" i="1"/>
  <c r="AB342" i="1"/>
  <c r="Q342" i="1"/>
  <c r="P342" i="1"/>
  <c r="V342" i="1"/>
  <c r="CD106" i="1" l="1"/>
  <c r="BR106" i="1" s="1"/>
  <c r="CF106" i="1"/>
  <c r="BV106" i="1" s="1"/>
  <c r="CB106" i="1"/>
  <c r="BN106" i="1" s="1"/>
  <c r="AC343" i="1"/>
  <c r="V343" i="1"/>
  <c r="AB343" i="1"/>
  <c r="Q343" i="1"/>
  <c r="P343" i="1"/>
  <c r="BP106" i="1" l="1"/>
  <c r="BT106" i="1"/>
  <c r="BX106" i="1"/>
  <c r="BH106" i="1"/>
  <c r="AC344" i="1"/>
  <c r="AB344" i="1"/>
  <c r="V344" i="1"/>
  <c r="Q344" i="1"/>
  <c r="P344" i="1"/>
  <c r="BJ106" i="1" l="1"/>
  <c r="BB107" i="1" s="1"/>
  <c r="AZ107" i="1"/>
  <c r="BD107" i="1"/>
  <c r="AB345" i="1"/>
  <c r="AC345" i="1"/>
  <c r="V345" i="1"/>
  <c r="Q345" i="1"/>
  <c r="P345" i="1"/>
  <c r="BF107" i="1" l="1"/>
  <c r="CF107" i="1"/>
  <c r="BX107" i="1" s="1"/>
  <c r="CD107" i="1"/>
  <c r="BT107" i="1" s="1"/>
  <c r="CB107" i="1"/>
  <c r="BN107" i="1" s="1"/>
  <c r="AB346" i="1"/>
  <c r="AC346" i="1"/>
  <c r="Q346" i="1"/>
  <c r="V346" i="1"/>
  <c r="P346" i="1"/>
  <c r="BP107" i="1" l="1"/>
  <c r="BJ107" i="1" s="1"/>
  <c r="BB108" i="1" s="1"/>
  <c r="BR107" i="1"/>
  <c r="BV107" i="1"/>
  <c r="AC347" i="1"/>
  <c r="AB347" i="1"/>
  <c r="V347" i="1"/>
  <c r="Q347" i="1"/>
  <c r="P347" i="1"/>
  <c r="BH107" i="1" l="1"/>
  <c r="AZ108" i="1" s="1"/>
  <c r="CF108" i="1"/>
  <c r="BX108" i="1" s="1"/>
  <c r="CD108" i="1"/>
  <c r="BT108" i="1" s="1"/>
  <c r="BF108" i="1"/>
  <c r="BD108" i="1"/>
  <c r="CB108" i="1"/>
  <c r="BP108" i="1" s="1"/>
  <c r="AC348" i="1"/>
  <c r="AB348" i="1"/>
  <c r="V348" i="1"/>
  <c r="P348" i="1"/>
  <c r="Q348" i="1"/>
  <c r="BN108" i="1" l="1"/>
  <c r="BR108" i="1"/>
  <c r="BV108" i="1"/>
  <c r="AC349" i="1"/>
  <c r="AB349" i="1"/>
  <c r="V349" i="1"/>
  <c r="P349" i="1"/>
  <c r="Q349" i="1"/>
  <c r="BH108" i="1" l="1"/>
  <c r="AC350" i="1"/>
  <c r="Q350" i="1"/>
  <c r="AB350" i="1"/>
  <c r="V350" i="1"/>
  <c r="P350" i="1"/>
  <c r="BJ108" i="1" l="1"/>
  <c r="BB109" i="1" s="1"/>
  <c r="AZ109" i="1"/>
  <c r="BD109" i="1"/>
  <c r="AC351" i="1"/>
  <c r="V351" i="1"/>
  <c r="Q351" i="1"/>
  <c r="P351" i="1"/>
  <c r="AB351" i="1"/>
  <c r="BF109" i="1" l="1"/>
  <c r="CF109" i="1"/>
  <c r="BX109" i="1" s="1"/>
  <c r="CD109" i="1"/>
  <c r="BT109" i="1" s="1"/>
  <c r="CB109" i="1"/>
  <c r="BP109" i="1" s="1"/>
  <c r="AC352" i="1"/>
  <c r="AB352" i="1"/>
  <c r="V352" i="1"/>
  <c r="Q352" i="1"/>
  <c r="P352" i="1"/>
  <c r="BN109" i="1" l="1"/>
  <c r="BR109" i="1"/>
  <c r="BV109" i="1"/>
  <c r="AC353" i="1"/>
  <c r="AB353" i="1"/>
  <c r="V353" i="1"/>
  <c r="P353" i="1"/>
  <c r="Q353" i="1"/>
  <c r="BH109" i="1" l="1"/>
  <c r="AZ110" i="1" s="1"/>
  <c r="BJ109" i="1"/>
  <c r="BB110" i="1" s="1"/>
  <c r="AC354" i="1"/>
  <c r="AB354" i="1"/>
  <c r="Q354" i="1"/>
  <c r="V354" i="1"/>
  <c r="P354" i="1"/>
  <c r="CD110" i="1" l="1"/>
  <c r="BR110" i="1" s="1"/>
  <c r="CF110" i="1"/>
  <c r="BX110" i="1" s="1"/>
  <c r="BD110" i="1"/>
  <c r="BF110" i="1"/>
  <c r="CB110" i="1"/>
  <c r="BN110" i="1" s="1"/>
  <c r="AC355" i="1"/>
  <c r="AB355" i="1"/>
  <c r="V355" i="1"/>
  <c r="Q355" i="1"/>
  <c r="P355" i="1"/>
  <c r="BP110" i="1" l="1"/>
  <c r="BT110" i="1"/>
  <c r="BV110" i="1"/>
  <c r="AC356" i="1"/>
  <c r="AB356" i="1"/>
  <c r="V356" i="1"/>
  <c r="Q356" i="1"/>
  <c r="P356" i="1"/>
  <c r="BH110" i="1" l="1"/>
  <c r="AZ111" i="1" s="1"/>
  <c r="BJ110" i="1"/>
  <c r="AC357" i="1"/>
  <c r="AB357" i="1"/>
  <c r="V357" i="1"/>
  <c r="Q357" i="1"/>
  <c r="P357" i="1"/>
  <c r="BD111" i="1" l="1"/>
  <c r="BF111" i="1"/>
  <c r="BB111" i="1"/>
  <c r="AC358" i="1"/>
  <c r="AB358" i="1"/>
  <c r="Q358" i="1"/>
  <c r="P358" i="1"/>
  <c r="V358" i="1"/>
  <c r="CF111" i="1" l="1"/>
  <c r="BV111" i="1" s="1"/>
  <c r="CD111" i="1"/>
  <c r="BR111" i="1" s="1"/>
  <c r="CB111" i="1"/>
  <c r="BN111" i="1" s="1"/>
  <c r="AC359" i="1"/>
  <c r="V359" i="1"/>
  <c r="AB359" i="1"/>
  <c r="Q359" i="1"/>
  <c r="P359" i="1"/>
  <c r="BP111" i="1" l="1"/>
  <c r="BX111" i="1"/>
  <c r="BT111" i="1"/>
  <c r="AC360" i="1"/>
  <c r="AB360" i="1"/>
  <c r="V360" i="1"/>
  <c r="Q360" i="1"/>
  <c r="P360" i="1"/>
  <c r="BJ111" i="1" l="1"/>
  <c r="BB112" i="1" s="1"/>
  <c r="BH111" i="1"/>
  <c r="AZ112" i="1" s="1"/>
  <c r="AC361" i="1"/>
  <c r="AB361" i="1"/>
  <c r="V361" i="1"/>
  <c r="Q361" i="1"/>
  <c r="P361" i="1"/>
  <c r="BF112" i="1" l="1"/>
  <c r="CF112" i="1"/>
  <c r="BX112" i="1" s="1"/>
  <c r="CD112" i="1"/>
  <c r="BT112" i="1" s="1"/>
  <c r="BD112" i="1"/>
  <c r="CB112" i="1"/>
  <c r="BN112" i="1" s="1"/>
  <c r="AC362" i="1"/>
  <c r="AB362" i="1"/>
  <c r="Q362" i="1"/>
  <c r="V362" i="1"/>
  <c r="P362" i="1"/>
  <c r="BP112" i="1" l="1"/>
  <c r="BJ112" i="1" s="1"/>
  <c r="BB113" i="1" s="1"/>
  <c r="BR112" i="1"/>
  <c r="BV112" i="1"/>
  <c r="AC363" i="1"/>
  <c r="AB363" i="1"/>
  <c r="V363" i="1"/>
  <c r="Q363" i="1"/>
  <c r="P363" i="1"/>
  <c r="BH112" i="1" l="1"/>
  <c r="AZ113" i="1" s="1"/>
  <c r="BF113" i="1"/>
  <c r="AC364" i="1"/>
  <c r="AB364" i="1"/>
  <c r="V364" i="1"/>
  <c r="P364" i="1"/>
  <c r="Q364" i="1"/>
  <c r="CF113" i="1" l="1"/>
  <c r="BV113" i="1" s="1"/>
  <c r="CD113" i="1"/>
  <c r="BR113" i="1" s="1"/>
  <c r="BD113" i="1"/>
  <c r="CB113" i="1"/>
  <c r="BP113" i="1" s="1"/>
  <c r="AC365" i="1"/>
  <c r="AB365" i="1"/>
  <c r="V365" i="1"/>
  <c r="P365" i="1"/>
  <c r="Q365" i="1"/>
  <c r="BN113" i="1" l="1"/>
  <c r="BT113" i="1"/>
  <c r="BX113" i="1"/>
  <c r="AC366" i="1"/>
  <c r="AB366" i="1"/>
  <c r="Q366" i="1"/>
  <c r="V366" i="1"/>
  <c r="P366" i="1"/>
  <c r="BH113" i="1" l="1"/>
  <c r="AZ114" i="1" s="1"/>
  <c r="BJ113" i="1"/>
  <c r="BB114" i="1" s="1"/>
  <c r="V367" i="1"/>
  <c r="AC367" i="1"/>
  <c r="AB367" i="1"/>
  <c r="Q367" i="1"/>
  <c r="P367" i="1"/>
  <c r="CD114" i="1" l="1"/>
  <c r="BT114" i="1" s="1"/>
  <c r="CF114" i="1"/>
  <c r="BX114" i="1" s="1"/>
  <c r="BD114" i="1"/>
  <c r="BF114" i="1"/>
  <c r="CB114" i="1"/>
  <c r="BP114" i="1" s="1"/>
  <c r="AC368" i="1"/>
  <c r="AB368" i="1"/>
  <c r="V368" i="1"/>
  <c r="Q368" i="1"/>
  <c r="P368" i="1"/>
  <c r="BN114" i="1" l="1"/>
  <c r="BR114" i="1"/>
  <c r="BV114" i="1"/>
  <c r="BJ114" i="1"/>
  <c r="BF115" i="1" s="1"/>
  <c r="AC369" i="1"/>
  <c r="AB369" i="1"/>
  <c r="V369" i="1"/>
  <c r="P369" i="1"/>
  <c r="Q369" i="1"/>
  <c r="BH114" i="1" l="1"/>
  <c r="AZ115" i="1" s="1"/>
  <c r="BB115" i="1"/>
  <c r="AC370" i="1"/>
  <c r="AB370" i="1"/>
  <c r="Q370" i="1"/>
  <c r="V370" i="1"/>
  <c r="P370" i="1"/>
  <c r="CD115" i="1" l="1"/>
  <c r="BT115" i="1" s="1"/>
  <c r="CF115" i="1"/>
  <c r="BX115" i="1" s="1"/>
  <c r="BD115" i="1"/>
  <c r="AC371" i="1"/>
  <c r="AB371" i="1"/>
  <c r="V371" i="1"/>
  <c r="Q371" i="1"/>
  <c r="P371" i="1"/>
  <c r="BR115" i="1" l="1"/>
  <c r="BV115" i="1"/>
  <c r="CB115" i="1"/>
  <c r="BN115" i="1" s="1"/>
  <c r="AC372" i="1"/>
  <c r="AB372" i="1"/>
  <c r="V372" i="1"/>
  <c r="Q372" i="1"/>
  <c r="P372" i="1"/>
  <c r="BP115" i="1" l="1"/>
  <c r="AC373" i="1"/>
  <c r="AB373" i="1"/>
  <c r="V373" i="1"/>
  <c r="Q373" i="1"/>
  <c r="P373" i="1"/>
  <c r="BJ115" i="1" l="1"/>
  <c r="BB116" i="1" s="1"/>
  <c r="BH115" i="1"/>
  <c r="AZ116" i="1"/>
  <c r="AC374" i="1"/>
  <c r="AB374" i="1"/>
  <c r="Q374" i="1"/>
  <c r="P374" i="1"/>
  <c r="V374" i="1"/>
  <c r="CF116" i="1" l="1"/>
  <c r="BX116" i="1" s="1"/>
  <c r="CD116" i="1"/>
  <c r="BR116" i="1" s="1"/>
  <c r="BF116" i="1"/>
  <c r="BD116" i="1"/>
  <c r="CB116" i="1"/>
  <c r="BP116" i="1" s="1"/>
  <c r="AC375" i="1"/>
  <c r="V375" i="1"/>
  <c r="AB375" i="1"/>
  <c r="Q375" i="1"/>
  <c r="P375" i="1"/>
  <c r="BN116" i="1" l="1"/>
  <c r="BT116" i="1"/>
  <c r="BJ116" i="1" s="1"/>
  <c r="BB117" i="1" s="1"/>
  <c r="BV116" i="1"/>
  <c r="AC376" i="1"/>
  <c r="AB376" i="1"/>
  <c r="V376" i="1"/>
  <c r="Q376" i="1"/>
  <c r="P376" i="1"/>
  <c r="BH116" i="1" l="1"/>
  <c r="AZ117" i="1" s="1"/>
  <c r="BF117" i="1"/>
  <c r="AC377" i="1"/>
  <c r="AB377" i="1"/>
  <c r="V377" i="1"/>
  <c r="Q377" i="1"/>
  <c r="P377" i="1"/>
  <c r="CF117" i="1" l="1"/>
  <c r="BX117" i="1" s="1"/>
  <c r="CD117" i="1"/>
  <c r="BT117" i="1" s="1"/>
  <c r="BD117" i="1"/>
  <c r="CB117" i="1"/>
  <c r="BP117" i="1" s="1"/>
  <c r="AC378" i="1"/>
  <c r="AB378" i="1"/>
  <c r="Q378" i="1"/>
  <c r="V378" i="1"/>
  <c r="P378" i="1"/>
  <c r="BN117" i="1" l="1"/>
  <c r="BR117" i="1"/>
  <c r="BV117" i="1"/>
  <c r="BJ117" i="1"/>
  <c r="AC379" i="1"/>
  <c r="AB379" i="1"/>
  <c r="Q379" i="1"/>
  <c r="P379" i="1"/>
  <c r="V379" i="1"/>
  <c r="BH117" i="1" l="1"/>
  <c r="AZ118" i="1" s="1"/>
  <c r="BF118" i="1"/>
  <c r="BB118" i="1"/>
  <c r="AC380" i="1"/>
  <c r="AB380" i="1"/>
  <c r="V380" i="1"/>
  <c r="P380" i="1"/>
  <c r="Q380" i="1"/>
  <c r="CD118" i="1" l="1"/>
  <c r="BT118" i="1" s="1"/>
  <c r="CF118" i="1"/>
  <c r="BX118" i="1" s="1"/>
  <c r="BD118" i="1"/>
  <c r="CB118" i="1"/>
  <c r="BP118" i="1" s="1"/>
  <c r="AC381" i="1"/>
  <c r="AB381" i="1"/>
  <c r="V381" i="1"/>
  <c r="P381" i="1"/>
  <c r="Q381" i="1"/>
  <c r="BN118" i="1" l="1"/>
  <c r="BR118" i="1"/>
  <c r="BV118" i="1"/>
  <c r="BJ118" i="1"/>
  <c r="AC382" i="1"/>
  <c r="V382" i="1"/>
  <c r="Q382" i="1"/>
  <c r="AB382" i="1"/>
  <c r="P382" i="1"/>
  <c r="BH118" i="1" l="1"/>
  <c r="AZ119" i="1" s="1"/>
  <c r="BF119" i="1"/>
  <c r="BB119" i="1"/>
  <c r="AC383" i="1"/>
  <c r="V383" i="1"/>
  <c r="Q383" i="1"/>
  <c r="P383" i="1"/>
  <c r="AB383" i="1"/>
  <c r="CD119" i="1" l="1"/>
  <c r="BT119" i="1" s="1"/>
  <c r="CF119" i="1"/>
  <c r="BX119" i="1" s="1"/>
  <c r="BD119" i="1"/>
  <c r="AC384" i="1"/>
  <c r="AB384" i="1"/>
  <c r="V384" i="1"/>
  <c r="Q384" i="1"/>
  <c r="P384" i="1"/>
  <c r="BR119" i="1" l="1"/>
  <c r="BV119" i="1"/>
  <c r="CB119" i="1"/>
  <c r="BN119" i="1" s="1"/>
  <c r="AC385" i="1"/>
  <c r="AB385" i="1"/>
  <c r="P385" i="1"/>
  <c r="Q385" i="1"/>
  <c r="V385" i="1"/>
  <c r="BP119" i="1" l="1"/>
  <c r="AC386" i="1"/>
  <c r="AB386" i="1"/>
  <c r="Q386" i="1"/>
  <c r="P386" i="1"/>
  <c r="V386" i="1"/>
  <c r="BJ119" i="1" l="1"/>
  <c r="BB120" i="1" s="1"/>
  <c r="BH119" i="1"/>
  <c r="AZ120" i="1" s="1"/>
  <c r="AC387" i="1"/>
  <c r="AB387" i="1"/>
  <c r="V387" i="1"/>
  <c r="Q387" i="1"/>
  <c r="P387" i="1"/>
  <c r="BD120" i="1" l="1"/>
  <c r="BF120" i="1"/>
  <c r="CF120" i="1"/>
  <c r="BX120" i="1" s="1"/>
  <c r="CD120" i="1"/>
  <c r="BT120" i="1" s="1"/>
  <c r="CB120" i="1"/>
  <c r="BN120" i="1" s="1"/>
  <c r="AC388" i="1"/>
  <c r="AB388" i="1"/>
  <c r="V388" i="1"/>
  <c r="P388" i="1"/>
  <c r="Q388" i="1"/>
  <c r="BP120" i="1" l="1"/>
  <c r="BJ120" i="1" s="1"/>
  <c r="BB121" i="1" s="1"/>
  <c r="BR120" i="1"/>
  <c r="BV120" i="1"/>
  <c r="AB389" i="1"/>
  <c r="AC389" i="1"/>
  <c r="V389" i="1"/>
  <c r="Q389" i="1"/>
  <c r="P389" i="1"/>
  <c r="BH120" i="1" l="1"/>
  <c r="AZ121" i="1" s="1"/>
  <c r="BF121" i="1"/>
  <c r="AC390" i="1"/>
  <c r="AB390" i="1"/>
  <c r="Q390" i="1"/>
  <c r="V390" i="1"/>
  <c r="P390" i="1"/>
  <c r="CF121" i="1" l="1"/>
  <c r="BX121" i="1" s="1"/>
  <c r="CD121" i="1"/>
  <c r="BT121" i="1" s="1"/>
  <c r="BD121" i="1"/>
  <c r="CB121" i="1"/>
  <c r="BP121" i="1" s="1"/>
  <c r="AC391" i="1"/>
  <c r="AB391" i="1"/>
  <c r="Q391" i="1"/>
  <c r="P391" i="1"/>
  <c r="V391" i="1"/>
  <c r="BN121" i="1" l="1"/>
  <c r="BR121" i="1"/>
  <c r="BV121" i="1"/>
  <c r="BJ121" i="1"/>
  <c r="AC392" i="1"/>
  <c r="AB392" i="1"/>
  <c r="V392" i="1"/>
  <c r="Q392" i="1"/>
  <c r="P392" i="1"/>
  <c r="BH121" i="1" l="1"/>
  <c r="AZ122" i="1" s="1"/>
  <c r="BF122" i="1"/>
  <c r="BB122" i="1"/>
  <c r="AC393" i="1"/>
  <c r="AB393" i="1"/>
  <c r="V393" i="1"/>
  <c r="Q393" i="1"/>
  <c r="P393" i="1"/>
  <c r="CD122" i="1" l="1"/>
  <c r="BT122" i="1" s="1"/>
  <c r="CF122" i="1"/>
  <c r="BX122" i="1" s="1"/>
  <c r="BD122" i="1"/>
  <c r="CB122" i="1"/>
  <c r="BP122" i="1" s="1"/>
  <c r="AC394" i="1"/>
  <c r="AB394" i="1"/>
  <c r="Q394" i="1"/>
  <c r="V394" i="1"/>
  <c r="P394" i="1"/>
  <c r="BN122" i="1" l="1"/>
  <c r="BR122" i="1"/>
  <c r="BV122" i="1"/>
  <c r="BJ122" i="1"/>
  <c r="BB123" i="1" s="1"/>
  <c r="AC395" i="1"/>
  <c r="AB395" i="1"/>
  <c r="Q395" i="1"/>
  <c r="P395" i="1"/>
  <c r="V395" i="1"/>
  <c r="BH122" i="1" l="1"/>
  <c r="AZ123" i="1" s="1"/>
  <c r="BF123" i="1"/>
  <c r="AC396" i="1"/>
  <c r="AB396" i="1"/>
  <c r="V396" i="1"/>
  <c r="P396" i="1"/>
  <c r="Q396" i="1"/>
  <c r="CF123" i="1" l="1"/>
  <c r="BX123" i="1" s="1"/>
  <c r="CD123" i="1"/>
  <c r="BT123" i="1" s="1"/>
  <c r="BD123" i="1"/>
  <c r="AC397" i="1"/>
  <c r="AB397" i="1"/>
  <c r="P397" i="1"/>
  <c r="V397" i="1"/>
  <c r="Q397" i="1"/>
  <c r="BR123" i="1" l="1"/>
  <c r="BV123" i="1"/>
  <c r="CB123" i="1"/>
  <c r="BN123" i="1" s="1"/>
  <c r="AC398" i="1"/>
  <c r="AB398" i="1"/>
  <c r="V398" i="1"/>
  <c r="Q398" i="1"/>
  <c r="P398" i="1"/>
  <c r="BP123" i="1" l="1"/>
  <c r="BJ123" i="1" s="1"/>
  <c r="BB124" i="1" s="1"/>
  <c r="AC399" i="1"/>
  <c r="AB399" i="1"/>
  <c r="V399" i="1"/>
  <c r="Q399" i="1"/>
  <c r="P399" i="1"/>
  <c r="BH123" i="1" l="1"/>
  <c r="AZ124" i="1" s="1"/>
  <c r="BF124" i="1"/>
  <c r="AC400" i="1"/>
  <c r="AB400" i="1"/>
  <c r="V400" i="1"/>
  <c r="Q400" i="1"/>
  <c r="P400" i="1"/>
  <c r="CF124" i="1" l="1"/>
  <c r="BX124" i="1" s="1"/>
  <c r="CD124" i="1"/>
  <c r="BT124" i="1" s="1"/>
  <c r="BD124" i="1"/>
  <c r="AC401" i="1"/>
  <c r="AB401" i="1"/>
  <c r="V401" i="1"/>
  <c r="P401" i="1"/>
  <c r="Q401" i="1"/>
  <c r="BR124" i="1" l="1"/>
  <c r="BV124" i="1"/>
  <c r="CB124" i="1"/>
  <c r="BN124" i="1" s="1"/>
  <c r="AC402" i="1"/>
  <c r="AB402" i="1"/>
  <c r="Q402" i="1"/>
  <c r="V402" i="1"/>
  <c r="P402" i="1"/>
  <c r="BP124" i="1" l="1"/>
  <c r="BJ124" i="1" s="1"/>
  <c r="AC403" i="1"/>
  <c r="AB403" i="1"/>
  <c r="V403" i="1"/>
  <c r="Q403" i="1"/>
  <c r="P403" i="1"/>
  <c r="BH124" i="1" l="1"/>
  <c r="AZ125" i="1" s="1"/>
  <c r="BF125" i="1"/>
  <c r="BB125" i="1"/>
  <c r="AC404" i="1"/>
  <c r="AB404" i="1"/>
  <c r="V404" i="1"/>
  <c r="Q404" i="1"/>
  <c r="P404" i="1"/>
  <c r="CD125" i="1" l="1"/>
  <c r="BT125" i="1" s="1"/>
  <c r="CF125" i="1"/>
  <c r="BX125" i="1" s="1"/>
  <c r="BD125" i="1"/>
  <c r="CB125" i="1"/>
  <c r="BN125" i="1" s="1"/>
  <c r="AC405" i="1"/>
  <c r="AB405" i="1"/>
  <c r="V405" i="1"/>
  <c r="Q405" i="1"/>
  <c r="P405" i="1"/>
  <c r="BP125" i="1" l="1"/>
  <c r="BJ125" i="1" s="1"/>
  <c r="BB126" i="1" s="1"/>
  <c r="BR125" i="1"/>
  <c r="BV125" i="1"/>
  <c r="AC406" i="1"/>
  <c r="AB406" i="1"/>
  <c r="Q406" i="1"/>
  <c r="P406" i="1"/>
  <c r="V406" i="1"/>
  <c r="BH125" i="1" l="1"/>
  <c r="AZ126" i="1" s="1"/>
  <c r="BF126" i="1"/>
  <c r="AC407" i="1"/>
  <c r="AB407" i="1"/>
  <c r="Q407" i="1"/>
  <c r="P407" i="1"/>
  <c r="V407" i="1"/>
  <c r="CB126" i="1" l="1"/>
  <c r="BP126" i="1" s="1"/>
  <c r="BD126" i="1"/>
  <c r="CF126" i="1"/>
  <c r="BX126" i="1" s="1"/>
  <c r="CD126" i="1"/>
  <c r="BT126" i="1" s="1"/>
  <c r="AC408" i="1"/>
  <c r="AB408" i="1"/>
  <c r="V408" i="1"/>
  <c r="Q408" i="1"/>
  <c r="P408" i="1"/>
  <c r="BJ126" i="1" l="1"/>
  <c r="BB127" i="1" s="1"/>
  <c r="BV126" i="1"/>
  <c r="BN126" i="1"/>
  <c r="BR126" i="1"/>
  <c r="BF127" i="1"/>
  <c r="AB409" i="1"/>
  <c r="AC409" i="1"/>
  <c r="V409" i="1"/>
  <c r="Q409" i="1"/>
  <c r="P409" i="1"/>
  <c r="BH126" i="1" l="1"/>
  <c r="AZ127" i="1" s="1"/>
  <c r="CF127" i="1" s="1"/>
  <c r="BX127" i="1" s="1"/>
  <c r="AB410" i="1"/>
  <c r="AC410" i="1"/>
  <c r="Q410" i="1"/>
  <c r="V410" i="1"/>
  <c r="P410" i="1"/>
  <c r="CB127" i="1" l="1"/>
  <c r="BP127" i="1" s="1"/>
  <c r="BD127" i="1"/>
  <c r="CD127" i="1"/>
  <c r="BT127" i="1" s="1"/>
  <c r="BJ127" i="1" s="1"/>
  <c r="BN127" i="1"/>
  <c r="BV127" i="1"/>
  <c r="AC411" i="1"/>
  <c r="AB411" i="1"/>
  <c r="Q411" i="1"/>
  <c r="P411" i="1"/>
  <c r="V411" i="1"/>
  <c r="BR127" i="1" l="1"/>
  <c r="BH127" i="1" s="1"/>
  <c r="AZ128" i="1" s="1"/>
  <c r="BF128" i="1"/>
  <c r="BB128" i="1"/>
  <c r="AC412" i="1"/>
  <c r="AB412" i="1"/>
  <c r="V412" i="1"/>
  <c r="P412" i="1"/>
  <c r="Q412" i="1"/>
  <c r="CD128" i="1" l="1"/>
  <c r="BT128" i="1" s="1"/>
  <c r="CF128" i="1"/>
  <c r="BX128" i="1" s="1"/>
  <c r="BD128" i="1"/>
  <c r="AC413" i="1"/>
  <c r="AB413" i="1"/>
  <c r="V413" i="1"/>
  <c r="P413" i="1"/>
  <c r="Q413" i="1"/>
  <c r="BR128" i="1" l="1"/>
  <c r="BV128" i="1"/>
  <c r="CB128" i="1"/>
  <c r="BN128" i="1" s="1"/>
  <c r="AC414" i="1"/>
  <c r="V414" i="1"/>
  <c r="Q414" i="1"/>
  <c r="AB414" i="1"/>
  <c r="P414" i="1"/>
  <c r="BP128" i="1" l="1"/>
  <c r="BJ128" i="1" s="1"/>
  <c r="BB129" i="1" s="1"/>
  <c r="AC415" i="1"/>
  <c r="V415" i="1"/>
  <c r="Q415" i="1"/>
  <c r="P415" i="1"/>
  <c r="AB415" i="1"/>
  <c r="BH128" i="1" l="1"/>
  <c r="AZ129" i="1" s="1"/>
  <c r="BF129" i="1"/>
  <c r="AC416" i="1"/>
  <c r="AB416" i="1"/>
  <c r="V416" i="1"/>
  <c r="Q416" i="1"/>
  <c r="P416" i="1"/>
  <c r="BD129" i="1" l="1"/>
  <c r="CF129" i="1"/>
  <c r="BX129" i="1" s="1"/>
  <c r="CD129" i="1"/>
  <c r="BT129" i="1" s="1"/>
  <c r="CB129" i="1"/>
  <c r="BP129" i="1" s="1"/>
  <c r="AC417" i="1"/>
  <c r="AB417" i="1"/>
  <c r="P417" i="1"/>
  <c r="Q417" i="1"/>
  <c r="V417" i="1"/>
  <c r="BN129" i="1" l="1"/>
  <c r="BR129" i="1"/>
  <c r="BV129" i="1"/>
  <c r="BJ129" i="1"/>
  <c r="BB130" i="1" s="1"/>
  <c r="AC418" i="1"/>
  <c r="AB418" i="1"/>
  <c r="Q418" i="1"/>
  <c r="P418" i="1"/>
  <c r="V418" i="1"/>
  <c r="BH129" i="1" l="1"/>
  <c r="AZ130" i="1" s="1"/>
  <c r="BF130" i="1"/>
  <c r="AC419" i="1"/>
  <c r="AB419" i="1"/>
  <c r="V419" i="1"/>
  <c r="Q419" i="1"/>
  <c r="P419" i="1"/>
  <c r="CF130" i="1" l="1"/>
  <c r="BX130" i="1" s="1"/>
  <c r="CD130" i="1"/>
  <c r="BT130" i="1" s="1"/>
  <c r="BD130" i="1"/>
  <c r="AC420" i="1"/>
  <c r="AB420" i="1"/>
  <c r="V420" i="1"/>
  <c r="P420" i="1"/>
  <c r="Q420" i="1"/>
  <c r="BR130" i="1" l="1"/>
  <c r="BV130" i="1"/>
  <c r="CB130" i="1"/>
  <c r="BN130" i="1" s="1"/>
  <c r="AC421" i="1"/>
  <c r="AB421" i="1"/>
  <c r="V421" i="1"/>
  <c r="Q421" i="1"/>
  <c r="P421" i="1"/>
  <c r="BP130" i="1" l="1"/>
  <c r="AC422" i="1"/>
  <c r="AB422" i="1"/>
  <c r="Q422" i="1"/>
  <c r="V422" i="1"/>
  <c r="P422" i="1"/>
  <c r="BH130" i="1" l="1"/>
  <c r="AZ131" i="1" s="1"/>
  <c r="BJ130" i="1"/>
  <c r="BB131" i="1" s="1"/>
  <c r="AC423" i="1"/>
  <c r="AB423" i="1"/>
  <c r="Q423" i="1"/>
  <c r="P423" i="1"/>
  <c r="V423" i="1"/>
  <c r="CD131" i="1" l="1"/>
  <c r="BT131" i="1" s="1"/>
  <c r="CF131" i="1"/>
  <c r="BX131" i="1" s="1"/>
  <c r="BF131" i="1"/>
  <c r="BD131" i="1"/>
  <c r="AC424" i="1"/>
  <c r="AB424" i="1"/>
  <c r="V424" i="1"/>
  <c r="Q424" i="1"/>
  <c r="P424" i="1"/>
  <c r="BR131" i="1" l="1"/>
  <c r="BV131" i="1"/>
  <c r="CB131" i="1"/>
  <c r="BN131" i="1" s="1"/>
  <c r="AC425" i="1"/>
  <c r="AB425" i="1"/>
  <c r="V425" i="1"/>
  <c r="Q425" i="1"/>
  <c r="P425" i="1"/>
  <c r="BP131" i="1" l="1"/>
  <c r="AC426" i="1"/>
  <c r="AB426" i="1"/>
  <c r="Q426" i="1"/>
  <c r="V426" i="1"/>
  <c r="P426" i="1"/>
  <c r="BJ131" i="1" l="1"/>
  <c r="BB132" i="1" s="1"/>
  <c r="BH131" i="1"/>
  <c r="AZ132" i="1" s="1"/>
  <c r="AC427" i="1"/>
  <c r="AB427" i="1"/>
  <c r="Q427" i="1"/>
  <c r="P427" i="1"/>
  <c r="V427" i="1"/>
  <c r="BF132" i="1" l="1"/>
  <c r="CF132" i="1"/>
  <c r="BX132" i="1" s="1"/>
  <c r="CD132" i="1"/>
  <c r="BR132" i="1" s="1"/>
  <c r="BD132" i="1"/>
  <c r="AC428" i="1"/>
  <c r="AB428" i="1"/>
  <c r="V428" i="1"/>
  <c r="P428" i="1"/>
  <c r="Q428" i="1"/>
  <c r="BT132" i="1" l="1"/>
  <c r="BV132" i="1"/>
  <c r="CB132" i="1"/>
  <c r="BN132" i="1" s="1"/>
  <c r="AC429" i="1"/>
  <c r="AB429" i="1"/>
  <c r="P429" i="1"/>
  <c r="V429" i="1"/>
  <c r="Q429" i="1"/>
  <c r="BP132" i="1" l="1"/>
  <c r="BJ132" i="1" s="1"/>
  <c r="BB133" i="1" s="1"/>
  <c r="BH132" i="1"/>
  <c r="AC430" i="1"/>
  <c r="AB430" i="1"/>
  <c r="V430" i="1"/>
  <c r="Q430" i="1"/>
  <c r="P430" i="1"/>
  <c r="AZ133" i="1" l="1"/>
  <c r="BD133" i="1"/>
  <c r="BF133" i="1"/>
  <c r="AC431" i="1"/>
  <c r="AB431" i="1"/>
  <c r="V431" i="1"/>
  <c r="Q431" i="1"/>
  <c r="P431" i="1"/>
  <c r="CF133" i="1" l="1"/>
  <c r="BX133" i="1" s="1"/>
  <c r="CD133" i="1"/>
  <c r="BT133" i="1" s="1"/>
  <c r="CB133" i="1"/>
  <c r="BP133" i="1" s="1"/>
  <c r="AC432" i="1"/>
  <c r="AB432" i="1"/>
  <c r="V432" i="1"/>
  <c r="Q432" i="1"/>
  <c r="P432" i="1"/>
  <c r="BN133" i="1" l="1"/>
  <c r="BR133" i="1"/>
  <c r="BV133" i="1"/>
  <c r="BJ133" i="1"/>
  <c r="BB134" i="1" s="1"/>
  <c r="AC433" i="1"/>
  <c r="AB433" i="1"/>
  <c r="V433" i="1"/>
  <c r="P433" i="1"/>
  <c r="Q433" i="1"/>
  <c r="BH133" i="1" l="1"/>
  <c r="AZ134" i="1" s="1"/>
  <c r="BF134" i="1"/>
  <c r="AC434" i="1"/>
  <c r="AB434" i="1"/>
  <c r="Q434" i="1"/>
  <c r="V434" i="1"/>
  <c r="P434" i="1"/>
  <c r="BD134" i="1" l="1"/>
  <c r="CF134" i="1"/>
  <c r="BX134" i="1" s="1"/>
  <c r="CD134" i="1"/>
  <c r="BT134" i="1" s="1"/>
  <c r="CB134" i="1"/>
  <c r="BP134" i="1" s="1"/>
  <c r="AC435" i="1"/>
  <c r="AB435" i="1"/>
  <c r="V435" i="1"/>
  <c r="Q435" i="1"/>
  <c r="P435" i="1"/>
  <c r="BN134" i="1" l="1"/>
  <c r="BV134" i="1"/>
  <c r="BR134" i="1"/>
  <c r="AC436" i="1"/>
  <c r="AB436" i="1"/>
  <c r="V436" i="1"/>
  <c r="P436" i="1"/>
  <c r="Q436" i="1"/>
  <c r="BH134" i="1" l="1"/>
  <c r="AZ135" i="1" s="1"/>
  <c r="BJ134" i="1"/>
  <c r="BB135" i="1" s="1"/>
  <c r="AC437" i="1"/>
  <c r="AB437" i="1"/>
  <c r="V437" i="1"/>
  <c r="Q437" i="1"/>
  <c r="P437" i="1"/>
  <c r="CD135" i="1" l="1"/>
  <c r="BR135" i="1" s="1"/>
  <c r="CF135" i="1"/>
  <c r="BX135" i="1" s="1"/>
  <c r="BD135" i="1"/>
  <c r="BF135" i="1"/>
  <c r="AC438" i="1"/>
  <c r="AB438" i="1"/>
  <c r="Q438" i="1"/>
  <c r="P438" i="1"/>
  <c r="V438" i="1"/>
  <c r="BT135" i="1" l="1"/>
  <c r="BV135" i="1"/>
  <c r="CB135" i="1"/>
  <c r="BN135" i="1" s="1"/>
  <c r="AC439" i="1"/>
  <c r="AB439" i="1"/>
  <c r="Q439" i="1"/>
  <c r="P439" i="1"/>
  <c r="V439" i="1"/>
  <c r="BP135" i="1" l="1"/>
  <c r="AC440" i="1"/>
  <c r="AB440" i="1"/>
  <c r="V440" i="1"/>
  <c r="Q440" i="1"/>
  <c r="P440" i="1"/>
  <c r="BH135" i="1" l="1"/>
  <c r="AZ136" i="1" s="1"/>
  <c r="BJ135" i="1"/>
  <c r="BB136" i="1" s="1"/>
  <c r="AC441" i="1"/>
  <c r="AB441" i="1"/>
  <c r="V441" i="1"/>
  <c r="Q441" i="1"/>
  <c r="P441" i="1"/>
  <c r="CD136" i="1" l="1"/>
  <c r="BT136" i="1" s="1"/>
  <c r="CF136" i="1"/>
  <c r="BX136" i="1" s="1"/>
  <c r="BF136" i="1"/>
  <c r="BD136" i="1"/>
  <c r="AC442" i="1"/>
  <c r="AB442" i="1"/>
  <c r="Q442" i="1"/>
  <c r="V442" i="1"/>
  <c r="P442" i="1"/>
  <c r="BR136" i="1" l="1"/>
  <c r="BV136" i="1"/>
  <c r="CB136" i="1"/>
  <c r="BN136" i="1" s="1"/>
  <c r="AC443" i="1"/>
  <c r="AB443" i="1"/>
  <c r="Q443" i="1"/>
  <c r="P443" i="1"/>
  <c r="V443" i="1"/>
  <c r="BP136" i="1" l="1"/>
  <c r="BJ136" i="1" s="1"/>
  <c r="BB137" i="1" s="1"/>
  <c r="AC444" i="1"/>
  <c r="AB444" i="1"/>
  <c r="V444" i="1"/>
  <c r="P444" i="1"/>
  <c r="Q444" i="1"/>
  <c r="BH136" i="1" l="1"/>
  <c r="AZ137" i="1" s="1"/>
  <c r="BF137" i="1"/>
  <c r="AC445" i="1"/>
  <c r="AB445" i="1"/>
  <c r="V445" i="1"/>
  <c r="P445" i="1"/>
  <c r="Q445" i="1"/>
  <c r="CF137" i="1" l="1"/>
  <c r="BX137" i="1" s="1"/>
  <c r="CD137" i="1"/>
  <c r="BT137" i="1" s="1"/>
  <c r="BD137" i="1"/>
  <c r="CB137" i="1"/>
  <c r="BP137" i="1" s="1"/>
  <c r="AC446" i="1"/>
  <c r="V446" i="1"/>
  <c r="Q446" i="1"/>
  <c r="AB446" i="1"/>
  <c r="P446" i="1"/>
  <c r="BN137" i="1" l="1"/>
  <c r="BR137" i="1"/>
  <c r="BV137" i="1"/>
  <c r="BJ137" i="1"/>
  <c r="BB138" i="1" s="1"/>
  <c r="AC447" i="1"/>
  <c r="V447" i="1"/>
  <c r="Q447" i="1"/>
  <c r="P447" i="1"/>
  <c r="AB447" i="1"/>
  <c r="BH137" i="1" l="1"/>
  <c r="AZ138" i="1" s="1"/>
  <c r="BF138" i="1"/>
  <c r="AC448" i="1"/>
  <c r="AB448" i="1"/>
  <c r="V448" i="1"/>
  <c r="Q448" i="1"/>
  <c r="P448" i="1"/>
  <c r="CF138" i="1" l="1"/>
  <c r="BX138" i="1" s="1"/>
  <c r="CD138" i="1"/>
  <c r="BT138" i="1" s="1"/>
  <c r="BD138" i="1"/>
  <c r="AC449" i="1"/>
  <c r="AB449" i="1"/>
  <c r="P449" i="1"/>
  <c r="Q449" i="1"/>
  <c r="V449" i="1"/>
  <c r="BR138" i="1" l="1"/>
  <c r="BV138" i="1"/>
  <c r="CB138" i="1"/>
  <c r="BN138" i="1" s="1"/>
  <c r="AC450" i="1"/>
  <c r="AB450" i="1"/>
  <c r="Q450" i="1"/>
  <c r="P450" i="1"/>
  <c r="V450" i="1"/>
  <c r="BP138" i="1" l="1"/>
  <c r="BJ138" i="1" s="1"/>
  <c r="BB139" i="1" s="1"/>
  <c r="AB451" i="1"/>
  <c r="V451" i="1"/>
  <c r="Q451" i="1"/>
  <c r="P451" i="1"/>
  <c r="AC451" i="1"/>
  <c r="BF139" i="1" l="1"/>
  <c r="BH138" i="1"/>
  <c r="AZ139" i="1" s="1"/>
  <c r="AB452" i="1"/>
  <c r="V452" i="1"/>
  <c r="AC452" i="1"/>
  <c r="Q452" i="1"/>
  <c r="P452" i="1"/>
  <c r="CF139" i="1" l="1"/>
  <c r="BX139" i="1" s="1"/>
  <c r="CD139" i="1"/>
  <c r="BT139" i="1" s="1"/>
  <c r="BD139" i="1"/>
  <c r="CB139" i="1"/>
  <c r="BP139" i="1" s="1"/>
  <c r="AC453" i="1"/>
  <c r="AB453" i="1"/>
  <c r="V453" i="1"/>
  <c r="Q453" i="1"/>
  <c r="P453" i="1"/>
  <c r="BN139" i="1" l="1"/>
  <c r="BR139" i="1"/>
  <c r="BV139" i="1"/>
  <c r="BJ139" i="1"/>
  <c r="BB140" i="1" s="1"/>
  <c r="AC454" i="1"/>
  <c r="AB454" i="1"/>
  <c r="Q454" i="1"/>
  <c r="V454" i="1"/>
  <c r="P454" i="1"/>
  <c r="BH139" i="1" l="1"/>
  <c r="AZ140" i="1" s="1"/>
  <c r="BF140" i="1"/>
  <c r="AC455" i="1"/>
  <c r="AB455" i="1"/>
  <c r="Q455" i="1"/>
  <c r="P455" i="1"/>
  <c r="V455" i="1"/>
  <c r="CB140" i="1" l="1"/>
  <c r="BP140" i="1" s="1"/>
  <c r="BD140" i="1"/>
  <c r="CD140" i="1"/>
  <c r="BT140" i="1" s="1"/>
  <c r="CF140" i="1"/>
  <c r="BX140" i="1" s="1"/>
  <c r="BJ140" i="1" s="1"/>
  <c r="AC456" i="1"/>
  <c r="AB456" i="1"/>
  <c r="V456" i="1"/>
  <c r="Q456" i="1"/>
  <c r="P456" i="1"/>
  <c r="BN140" i="1" l="1"/>
  <c r="BV140" i="1"/>
  <c r="BR140" i="1"/>
  <c r="BF141" i="1"/>
  <c r="BB141" i="1"/>
  <c r="AC457" i="1"/>
  <c r="AB457" i="1"/>
  <c r="V457" i="1"/>
  <c r="Q457" i="1"/>
  <c r="P457" i="1"/>
  <c r="BH140" i="1" l="1"/>
  <c r="AZ141" i="1" s="1"/>
  <c r="CD141" i="1" s="1"/>
  <c r="BT141" i="1" s="1"/>
  <c r="AC458" i="1"/>
  <c r="AB458" i="1"/>
  <c r="Q458" i="1"/>
  <c r="V458" i="1"/>
  <c r="P458" i="1"/>
  <c r="BD141" i="1" l="1"/>
  <c r="CF141" i="1"/>
  <c r="BV141" i="1" s="1"/>
  <c r="BR141" i="1"/>
  <c r="CB141" i="1"/>
  <c r="BN141" i="1" s="1"/>
  <c r="AC459" i="1"/>
  <c r="AB459" i="1"/>
  <c r="Q459" i="1"/>
  <c r="P459" i="1"/>
  <c r="V459" i="1"/>
  <c r="BX141" i="1" l="1"/>
  <c r="BP141" i="1"/>
  <c r="BJ141" i="1" s="1"/>
  <c r="BB142" i="1" s="1"/>
  <c r="AB460" i="1"/>
  <c r="AC460" i="1"/>
  <c r="V460" i="1"/>
  <c r="P460" i="1"/>
  <c r="Q460" i="1"/>
  <c r="BH141" i="1" l="1"/>
  <c r="AZ142" i="1" s="1"/>
  <c r="BF142" i="1"/>
  <c r="AC461" i="1"/>
  <c r="AB461" i="1"/>
  <c r="P461" i="1"/>
  <c r="V461" i="1"/>
  <c r="Q461" i="1"/>
  <c r="CF142" i="1" l="1"/>
  <c r="BX142" i="1" s="1"/>
  <c r="CD142" i="1"/>
  <c r="BR142" i="1" s="1"/>
  <c r="BD142" i="1"/>
  <c r="AC462" i="1"/>
  <c r="AB462" i="1"/>
  <c r="V462" i="1"/>
  <c r="Q462" i="1"/>
  <c r="P462" i="1"/>
  <c r="BT142" i="1" l="1"/>
  <c r="BV142" i="1"/>
  <c r="CB142" i="1"/>
  <c r="BN142" i="1" s="1"/>
  <c r="AC463" i="1"/>
  <c r="AB463" i="1"/>
  <c r="V463" i="1"/>
  <c r="Q463" i="1"/>
  <c r="P463" i="1"/>
  <c r="BP142" i="1" l="1"/>
  <c r="BJ142" i="1" s="1"/>
  <c r="BH142" i="1"/>
  <c r="AZ143" i="1" s="1"/>
  <c r="AC464" i="1"/>
  <c r="AB464" i="1"/>
  <c r="V464" i="1"/>
  <c r="Q464" i="1"/>
  <c r="P464" i="1"/>
  <c r="BB143" i="1" l="1"/>
  <c r="BF143" i="1"/>
  <c r="BD143" i="1"/>
  <c r="AC465" i="1"/>
  <c r="AB465" i="1"/>
  <c r="V465" i="1"/>
  <c r="P465" i="1"/>
  <c r="Q465" i="1"/>
  <c r="CB143" i="1" l="1"/>
  <c r="BN143" i="1" s="1"/>
  <c r="CF143" i="1"/>
  <c r="BV143" i="1" s="1"/>
  <c r="CD143" i="1"/>
  <c r="AC466" i="1"/>
  <c r="AB466" i="1"/>
  <c r="Q466" i="1"/>
  <c r="V466" i="1"/>
  <c r="P466" i="1"/>
  <c r="BP143" i="1" l="1"/>
  <c r="BT143" i="1"/>
  <c r="BR143" i="1"/>
  <c r="BH143" i="1" s="1"/>
  <c r="AZ144" i="1" s="1"/>
  <c r="BX143" i="1"/>
  <c r="AC467" i="1"/>
  <c r="AB467" i="1"/>
  <c r="V467" i="1"/>
  <c r="Q467" i="1"/>
  <c r="P467" i="1"/>
  <c r="BJ143" i="1" l="1"/>
  <c r="BB144" i="1" s="1"/>
  <c r="BD144" i="1"/>
  <c r="AB468" i="1"/>
  <c r="AC468" i="1"/>
  <c r="V468" i="1"/>
  <c r="P468" i="1"/>
  <c r="Q468" i="1"/>
  <c r="CF144" i="1" l="1"/>
  <c r="BX144" i="1" s="1"/>
  <c r="CB144" i="1"/>
  <c r="BN144" i="1" s="1"/>
  <c r="CD144" i="1"/>
  <c r="BR144" i="1" s="1"/>
  <c r="BF144" i="1"/>
  <c r="BV144" i="1"/>
  <c r="AC469" i="1"/>
  <c r="AB469" i="1"/>
  <c r="V469" i="1"/>
  <c r="Q469" i="1"/>
  <c r="P469" i="1"/>
  <c r="BP144" i="1" l="1"/>
  <c r="BT144" i="1"/>
  <c r="BJ144" i="1" s="1"/>
  <c r="BB145" i="1" s="1"/>
  <c r="BH144" i="1"/>
  <c r="AZ145" i="1" s="1"/>
  <c r="AC470" i="1"/>
  <c r="AB470" i="1"/>
  <c r="Q470" i="1"/>
  <c r="P470" i="1"/>
  <c r="V470" i="1"/>
  <c r="BF145" i="1" l="1"/>
  <c r="CF145" i="1"/>
  <c r="BX145" i="1" s="1"/>
  <c r="CD145" i="1"/>
  <c r="BT145" i="1" s="1"/>
  <c r="BD145" i="1"/>
  <c r="CB145" i="1"/>
  <c r="BP145" i="1" s="1"/>
  <c r="AC471" i="1"/>
  <c r="AB471" i="1"/>
  <c r="Q471" i="1"/>
  <c r="P471" i="1"/>
  <c r="V471" i="1"/>
  <c r="BN145" i="1" l="1"/>
  <c r="BR145" i="1"/>
  <c r="BV145" i="1"/>
  <c r="AC472" i="1"/>
  <c r="AB472" i="1"/>
  <c r="V472" i="1"/>
  <c r="Q472" i="1"/>
  <c r="P472" i="1"/>
  <c r="BH145" i="1" l="1"/>
  <c r="AZ146" i="1" s="1"/>
  <c r="BJ145" i="1"/>
  <c r="BB146" i="1" s="1"/>
  <c r="AC473" i="1"/>
  <c r="AB473" i="1"/>
  <c r="V473" i="1"/>
  <c r="Q473" i="1"/>
  <c r="P473" i="1"/>
  <c r="BD146" i="1" l="1"/>
  <c r="CD146" i="1"/>
  <c r="BR146" i="1" s="1"/>
  <c r="CF146" i="1"/>
  <c r="BX146" i="1" s="1"/>
  <c r="BF146" i="1"/>
  <c r="CB146" i="1"/>
  <c r="BP146" i="1" s="1"/>
  <c r="AC474" i="1"/>
  <c r="AB474" i="1"/>
  <c r="Q474" i="1"/>
  <c r="V474" i="1"/>
  <c r="P474" i="1"/>
  <c r="BN146" i="1" l="1"/>
  <c r="BT146" i="1"/>
  <c r="BJ146" i="1" s="1"/>
  <c r="BB147" i="1" s="1"/>
  <c r="BV146" i="1"/>
  <c r="AC475" i="1"/>
  <c r="AB475" i="1"/>
  <c r="Q475" i="1"/>
  <c r="P475" i="1"/>
  <c r="V475" i="1"/>
  <c r="BH146" i="1" l="1"/>
  <c r="AZ147" i="1" s="1"/>
  <c r="BF147" i="1"/>
  <c r="AB476" i="1"/>
  <c r="AC476" i="1"/>
  <c r="V476" i="1"/>
  <c r="P476" i="1"/>
  <c r="Q476" i="1"/>
  <c r="CF147" i="1" l="1"/>
  <c r="BX147" i="1" s="1"/>
  <c r="CD147" i="1"/>
  <c r="BT147" i="1" s="1"/>
  <c r="BD147" i="1"/>
  <c r="CB147" i="1"/>
  <c r="BP147" i="1" s="1"/>
  <c r="AC477" i="1"/>
  <c r="AB477" i="1"/>
  <c r="V477" i="1"/>
  <c r="P477" i="1"/>
  <c r="Q477" i="1"/>
  <c r="BN147" i="1" l="1"/>
  <c r="BR147" i="1"/>
  <c r="BV147" i="1"/>
  <c r="BJ147" i="1"/>
  <c r="BB148" i="1" s="1"/>
  <c r="AC478" i="1"/>
  <c r="V478" i="1"/>
  <c r="Q478" i="1"/>
  <c r="AB478" i="1"/>
  <c r="P478" i="1"/>
  <c r="BH147" i="1" l="1"/>
  <c r="AZ148" i="1" s="1"/>
  <c r="BF148" i="1"/>
  <c r="AC479" i="1"/>
  <c r="V479" i="1"/>
  <c r="Q479" i="1"/>
  <c r="P479" i="1"/>
  <c r="AB479" i="1"/>
  <c r="CF148" i="1" l="1"/>
  <c r="BX148" i="1" s="1"/>
  <c r="CD148" i="1"/>
  <c r="BT148" i="1" s="1"/>
  <c r="BD148" i="1"/>
  <c r="AC480" i="1"/>
  <c r="AB480" i="1"/>
  <c r="V480" i="1"/>
  <c r="Q480" i="1"/>
  <c r="P480" i="1"/>
  <c r="BR148" i="1" l="1"/>
  <c r="BV148" i="1"/>
  <c r="CB148" i="1"/>
  <c r="BN148" i="1" s="1"/>
  <c r="AC481" i="1"/>
  <c r="AB481" i="1"/>
  <c r="P481" i="1"/>
  <c r="Q481" i="1"/>
  <c r="V481" i="1"/>
  <c r="BP148" i="1" l="1"/>
  <c r="BJ148" i="1" s="1"/>
  <c r="BB149" i="1" s="1"/>
  <c r="BH148" i="1"/>
  <c r="AC482" i="1"/>
  <c r="AB482" i="1"/>
  <c r="Q482" i="1"/>
  <c r="P482" i="1"/>
  <c r="V482" i="1"/>
  <c r="BD149" i="1" l="1"/>
  <c r="AZ149" i="1"/>
  <c r="BF149" i="1"/>
  <c r="AB483" i="1"/>
  <c r="AC483" i="1"/>
  <c r="V483" i="1"/>
  <c r="Q483" i="1"/>
  <c r="P483" i="1"/>
  <c r="CF149" i="1" l="1"/>
  <c r="BX149" i="1" s="1"/>
  <c r="CD149" i="1"/>
  <c r="BT149" i="1" s="1"/>
  <c r="CB149" i="1"/>
  <c r="BP149" i="1" s="1"/>
  <c r="AB484" i="1"/>
  <c r="AC484" i="1"/>
  <c r="V484" i="1"/>
  <c r="Q484" i="1"/>
  <c r="P484" i="1"/>
  <c r="BN149" i="1" l="1"/>
  <c r="BR149" i="1"/>
  <c r="BV149" i="1"/>
  <c r="BJ149" i="1"/>
  <c r="AC485" i="1"/>
  <c r="AB485" i="1"/>
  <c r="V485" i="1"/>
  <c r="Q485" i="1"/>
  <c r="P485" i="1"/>
  <c r="BH149" i="1" l="1"/>
  <c r="AZ150" i="1" s="1"/>
  <c r="BF150" i="1"/>
  <c r="BB150" i="1"/>
  <c r="AC486" i="1"/>
  <c r="AB486" i="1"/>
  <c r="Q486" i="1"/>
  <c r="V486" i="1"/>
  <c r="P486" i="1"/>
  <c r="BD150" i="1" l="1"/>
  <c r="CF150" i="1"/>
  <c r="BV150" i="1" s="1"/>
  <c r="CD150" i="1"/>
  <c r="CB150" i="1"/>
  <c r="BN150" i="1" s="1"/>
  <c r="AC487" i="1"/>
  <c r="AB487" i="1"/>
  <c r="Q487" i="1"/>
  <c r="P487" i="1"/>
  <c r="V487" i="1"/>
  <c r="BP150" i="1" l="1"/>
  <c r="BT150" i="1"/>
  <c r="BR150" i="1"/>
  <c r="BH150" i="1" s="1"/>
  <c r="AZ151" i="1" s="1"/>
  <c r="BX150" i="1"/>
  <c r="AC488" i="1"/>
  <c r="AB488" i="1"/>
  <c r="V488" i="1"/>
  <c r="Q488" i="1"/>
  <c r="P488" i="1"/>
  <c r="BJ150" i="1" l="1"/>
  <c r="BB151" i="1" s="1"/>
  <c r="BD151" i="1"/>
  <c r="AC489" i="1"/>
  <c r="AB489" i="1"/>
  <c r="V489" i="1"/>
  <c r="Q489" i="1"/>
  <c r="P489" i="1"/>
  <c r="CD151" i="1" l="1"/>
  <c r="BR151" i="1" s="1"/>
  <c r="CB151" i="1"/>
  <c r="BN151" i="1" s="1"/>
  <c r="BF151" i="1"/>
  <c r="CF151" i="1"/>
  <c r="AC490" i="1"/>
  <c r="AB490" i="1"/>
  <c r="Q490" i="1"/>
  <c r="V490" i="1"/>
  <c r="P490" i="1"/>
  <c r="BP151" i="1" l="1"/>
  <c r="BT151" i="1"/>
  <c r="BX151" i="1"/>
  <c r="BJ151" i="1" s="1"/>
  <c r="BB152" i="1" s="1"/>
  <c r="BV151" i="1"/>
  <c r="BH151" i="1" s="1"/>
  <c r="AZ152" i="1" s="1"/>
  <c r="AC491" i="1"/>
  <c r="AB491" i="1"/>
  <c r="Q491" i="1"/>
  <c r="P491" i="1"/>
  <c r="V491" i="1"/>
  <c r="BF152" i="1" l="1"/>
  <c r="CF152" i="1"/>
  <c r="BX152" i="1" s="1"/>
  <c r="CD152" i="1"/>
  <c r="BT152" i="1" s="1"/>
  <c r="BD152" i="1"/>
  <c r="CB152" i="1"/>
  <c r="BP152" i="1" s="1"/>
  <c r="AC492" i="1"/>
  <c r="V492" i="1"/>
  <c r="AB492" i="1"/>
  <c r="P492" i="1"/>
  <c r="Q492" i="1"/>
  <c r="BN152" i="1" l="1"/>
  <c r="BR152" i="1"/>
  <c r="BV152" i="1"/>
  <c r="BJ152" i="1"/>
  <c r="BB153" i="1" s="1"/>
  <c r="AC493" i="1"/>
  <c r="AB493" i="1"/>
  <c r="P493" i="1"/>
  <c r="V493" i="1"/>
  <c r="Q493" i="1"/>
  <c r="BH152" i="1" l="1"/>
  <c r="AZ153" i="1" s="1"/>
  <c r="BF153" i="1"/>
  <c r="AC494" i="1"/>
  <c r="AB494" i="1"/>
  <c r="V494" i="1"/>
  <c r="Q494" i="1"/>
  <c r="P494" i="1"/>
  <c r="CF153" i="1" l="1"/>
  <c r="BX153" i="1" s="1"/>
  <c r="CD153" i="1"/>
  <c r="BT153" i="1" s="1"/>
  <c r="BD153" i="1"/>
  <c r="CB153" i="1"/>
  <c r="BP153" i="1" s="1"/>
  <c r="AC495" i="1"/>
  <c r="AB495" i="1"/>
  <c r="V495" i="1"/>
  <c r="Q495" i="1"/>
  <c r="P495" i="1"/>
  <c r="BN153" i="1" l="1"/>
  <c r="BR153" i="1"/>
  <c r="BV153" i="1"/>
  <c r="BJ153" i="1"/>
  <c r="BB154" i="1" s="1"/>
  <c r="AC496" i="1"/>
  <c r="AB496" i="1"/>
  <c r="V496" i="1"/>
  <c r="Q496" i="1"/>
  <c r="P496" i="1"/>
  <c r="BH153" i="1" l="1"/>
  <c r="AZ154" i="1" s="1"/>
  <c r="BF154" i="1"/>
  <c r="AC497" i="1"/>
  <c r="AB497" i="1"/>
  <c r="V497" i="1"/>
  <c r="P497" i="1"/>
  <c r="Q497" i="1"/>
  <c r="BD154" i="1" l="1"/>
  <c r="CF154" i="1"/>
  <c r="BX154" i="1" s="1"/>
  <c r="CD154" i="1"/>
  <c r="BT154" i="1" s="1"/>
  <c r="CB154" i="1"/>
  <c r="BP154" i="1" s="1"/>
  <c r="AC498" i="1"/>
  <c r="AB498" i="1"/>
  <c r="Q498" i="1"/>
  <c r="V498" i="1"/>
  <c r="P498" i="1"/>
  <c r="BN154" i="1" l="1"/>
  <c r="BR154" i="1"/>
  <c r="BV154" i="1"/>
  <c r="BJ154" i="1"/>
  <c r="BB155" i="1" s="1"/>
  <c r="AC499" i="1"/>
  <c r="AB499" i="1"/>
  <c r="V499" i="1"/>
  <c r="Q499" i="1"/>
  <c r="P499" i="1"/>
  <c r="BH154" i="1" l="1"/>
  <c r="AZ155" i="1" s="1"/>
  <c r="BF155" i="1"/>
  <c r="AC500" i="1"/>
  <c r="AB500" i="1"/>
  <c r="V500" i="1"/>
  <c r="P500" i="1"/>
  <c r="Q500" i="1"/>
  <c r="CF155" i="1" l="1"/>
  <c r="BX155" i="1" s="1"/>
  <c r="CD155" i="1"/>
  <c r="BT155" i="1" s="1"/>
  <c r="BD155" i="1"/>
  <c r="CB155" i="1"/>
  <c r="BP155" i="1" s="1"/>
  <c r="AC501" i="1"/>
  <c r="AB501" i="1"/>
  <c r="V501" i="1"/>
  <c r="Q501" i="1"/>
  <c r="P501" i="1"/>
  <c r="BN155" i="1" l="1"/>
  <c r="BR155" i="1"/>
  <c r="BV155" i="1"/>
  <c r="AC502" i="1"/>
  <c r="Q502" i="1"/>
  <c r="P502" i="1"/>
  <c r="AB502" i="1"/>
  <c r="V502" i="1"/>
  <c r="BH155" i="1" l="1"/>
  <c r="AZ156" i="1" s="1"/>
  <c r="BJ155" i="1"/>
  <c r="BD156" i="1"/>
  <c r="AC503" i="1"/>
  <c r="Q503" i="1"/>
  <c r="P503" i="1"/>
  <c r="V503" i="1"/>
  <c r="AB503" i="1"/>
  <c r="BF156" i="1" l="1"/>
  <c r="BB156" i="1"/>
  <c r="AC504" i="1"/>
  <c r="AB504" i="1"/>
  <c r="V504" i="1"/>
  <c r="Q504" i="1"/>
  <c r="P504" i="1"/>
  <c r="CB156" i="1" l="1"/>
  <c r="BN156" i="1" s="1"/>
  <c r="CD156" i="1"/>
  <c r="CF156" i="1"/>
  <c r="AC505" i="1"/>
  <c r="AB505" i="1"/>
  <c r="V505" i="1"/>
  <c r="Q505" i="1"/>
  <c r="P505" i="1"/>
  <c r="BP156" i="1" l="1"/>
  <c r="BT156" i="1"/>
  <c r="BR156" i="1"/>
  <c r="BX156" i="1"/>
  <c r="BV156" i="1"/>
  <c r="AC506" i="1"/>
  <c r="AB506" i="1"/>
  <c r="Q506" i="1"/>
  <c r="V506" i="1"/>
  <c r="P506" i="1"/>
  <c r="BH156" i="1" l="1"/>
  <c r="AZ157" i="1" s="1"/>
  <c r="BJ156" i="1"/>
  <c r="BB157" i="1" s="1"/>
  <c r="BD157" i="1"/>
  <c r="AC507" i="1"/>
  <c r="AB507" i="1"/>
  <c r="Q507" i="1"/>
  <c r="P507" i="1"/>
  <c r="V507" i="1"/>
  <c r="CF157" i="1" l="1"/>
  <c r="BX157" i="1" s="1"/>
  <c r="CD157" i="1"/>
  <c r="BR157" i="1" s="1"/>
  <c r="BF157" i="1"/>
  <c r="BT157" i="1"/>
  <c r="BV157" i="1"/>
  <c r="CB157" i="1"/>
  <c r="BN157" i="1" s="1"/>
  <c r="AC508" i="1"/>
  <c r="AB508" i="1"/>
  <c r="V508" i="1"/>
  <c r="P508" i="1"/>
  <c r="Q508" i="1"/>
  <c r="BP157" i="1" l="1"/>
  <c r="BJ157" i="1" s="1"/>
  <c r="BB158" i="1" s="1"/>
  <c r="AC509" i="1"/>
  <c r="AB509" i="1"/>
  <c r="V509" i="1"/>
  <c r="P509" i="1"/>
  <c r="Q509" i="1"/>
  <c r="BH157" i="1" l="1"/>
  <c r="AZ158" i="1" s="1"/>
  <c r="BF158" i="1"/>
  <c r="AC510" i="1"/>
  <c r="AB510" i="1"/>
  <c r="V510" i="1"/>
  <c r="Q510" i="1"/>
  <c r="P510" i="1"/>
  <c r="CF158" i="1" l="1"/>
  <c r="BX158" i="1" s="1"/>
  <c r="CD158" i="1"/>
  <c r="BT158" i="1" s="1"/>
  <c r="BD158" i="1"/>
  <c r="CB158" i="1"/>
  <c r="BP158" i="1" s="1"/>
  <c r="AC511" i="1"/>
  <c r="AB511" i="1"/>
  <c r="V511" i="1"/>
  <c r="Q511" i="1"/>
  <c r="P511" i="1"/>
  <c r="BN158" i="1" l="1"/>
  <c r="BR158" i="1"/>
  <c r="BV158" i="1"/>
  <c r="BJ158" i="1"/>
  <c r="BB159" i="1" s="1"/>
  <c r="AC512" i="1"/>
  <c r="V512" i="1"/>
  <c r="AB512" i="1"/>
  <c r="Q512" i="1"/>
  <c r="P512" i="1"/>
  <c r="BF159" i="1" l="1"/>
  <c r="BH158" i="1"/>
  <c r="AZ159" i="1" s="1"/>
  <c r="AC513" i="1"/>
  <c r="AB513" i="1"/>
  <c r="P513" i="1"/>
  <c r="Q513" i="1"/>
  <c r="V513" i="1"/>
  <c r="CF159" i="1" l="1"/>
  <c r="BX159" i="1" s="1"/>
  <c r="CD159" i="1"/>
  <c r="BT159" i="1" s="1"/>
  <c r="BD159" i="1"/>
  <c r="CB159" i="1"/>
  <c r="BP159" i="1" s="1"/>
  <c r="AC514" i="1"/>
  <c r="Q514" i="1"/>
  <c r="AB514" i="1"/>
  <c r="P514" i="1"/>
  <c r="V514" i="1"/>
  <c r="BN159" i="1" l="1"/>
  <c r="BR159" i="1"/>
  <c r="BV159" i="1"/>
  <c r="AB515" i="1"/>
  <c r="AC515" i="1"/>
  <c r="V515" i="1"/>
  <c r="Q515" i="1"/>
  <c r="P515" i="1"/>
  <c r="BJ159" i="1" l="1"/>
  <c r="BB160" i="1" s="1"/>
  <c r="BH159" i="1"/>
  <c r="AZ160" i="1" s="1"/>
  <c r="AB516" i="1"/>
  <c r="V516" i="1"/>
  <c r="AC516" i="1"/>
  <c r="Q516" i="1"/>
  <c r="P516" i="1"/>
  <c r="BF160" i="1" l="1"/>
  <c r="CF160" i="1"/>
  <c r="BX160" i="1" s="1"/>
  <c r="CD160" i="1"/>
  <c r="BT160" i="1" s="1"/>
  <c r="BD160" i="1"/>
  <c r="CB160" i="1"/>
  <c r="BP160" i="1" s="1"/>
  <c r="AC517" i="1"/>
  <c r="AB517" i="1"/>
  <c r="V517" i="1"/>
  <c r="Q517" i="1"/>
  <c r="P517" i="1"/>
  <c r="BN160" i="1" l="1"/>
  <c r="BR160" i="1"/>
  <c r="BV160" i="1"/>
  <c r="BJ160" i="1"/>
  <c r="BB161" i="1" s="1"/>
  <c r="AC518" i="1"/>
  <c r="AB518" i="1"/>
  <c r="Q518" i="1"/>
  <c r="V518" i="1"/>
  <c r="P518" i="1"/>
  <c r="BH160" i="1" l="1"/>
  <c r="AZ161" i="1" s="1"/>
  <c r="CB161" i="1" s="1"/>
  <c r="BF161" i="1"/>
  <c r="AC519" i="1"/>
  <c r="AB519" i="1"/>
  <c r="Q519" i="1"/>
  <c r="P519" i="1"/>
  <c r="V519" i="1"/>
  <c r="BD161" i="1" l="1"/>
  <c r="CF161" i="1"/>
  <c r="BX161" i="1" s="1"/>
  <c r="BN161" i="1"/>
  <c r="CD161" i="1"/>
  <c r="BT161" i="1" s="1"/>
  <c r="BP161" i="1"/>
  <c r="BV161" i="1"/>
  <c r="AC520" i="1"/>
  <c r="AB520" i="1"/>
  <c r="V520" i="1"/>
  <c r="Q520" i="1"/>
  <c r="P520" i="1"/>
  <c r="BR161" i="1" l="1"/>
  <c r="BH161" i="1"/>
  <c r="AZ162" i="1" s="1"/>
  <c r="BJ161" i="1"/>
  <c r="BB162" i="1" s="1"/>
  <c r="AC521" i="1"/>
  <c r="AB521" i="1"/>
  <c r="V521" i="1"/>
  <c r="Q521" i="1"/>
  <c r="P521" i="1"/>
  <c r="BD162" i="1" l="1"/>
  <c r="CD162" i="1"/>
  <c r="BT162" i="1" s="1"/>
  <c r="CF162" i="1"/>
  <c r="BX162" i="1" s="1"/>
  <c r="BF162" i="1"/>
  <c r="AC522" i="1"/>
  <c r="AB522" i="1"/>
  <c r="Q522" i="1"/>
  <c r="V522" i="1"/>
  <c r="P522" i="1"/>
  <c r="BR162" i="1" l="1"/>
  <c r="BV162" i="1"/>
  <c r="CB162" i="1"/>
  <c r="BN162" i="1" s="1"/>
  <c r="AC523" i="1"/>
  <c r="Q523" i="1"/>
  <c r="P523" i="1"/>
  <c r="AB523" i="1"/>
  <c r="V523" i="1"/>
  <c r="BP162" i="1" l="1"/>
  <c r="BH162" i="1"/>
  <c r="AZ163" i="1" s="1"/>
  <c r="AC524" i="1"/>
  <c r="V524" i="1"/>
  <c r="P524" i="1"/>
  <c r="AB524" i="1"/>
  <c r="Q524" i="1"/>
  <c r="BJ162" i="1" l="1"/>
  <c r="BD163" i="1"/>
  <c r="AC525" i="1"/>
  <c r="AB525" i="1"/>
  <c r="P525" i="1"/>
  <c r="V525" i="1"/>
  <c r="Q525" i="1"/>
  <c r="BF163" i="1" l="1"/>
  <c r="BB163" i="1"/>
  <c r="AC526" i="1"/>
  <c r="AB526" i="1"/>
  <c r="V526" i="1"/>
  <c r="Q526" i="1"/>
  <c r="P526" i="1"/>
  <c r="CF163" i="1" l="1"/>
  <c r="CD163" i="1"/>
  <c r="CB163" i="1"/>
  <c r="BN163" i="1" s="1"/>
  <c r="AC527" i="1"/>
  <c r="AB527" i="1"/>
  <c r="V527" i="1"/>
  <c r="Q527" i="1"/>
  <c r="P527" i="1"/>
  <c r="BP163" i="1" l="1"/>
  <c r="BT163" i="1"/>
  <c r="BR163" i="1"/>
  <c r="BX163" i="1"/>
  <c r="BV163" i="1"/>
  <c r="AC528" i="1"/>
  <c r="AB528" i="1"/>
  <c r="V528" i="1"/>
  <c r="Q528" i="1"/>
  <c r="P528" i="1"/>
  <c r="BH163" i="1" l="1"/>
  <c r="AZ164" i="1" s="1"/>
  <c r="BJ163" i="1"/>
  <c r="BB164" i="1" s="1"/>
  <c r="AC529" i="1"/>
  <c r="AB529" i="1"/>
  <c r="V529" i="1"/>
  <c r="P529" i="1"/>
  <c r="Q529" i="1"/>
  <c r="BD164" i="1" l="1"/>
  <c r="CF164" i="1"/>
  <c r="BV164" i="1" s="1"/>
  <c r="CD164" i="1"/>
  <c r="BR164" i="1" s="1"/>
  <c r="BF164" i="1"/>
  <c r="CB164" i="1"/>
  <c r="BN164" i="1" s="1"/>
  <c r="AC530" i="1"/>
  <c r="AB530" i="1"/>
  <c r="Q530" i="1"/>
  <c r="V530" i="1"/>
  <c r="P530" i="1"/>
  <c r="BP164" i="1" l="1"/>
  <c r="BX164" i="1"/>
  <c r="BT164" i="1"/>
  <c r="AC531" i="1"/>
  <c r="AB531" i="1"/>
  <c r="V531" i="1"/>
  <c r="Q531" i="1"/>
  <c r="P531" i="1"/>
  <c r="BH164" i="1" l="1"/>
  <c r="AZ165" i="1" s="1"/>
  <c r="BJ164" i="1"/>
  <c r="BB165" i="1" s="1"/>
  <c r="AC532" i="1"/>
  <c r="AB532" i="1"/>
  <c r="V532" i="1"/>
  <c r="P532" i="1"/>
  <c r="Q532" i="1"/>
  <c r="CD165" i="1" l="1"/>
  <c r="BT165" i="1" s="1"/>
  <c r="CF165" i="1"/>
  <c r="BX165" i="1" s="1"/>
  <c r="BD165" i="1"/>
  <c r="BF165" i="1"/>
  <c r="AC533" i="1"/>
  <c r="AB533" i="1"/>
  <c r="V533" i="1"/>
  <c r="Q533" i="1"/>
  <c r="P533" i="1"/>
  <c r="BR165" i="1" l="1"/>
  <c r="BV165" i="1"/>
  <c r="CB165" i="1"/>
  <c r="BN165" i="1" s="1"/>
  <c r="AC534" i="1"/>
  <c r="AB534" i="1"/>
  <c r="Q534" i="1"/>
  <c r="P534" i="1"/>
  <c r="V534" i="1"/>
  <c r="BP165" i="1" l="1"/>
  <c r="AC535" i="1"/>
  <c r="AB535" i="1"/>
  <c r="Q535" i="1"/>
  <c r="P535" i="1"/>
  <c r="V535" i="1"/>
  <c r="BH165" i="1" l="1"/>
  <c r="AZ166" i="1" s="1"/>
  <c r="BJ165" i="1"/>
  <c r="BB166" i="1" s="1"/>
  <c r="AC536" i="1"/>
  <c r="AB536" i="1"/>
  <c r="V536" i="1"/>
  <c r="Q536" i="1"/>
  <c r="P536" i="1"/>
  <c r="CF166" i="1" l="1"/>
  <c r="BX166" i="1" s="1"/>
  <c r="CD166" i="1"/>
  <c r="BT166" i="1" s="1"/>
  <c r="BF166" i="1"/>
  <c r="BD166" i="1"/>
  <c r="AC537" i="1"/>
  <c r="AB537" i="1"/>
  <c r="V537" i="1"/>
  <c r="Q537" i="1"/>
  <c r="P537" i="1"/>
  <c r="BR166" i="1" l="1"/>
  <c r="BV166" i="1"/>
  <c r="CB166" i="1"/>
  <c r="BN166" i="1" s="1"/>
  <c r="AC538" i="1"/>
  <c r="AB538" i="1"/>
  <c r="Q538" i="1"/>
  <c r="V538" i="1"/>
  <c r="P538" i="1"/>
  <c r="BP166" i="1" l="1"/>
  <c r="AC539" i="1"/>
  <c r="AB539" i="1"/>
  <c r="Q539" i="1"/>
  <c r="P539" i="1"/>
  <c r="V539" i="1"/>
  <c r="BH166" i="1" l="1"/>
  <c r="AZ167" i="1" s="1"/>
  <c r="BJ166" i="1"/>
  <c r="BB167" i="1" s="1"/>
  <c r="AC540" i="1"/>
  <c r="AB540" i="1"/>
  <c r="V540" i="1"/>
  <c r="P540" i="1"/>
  <c r="Q540" i="1"/>
  <c r="CF167" i="1" l="1"/>
  <c r="BX167" i="1" s="1"/>
  <c r="CD167" i="1"/>
  <c r="BT167" i="1" s="1"/>
  <c r="BF167" i="1"/>
  <c r="BD167" i="1"/>
  <c r="AC541" i="1"/>
  <c r="AB541" i="1"/>
  <c r="V541" i="1"/>
  <c r="P541" i="1"/>
  <c r="Q541" i="1"/>
  <c r="BR167" i="1" l="1"/>
  <c r="BV167" i="1"/>
  <c r="CB167" i="1"/>
  <c r="BN167" i="1" s="1"/>
  <c r="AB542" i="1"/>
  <c r="AC542" i="1"/>
  <c r="V542" i="1"/>
  <c r="Q542" i="1"/>
  <c r="P542" i="1"/>
  <c r="BP167" i="1" l="1"/>
  <c r="BJ167" i="1" s="1"/>
  <c r="BB168" i="1" s="1"/>
  <c r="AB543" i="1"/>
  <c r="AC543" i="1"/>
  <c r="V543" i="1"/>
  <c r="Q543" i="1"/>
  <c r="P543" i="1"/>
  <c r="BH167" i="1" l="1"/>
  <c r="AZ168" i="1" s="1"/>
  <c r="BF168" i="1"/>
  <c r="AC544" i="1"/>
  <c r="V544" i="1"/>
  <c r="Q544" i="1"/>
  <c r="AB544" i="1"/>
  <c r="P544" i="1"/>
  <c r="CF168" i="1" l="1"/>
  <c r="BX168" i="1" s="1"/>
  <c r="CD168" i="1"/>
  <c r="BR168" i="1" s="1"/>
  <c r="BD168" i="1"/>
  <c r="CB168" i="1"/>
  <c r="BP168" i="1" s="1"/>
  <c r="AC545" i="1"/>
  <c r="AB545" i="1"/>
  <c r="P545" i="1"/>
  <c r="Q545" i="1"/>
  <c r="V545" i="1"/>
  <c r="BN168" i="1" l="1"/>
  <c r="BT168" i="1"/>
  <c r="BV168" i="1"/>
  <c r="AC546" i="1"/>
  <c r="Q546" i="1"/>
  <c r="P546" i="1"/>
  <c r="V546" i="1"/>
  <c r="AB546" i="1"/>
  <c r="BH168" i="1" l="1"/>
  <c r="AZ169" i="1" s="1"/>
  <c r="BJ168" i="1"/>
  <c r="BB169" i="1" s="1"/>
  <c r="AC547" i="1"/>
  <c r="AB547" i="1"/>
  <c r="V547" i="1"/>
  <c r="Q547" i="1"/>
  <c r="P547" i="1"/>
  <c r="CD169" i="1" l="1"/>
  <c r="BT169" i="1" s="1"/>
  <c r="CF169" i="1"/>
  <c r="BX169" i="1" s="1"/>
  <c r="BF169" i="1"/>
  <c r="BD169" i="1"/>
  <c r="AC548" i="1"/>
  <c r="AB548" i="1"/>
  <c r="V548" i="1"/>
  <c r="Q548" i="1"/>
  <c r="P548" i="1"/>
  <c r="BR169" i="1" l="1"/>
  <c r="BV169" i="1"/>
  <c r="CB169" i="1"/>
  <c r="BN169" i="1" s="1"/>
  <c r="AC549" i="1"/>
  <c r="AB549" i="1"/>
  <c r="V549" i="1"/>
  <c r="Q549" i="1"/>
  <c r="P549" i="1"/>
  <c r="BP169" i="1" l="1"/>
  <c r="AC550" i="1"/>
  <c r="AB550" i="1"/>
  <c r="Q550" i="1"/>
  <c r="V550" i="1"/>
  <c r="P550" i="1"/>
  <c r="BJ169" i="1" l="1"/>
  <c r="BB170" i="1" s="1"/>
  <c r="BH169" i="1"/>
  <c r="AZ170" i="1" s="1"/>
  <c r="BD170" i="1"/>
  <c r="AB551" i="1"/>
  <c r="AC551" i="1"/>
  <c r="Q551" i="1"/>
  <c r="P551" i="1"/>
  <c r="V551" i="1"/>
  <c r="CB170" i="1" l="1"/>
  <c r="BN170" i="1" s="1"/>
  <c r="BF170" i="1"/>
  <c r="CF170" i="1"/>
  <c r="BX170" i="1" s="1"/>
  <c r="CD170" i="1"/>
  <c r="BT170" i="1" s="1"/>
  <c r="AC552" i="1"/>
  <c r="AB552" i="1"/>
  <c r="V552" i="1"/>
  <c r="Q552" i="1"/>
  <c r="P552" i="1"/>
  <c r="BP170" i="1" l="1"/>
  <c r="BJ170" i="1" s="1"/>
  <c r="BR170" i="1"/>
  <c r="BV170" i="1"/>
  <c r="BH170" i="1" s="1"/>
  <c r="AC553" i="1"/>
  <c r="AB553" i="1"/>
  <c r="V553" i="1"/>
  <c r="Q553" i="1"/>
  <c r="P553" i="1"/>
  <c r="BF171" i="1" l="1"/>
  <c r="BB171" i="1"/>
  <c r="AZ171" i="1"/>
  <c r="BD171" i="1"/>
  <c r="AC554" i="1"/>
  <c r="Q554" i="1"/>
  <c r="AB554" i="1"/>
  <c r="V554" i="1"/>
  <c r="P554" i="1"/>
  <c r="CF171" i="1" l="1"/>
  <c r="BV171" i="1" s="1"/>
  <c r="CB171" i="1"/>
  <c r="BP171" i="1" s="1"/>
  <c r="CD171" i="1"/>
  <c r="BR171" i="1" s="1"/>
  <c r="AC555" i="1"/>
  <c r="AB555" i="1"/>
  <c r="Q555" i="1"/>
  <c r="P555" i="1"/>
  <c r="V555" i="1"/>
  <c r="BN171" i="1" l="1"/>
  <c r="BH171" i="1" s="1"/>
  <c r="AZ172" i="1" s="1"/>
  <c r="BX171" i="1"/>
  <c r="BT171" i="1"/>
  <c r="AC556" i="1"/>
  <c r="AB556" i="1"/>
  <c r="V556" i="1"/>
  <c r="P556" i="1"/>
  <c r="Q556" i="1"/>
  <c r="BJ171" i="1" l="1"/>
  <c r="BB172" i="1" s="1"/>
  <c r="BD172" i="1"/>
  <c r="AC557" i="1"/>
  <c r="AB557" i="1"/>
  <c r="P557" i="1"/>
  <c r="V557" i="1"/>
  <c r="Q557" i="1"/>
  <c r="CF172" i="1" l="1"/>
  <c r="BX172" i="1" s="1"/>
  <c r="CD172" i="1"/>
  <c r="BR172" i="1" s="1"/>
  <c r="CB172" i="1"/>
  <c r="BN172" i="1" s="1"/>
  <c r="BF172" i="1"/>
  <c r="BV172" i="1"/>
  <c r="AB558" i="1"/>
  <c r="V558" i="1"/>
  <c r="Q558" i="1"/>
  <c r="AC558" i="1"/>
  <c r="P558" i="1"/>
  <c r="BP172" i="1" l="1"/>
  <c r="BT172" i="1"/>
  <c r="AB559" i="1"/>
  <c r="V559" i="1"/>
  <c r="Q559" i="1"/>
  <c r="P559" i="1"/>
  <c r="AC559" i="1"/>
  <c r="BJ172" i="1" l="1"/>
  <c r="BB173" i="1" s="1"/>
  <c r="BH172" i="1"/>
  <c r="AZ173" i="1" s="1"/>
  <c r="BF173" i="1"/>
  <c r="AC560" i="1"/>
  <c r="AB560" i="1"/>
  <c r="V560" i="1"/>
  <c r="Q560" i="1"/>
  <c r="P560" i="1"/>
  <c r="CF173" i="1" l="1"/>
  <c r="BX173" i="1" s="1"/>
  <c r="CD173" i="1"/>
  <c r="BT173" i="1" s="1"/>
  <c r="BD173" i="1"/>
  <c r="CB173" i="1"/>
  <c r="BP173" i="1" s="1"/>
  <c r="AC561" i="1"/>
  <c r="AB561" i="1"/>
  <c r="V561" i="1"/>
  <c r="P561" i="1"/>
  <c r="Q561" i="1"/>
  <c r="BN173" i="1" l="1"/>
  <c r="BR173" i="1"/>
  <c r="BV173" i="1"/>
  <c r="AC562" i="1"/>
  <c r="Q562" i="1"/>
  <c r="AB562" i="1"/>
  <c r="V562" i="1"/>
  <c r="P562" i="1"/>
  <c r="BH173" i="1" l="1"/>
  <c r="AZ174" i="1" s="1"/>
  <c r="BJ173" i="1"/>
  <c r="BB174" i="1" s="1"/>
  <c r="AC563" i="1"/>
  <c r="AB563" i="1"/>
  <c r="V563" i="1"/>
  <c r="Q563" i="1"/>
  <c r="P563" i="1"/>
  <c r="CD174" i="1" l="1"/>
  <c r="BT174" i="1" s="1"/>
  <c r="CF174" i="1"/>
  <c r="BX174" i="1" s="1"/>
  <c r="BD174" i="1"/>
  <c r="BF174" i="1"/>
  <c r="CB174" i="1"/>
  <c r="BN174" i="1" s="1"/>
  <c r="AC564" i="1"/>
  <c r="AB564" i="1"/>
  <c r="V564" i="1"/>
  <c r="P564" i="1"/>
  <c r="Q564" i="1"/>
  <c r="BP174" i="1" l="1"/>
  <c r="BJ174" i="1" s="1"/>
  <c r="BB175" i="1" s="1"/>
  <c r="BR174" i="1"/>
  <c r="BV174" i="1"/>
  <c r="AC565" i="1"/>
  <c r="AB565" i="1"/>
  <c r="V565" i="1"/>
  <c r="Q565" i="1"/>
  <c r="P565" i="1"/>
  <c r="BH174" i="1" l="1"/>
  <c r="AZ175" i="1" s="1"/>
  <c r="BF175" i="1"/>
  <c r="AC566" i="1"/>
  <c r="AB566" i="1"/>
  <c r="Q566" i="1"/>
  <c r="P566" i="1"/>
  <c r="V566" i="1"/>
  <c r="CF175" i="1" l="1"/>
  <c r="BX175" i="1" s="1"/>
  <c r="CD175" i="1"/>
  <c r="BT175" i="1" s="1"/>
  <c r="CB175" i="1"/>
  <c r="BP175" i="1" s="1"/>
  <c r="BD175" i="1"/>
  <c r="AB567" i="1"/>
  <c r="AC567" i="1"/>
  <c r="Q567" i="1"/>
  <c r="P567" i="1"/>
  <c r="V567" i="1"/>
  <c r="BN175" i="1" l="1"/>
  <c r="BR175" i="1"/>
  <c r="BV175" i="1"/>
  <c r="BJ175" i="1"/>
  <c r="BB176" i="1" s="1"/>
  <c r="AC568" i="1"/>
  <c r="AB568" i="1"/>
  <c r="V568" i="1"/>
  <c r="Q568" i="1"/>
  <c r="P568" i="1"/>
  <c r="BH175" i="1" l="1"/>
  <c r="AZ176" i="1" s="1"/>
  <c r="BF176" i="1"/>
  <c r="AC569" i="1"/>
  <c r="AB569" i="1"/>
  <c r="V569" i="1"/>
  <c r="Q569" i="1"/>
  <c r="P569" i="1"/>
  <c r="CF176" i="1" l="1"/>
  <c r="BX176" i="1" s="1"/>
  <c r="CD176" i="1"/>
  <c r="BT176" i="1" s="1"/>
  <c r="BD176" i="1"/>
  <c r="CB176" i="1"/>
  <c r="BP176" i="1" s="1"/>
  <c r="AC570" i="1"/>
  <c r="Q570" i="1"/>
  <c r="AB570" i="1"/>
  <c r="V570" i="1"/>
  <c r="P570" i="1"/>
  <c r="BN176" i="1" l="1"/>
  <c r="BR176" i="1"/>
  <c r="BV176" i="1"/>
  <c r="BJ176" i="1"/>
  <c r="BB177" i="1" s="1"/>
  <c r="AC571" i="1"/>
  <c r="AB571" i="1"/>
  <c r="Q571" i="1"/>
  <c r="P571" i="1"/>
  <c r="V571" i="1"/>
  <c r="BH176" i="1" l="1"/>
  <c r="AZ177" i="1" s="1"/>
  <c r="BF177" i="1"/>
  <c r="AC572" i="1"/>
  <c r="AB572" i="1"/>
  <c r="V572" i="1"/>
  <c r="P572" i="1"/>
  <c r="Q572" i="1"/>
  <c r="CF177" i="1" l="1"/>
  <c r="BX177" i="1" s="1"/>
  <c r="CD177" i="1"/>
  <c r="BT177" i="1" s="1"/>
  <c r="BD177" i="1"/>
  <c r="AC573" i="1"/>
  <c r="AB573" i="1"/>
  <c r="V573" i="1"/>
  <c r="P573" i="1"/>
  <c r="Q573" i="1"/>
  <c r="BR177" i="1" l="1"/>
  <c r="BV177" i="1"/>
  <c r="CB177" i="1"/>
  <c r="BN177" i="1" s="1"/>
  <c r="AC574" i="1"/>
  <c r="AB574" i="1"/>
  <c r="V574" i="1"/>
  <c r="Q574" i="1"/>
  <c r="P574" i="1"/>
  <c r="BP177" i="1" l="1"/>
  <c r="BJ177" i="1"/>
  <c r="AB575" i="1"/>
  <c r="AC575" i="1"/>
  <c r="V575" i="1"/>
  <c r="Q575" i="1"/>
  <c r="P575" i="1"/>
  <c r="BH177" i="1" l="1"/>
  <c r="AZ178" i="1"/>
  <c r="BF178" i="1"/>
  <c r="BB178" i="1"/>
  <c r="BD178" i="1"/>
  <c r="AC576" i="1"/>
  <c r="AB576" i="1"/>
  <c r="Q576" i="1"/>
  <c r="P576" i="1"/>
  <c r="V576" i="1"/>
  <c r="CF178" i="1" l="1"/>
  <c r="BX178" i="1" s="1"/>
  <c r="CD178" i="1"/>
  <c r="BT178" i="1" s="1"/>
  <c r="CB178" i="1"/>
  <c r="BP178" i="1" s="1"/>
  <c r="AC577" i="1"/>
  <c r="P577" i="1"/>
  <c r="Q577" i="1"/>
  <c r="AB577" i="1"/>
  <c r="V577" i="1"/>
  <c r="BN178" i="1" l="1"/>
  <c r="BR178" i="1"/>
  <c r="BV178" i="1"/>
  <c r="BJ178" i="1"/>
  <c r="BB179" i="1" s="1"/>
  <c r="AC578" i="1"/>
  <c r="V578" i="1"/>
  <c r="Q578" i="1"/>
  <c r="P578" i="1"/>
  <c r="AB578" i="1"/>
  <c r="BH178" i="1" l="1"/>
  <c r="AZ179" i="1" s="1"/>
  <c r="BF179" i="1"/>
  <c r="AC579" i="1"/>
  <c r="AB579" i="1"/>
  <c r="V579" i="1"/>
  <c r="Q579" i="1"/>
  <c r="P579" i="1"/>
  <c r="CF179" i="1" l="1"/>
  <c r="BX179" i="1" s="1"/>
  <c r="CD179" i="1"/>
  <c r="BT179" i="1" s="1"/>
  <c r="BD179" i="1"/>
  <c r="CB179" i="1"/>
  <c r="BP179" i="1" s="1"/>
  <c r="AC580" i="1"/>
  <c r="AB580" i="1"/>
  <c r="V580" i="1"/>
  <c r="Q580" i="1"/>
  <c r="P580" i="1"/>
  <c r="BN179" i="1" l="1"/>
  <c r="BR179" i="1"/>
  <c r="BV179" i="1"/>
  <c r="BJ179" i="1"/>
  <c r="BB180" i="1" s="1"/>
  <c r="AC581" i="1"/>
  <c r="AB581" i="1"/>
  <c r="V581" i="1"/>
  <c r="Q581" i="1"/>
  <c r="P581" i="1"/>
  <c r="BH179" i="1" l="1"/>
  <c r="AZ180" i="1" s="1"/>
  <c r="BF180" i="1"/>
  <c r="AC582" i="1"/>
  <c r="AB582" i="1"/>
  <c r="V582" i="1"/>
  <c r="Q582" i="1"/>
  <c r="P582" i="1"/>
  <c r="CF180" i="1" l="1"/>
  <c r="BX180" i="1" s="1"/>
  <c r="CD180" i="1"/>
  <c r="BT180" i="1" s="1"/>
  <c r="BD180" i="1"/>
  <c r="CB180" i="1"/>
  <c r="BP180" i="1" s="1"/>
  <c r="AB583" i="1"/>
  <c r="AC583" i="1"/>
  <c r="V583" i="1"/>
  <c r="Q583" i="1"/>
  <c r="P583" i="1"/>
  <c r="BN180" i="1" l="1"/>
  <c r="BR180" i="1"/>
  <c r="BV180" i="1"/>
  <c r="BJ180" i="1"/>
  <c r="BB181" i="1" s="1"/>
  <c r="AC584" i="1"/>
  <c r="AB584" i="1"/>
  <c r="Q584" i="1"/>
  <c r="P584" i="1"/>
  <c r="V584" i="1"/>
  <c r="BH180" i="1" l="1"/>
  <c r="AZ181" i="1" s="1"/>
  <c r="BF181" i="1"/>
  <c r="AC585" i="1"/>
  <c r="AB585" i="1"/>
  <c r="Q585" i="1"/>
  <c r="V585" i="1"/>
  <c r="P585" i="1"/>
  <c r="CF181" i="1" l="1"/>
  <c r="BX181" i="1" s="1"/>
  <c r="CD181" i="1"/>
  <c r="BT181" i="1" s="1"/>
  <c r="BD181" i="1"/>
  <c r="AC586" i="1"/>
  <c r="V586" i="1"/>
  <c r="Q586" i="1"/>
  <c r="AB586" i="1"/>
  <c r="P586" i="1"/>
  <c r="BR181" i="1" l="1"/>
  <c r="BV181" i="1"/>
  <c r="CB181" i="1"/>
  <c r="BN181" i="1" s="1"/>
  <c r="AC587" i="1"/>
  <c r="AB587" i="1"/>
  <c r="V587" i="1"/>
  <c r="Q587" i="1"/>
  <c r="P587" i="1"/>
  <c r="BP181" i="1" l="1"/>
  <c r="BJ181" i="1" s="1"/>
  <c r="AC588" i="1"/>
  <c r="AB588" i="1"/>
  <c r="V588" i="1"/>
  <c r="P588" i="1"/>
  <c r="Q588" i="1"/>
  <c r="BH181" i="1" l="1"/>
  <c r="AZ182" i="1" s="1"/>
  <c r="BF182" i="1"/>
  <c r="BB182" i="1"/>
  <c r="AC589" i="1"/>
  <c r="AB589" i="1"/>
  <c r="V589" i="1"/>
  <c r="P589" i="1"/>
  <c r="Q589" i="1"/>
  <c r="CD182" i="1" l="1"/>
  <c r="BT182" i="1" s="1"/>
  <c r="CF182" i="1"/>
  <c r="BX182" i="1" s="1"/>
  <c r="BD182" i="1"/>
  <c r="CB182" i="1"/>
  <c r="BP182" i="1" s="1"/>
  <c r="AB590" i="1"/>
  <c r="AC590" i="1"/>
  <c r="V590" i="1"/>
  <c r="Q590" i="1"/>
  <c r="P590" i="1"/>
  <c r="BN182" i="1" l="1"/>
  <c r="BR182" i="1"/>
  <c r="BV182" i="1"/>
  <c r="BJ182" i="1"/>
  <c r="AB591" i="1"/>
  <c r="AC591" i="1"/>
  <c r="V591" i="1"/>
  <c r="Q591" i="1"/>
  <c r="P591" i="1"/>
  <c r="BB183" i="1" l="1"/>
  <c r="BF183" i="1"/>
  <c r="BH182" i="1"/>
  <c r="BD183" i="1" s="1"/>
  <c r="AC592" i="1"/>
  <c r="AB592" i="1"/>
  <c r="Q592" i="1"/>
  <c r="P592" i="1"/>
  <c r="V592" i="1"/>
  <c r="AZ183" i="1" l="1"/>
  <c r="CF183" i="1"/>
  <c r="BX183" i="1" s="1"/>
  <c r="CD183" i="1"/>
  <c r="BT183" i="1" s="1"/>
  <c r="CB183" i="1"/>
  <c r="BP183" i="1" s="1"/>
  <c r="AC593" i="1"/>
  <c r="AB593" i="1"/>
  <c r="P593" i="1"/>
  <c r="Q593" i="1"/>
  <c r="V593" i="1"/>
  <c r="BN183" i="1" l="1"/>
  <c r="BR183" i="1"/>
  <c r="BV183" i="1"/>
  <c r="BJ183" i="1"/>
  <c r="BB184" i="1" s="1"/>
  <c r="AC594" i="1"/>
  <c r="V594" i="1"/>
  <c r="Q594" i="1"/>
  <c r="AB594" i="1"/>
  <c r="P594" i="1"/>
  <c r="BH183" i="1" l="1"/>
  <c r="AZ184" i="1" s="1"/>
  <c r="BF184" i="1"/>
  <c r="AC595" i="1"/>
  <c r="AB595" i="1"/>
  <c r="V595" i="1"/>
  <c r="Q595" i="1"/>
  <c r="P595" i="1"/>
  <c r="CD184" i="1" l="1"/>
  <c r="BT184" i="1" s="1"/>
  <c r="CF184" i="1"/>
  <c r="BX184" i="1" s="1"/>
  <c r="CB184" i="1"/>
  <c r="BP184" i="1" s="1"/>
  <c r="BJ184" i="1" s="1"/>
  <c r="BB185" i="1" s="1"/>
  <c r="BD184" i="1"/>
  <c r="BR184" i="1"/>
  <c r="AC596" i="1"/>
  <c r="AB596" i="1"/>
  <c r="V596" i="1"/>
  <c r="P596" i="1"/>
  <c r="Q596" i="1"/>
  <c r="BV184" i="1" l="1"/>
  <c r="BN184" i="1"/>
  <c r="BF185" i="1"/>
  <c r="AC597" i="1"/>
  <c r="AB597" i="1"/>
  <c r="V597" i="1"/>
  <c r="Q597" i="1"/>
  <c r="P597" i="1"/>
  <c r="BH184" i="1" l="1"/>
  <c r="AZ185" i="1" s="1"/>
  <c r="BD185" i="1"/>
  <c r="CF185" i="1"/>
  <c r="BX185" i="1" s="1"/>
  <c r="CD185" i="1"/>
  <c r="BT185" i="1" s="1"/>
  <c r="CB185" i="1"/>
  <c r="BP185" i="1" s="1"/>
  <c r="AC598" i="1"/>
  <c r="AB598" i="1"/>
  <c r="V598" i="1"/>
  <c r="Q598" i="1"/>
  <c r="P598" i="1"/>
  <c r="BN185" i="1" l="1"/>
  <c r="BR185" i="1"/>
  <c r="BV185" i="1"/>
  <c r="BJ185" i="1"/>
  <c r="AB599" i="1"/>
  <c r="AC599" i="1"/>
  <c r="V599" i="1"/>
  <c r="Q599" i="1"/>
  <c r="P599" i="1"/>
  <c r="BH185" i="1" l="1"/>
  <c r="AZ186" i="1" s="1"/>
  <c r="BF186" i="1"/>
  <c r="BB186" i="1"/>
  <c r="AC600" i="1"/>
  <c r="AB600" i="1"/>
  <c r="Q600" i="1"/>
  <c r="P600" i="1"/>
  <c r="V600" i="1"/>
  <c r="CF186" i="1" l="1"/>
  <c r="BX186" i="1" s="1"/>
  <c r="CD186" i="1"/>
  <c r="BT186" i="1" s="1"/>
  <c r="BD186" i="1"/>
  <c r="CB186" i="1"/>
  <c r="BP186" i="1" s="1"/>
  <c r="AC601" i="1"/>
  <c r="AB601" i="1"/>
  <c r="Q601" i="1"/>
  <c r="V601" i="1"/>
  <c r="P601" i="1"/>
  <c r="BN186" i="1" l="1"/>
  <c r="BR186" i="1"/>
  <c r="BV186" i="1"/>
  <c r="BJ186" i="1"/>
  <c r="BB187" i="1" s="1"/>
  <c r="AC602" i="1"/>
  <c r="V602" i="1"/>
  <c r="Q602" i="1"/>
  <c r="AB602" i="1"/>
  <c r="P602" i="1"/>
  <c r="BH186" i="1" l="1"/>
  <c r="AZ187" i="1" s="1"/>
  <c r="BF187" i="1"/>
  <c r="AC603" i="1"/>
  <c r="AB603" i="1"/>
  <c r="V603" i="1"/>
  <c r="Q603" i="1"/>
  <c r="P603" i="1"/>
  <c r="CF187" i="1" l="1"/>
  <c r="BX187" i="1" s="1"/>
  <c r="CD187" i="1"/>
  <c r="BT187" i="1" s="1"/>
  <c r="BD187" i="1"/>
  <c r="CB187" i="1"/>
  <c r="BP187" i="1" s="1"/>
  <c r="AC604" i="1"/>
  <c r="AB604" i="1"/>
  <c r="V604" i="1"/>
  <c r="P604" i="1"/>
  <c r="Q604" i="1"/>
  <c r="BN187" i="1" l="1"/>
  <c r="BR187" i="1"/>
  <c r="BV187" i="1"/>
  <c r="BJ187" i="1"/>
  <c r="BB188" i="1" s="1"/>
  <c r="AC605" i="1"/>
  <c r="AB605" i="1"/>
  <c r="V605" i="1"/>
  <c r="P605" i="1"/>
  <c r="Q605" i="1"/>
  <c r="BH187" i="1" l="1"/>
  <c r="AZ188" i="1" s="1"/>
  <c r="BF188" i="1"/>
  <c r="AC606" i="1"/>
  <c r="AB606" i="1"/>
  <c r="V606" i="1"/>
  <c r="Q606" i="1"/>
  <c r="P606" i="1"/>
  <c r="CF188" i="1" l="1"/>
  <c r="BX188" i="1" s="1"/>
  <c r="CD188" i="1"/>
  <c r="BT188" i="1" s="1"/>
  <c r="BD188" i="1"/>
  <c r="CB188" i="1"/>
  <c r="BP188" i="1" s="1"/>
  <c r="AB607" i="1"/>
  <c r="AC607" i="1"/>
  <c r="V607" i="1"/>
  <c r="Q607" i="1"/>
  <c r="P607" i="1"/>
  <c r="BN188" i="1" l="1"/>
  <c r="BR188" i="1"/>
  <c r="BV188" i="1"/>
  <c r="BJ188" i="1"/>
  <c r="BB189" i="1" s="1"/>
  <c r="AC608" i="1"/>
  <c r="AB608" i="1"/>
  <c r="Q608" i="1"/>
  <c r="V608" i="1"/>
  <c r="P608" i="1"/>
  <c r="BH188" i="1" l="1"/>
  <c r="AZ189" i="1" s="1"/>
  <c r="BF189" i="1"/>
  <c r="AC609" i="1"/>
  <c r="P609" i="1"/>
  <c r="Q609" i="1"/>
  <c r="AB609" i="1"/>
  <c r="V609" i="1"/>
  <c r="CF189" i="1" l="1"/>
  <c r="BX189" i="1" s="1"/>
  <c r="CD189" i="1"/>
  <c r="BT189" i="1" s="1"/>
  <c r="BD189" i="1"/>
  <c r="CB189" i="1"/>
  <c r="BP189" i="1" s="1"/>
  <c r="AC610" i="1"/>
  <c r="V610" i="1"/>
  <c r="Q610" i="1"/>
  <c r="P610" i="1"/>
  <c r="AB610" i="1"/>
  <c r="BN189" i="1" l="1"/>
  <c r="BR189" i="1"/>
  <c r="BV189" i="1"/>
  <c r="BJ189" i="1"/>
  <c r="AC611" i="1"/>
  <c r="AB611" i="1"/>
  <c r="V611" i="1"/>
  <c r="Q611" i="1"/>
  <c r="P611" i="1"/>
  <c r="BH189" i="1" l="1"/>
  <c r="AZ190" i="1" s="1"/>
  <c r="BF190" i="1"/>
  <c r="BB190" i="1"/>
  <c r="AC612" i="1"/>
  <c r="AB612" i="1"/>
  <c r="V612" i="1"/>
  <c r="Q612" i="1"/>
  <c r="P612" i="1"/>
  <c r="CF190" i="1" l="1"/>
  <c r="BX190" i="1" s="1"/>
  <c r="CD190" i="1"/>
  <c r="BT190" i="1" s="1"/>
  <c r="BD190" i="1"/>
  <c r="CB190" i="1"/>
  <c r="BP190" i="1" s="1"/>
  <c r="AC613" i="1"/>
  <c r="AB613" i="1"/>
  <c r="V613" i="1"/>
  <c r="Q613" i="1"/>
  <c r="P613" i="1"/>
  <c r="BN190" i="1" l="1"/>
  <c r="BR190" i="1"/>
  <c r="BV190" i="1"/>
  <c r="BJ190" i="1"/>
  <c r="AC614" i="1"/>
  <c r="AB614" i="1"/>
  <c r="V614" i="1"/>
  <c r="Q614" i="1"/>
  <c r="P614" i="1"/>
  <c r="BH190" i="1" l="1"/>
  <c r="AZ191" i="1" s="1"/>
  <c r="BF191" i="1"/>
  <c r="BB191" i="1"/>
  <c r="AB615" i="1"/>
  <c r="AC615" i="1"/>
  <c r="V615" i="1"/>
  <c r="Q615" i="1"/>
  <c r="P615" i="1"/>
  <c r="CF191" i="1" l="1"/>
  <c r="BX191" i="1" s="1"/>
  <c r="CD191" i="1"/>
  <c r="BT191" i="1" s="1"/>
  <c r="BD191" i="1"/>
  <c r="CB191" i="1"/>
  <c r="BP191" i="1" s="1"/>
  <c r="AC616" i="1"/>
  <c r="AB616" i="1"/>
  <c r="Q616" i="1"/>
  <c r="P616" i="1"/>
  <c r="V616" i="1"/>
  <c r="BN191" i="1" l="1"/>
  <c r="BR191" i="1"/>
  <c r="BV191" i="1"/>
  <c r="BJ191" i="1"/>
  <c r="BB192" i="1" s="1"/>
  <c r="AC617" i="1"/>
  <c r="AB617" i="1"/>
  <c r="Q617" i="1"/>
  <c r="V617" i="1"/>
  <c r="P617" i="1"/>
  <c r="BH191" i="1" l="1"/>
  <c r="AZ192" i="1" s="1"/>
  <c r="BF192" i="1"/>
  <c r="AC618" i="1"/>
  <c r="V618" i="1"/>
  <c r="Q618" i="1"/>
  <c r="AB618" i="1"/>
  <c r="P618" i="1"/>
  <c r="CF192" i="1" l="1"/>
  <c r="BX192" i="1" s="1"/>
  <c r="CD192" i="1"/>
  <c r="BT192" i="1" s="1"/>
  <c r="BD192" i="1"/>
  <c r="CB192" i="1"/>
  <c r="BP192" i="1" s="1"/>
  <c r="AC619" i="1"/>
  <c r="AB619" i="1"/>
  <c r="V619" i="1"/>
  <c r="Q619" i="1"/>
  <c r="P619" i="1"/>
  <c r="BN192" i="1" l="1"/>
  <c r="BR192" i="1"/>
  <c r="BV192" i="1"/>
  <c r="BJ192" i="1"/>
  <c r="BB193" i="1" s="1"/>
  <c r="AC620" i="1"/>
  <c r="AB620" i="1"/>
  <c r="V620" i="1"/>
  <c r="P620" i="1"/>
  <c r="Q620" i="1"/>
  <c r="BH192" i="1" l="1"/>
  <c r="AZ193" i="1" s="1"/>
  <c r="BF193" i="1"/>
  <c r="AC621" i="1"/>
  <c r="AB621" i="1"/>
  <c r="V621" i="1"/>
  <c r="P621" i="1"/>
  <c r="Q621" i="1"/>
  <c r="CF193" i="1" l="1"/>
  <c r="BX193" i="1" s="1"/>
  <c r="CD193" i="1"/>
  <c r="BT193" i="1" s="1"/>
  <c r="BD193" i="1"/>
  <c r="AB622" i="1"/>
  <c r="V622" i="1"/>
  <c r="Q622" i="1"/>
  <c r="AC622" i="1"/>
  <c r="P622" i="1"/>
  <c r="BR193" i="1" l="1"/>
  <c r="BV193" i="1"/>
  <c r="CB193" i="1"/>
  <c r="BN193" i="1" s="1"/>
  <c r="AB623" i="1"/>
  <c r="V623" i="1"/>
  <c r="Q623" i="1"/>
  <c r="P623" i="1"/>
  <c r="AC623" i="1"/>
  <c r="BP193" i="1" l="1"/>
  <c r="BJ193" i="1" s="1"/>
  <c r="BB194" i="1" s="1"/>
  <c r="AC624" i="1"/>
  <c r="AB624" i="1"/>
  <c r="Q624" i="1"/>
  <c r="P624" i="1"/>
  <c r="V624" i="1"/>
  <c r="BH193" i="1" l="1"/>
  <c r="AZ194" i="1" s="1"/>
  <c r="BF194" i="1"/>
  <c r="AC625" i="1"/>
  <c r="AB625" i="1"/>
  <c r="P625" i="1"/>
  <c r="Q625" i="1"/>
  <c r="V625" i="1"/>
  <c r="CF194" i="1" l="1"/>
  <c r="BX194" i="1" s="1"/>
  <c r="CD194" i="1"/>
  <c r="BT194" i="1" s="1"/>
  <c r="BD194" i="1"/>
  <c r="AC626" i="1"/>
  <c r="V626" i="1"/>
  <c r="Q626" i="1"/>
  <c r="AB626" i="1"/>
  <c r="P626" i="1"/>
  <c r="BR194" i="1" l="1"/>
  <c r="BV194" i="1"/>
  <c r="CB194" i="1"/>
  <c r="BN194" i="1" s="1"/>
  <c r="AC627" i="1"/>
  <c r="AB627" i="1"/>
  <c r="V627" i="1"/>
  <c r="Q627" i="1"/>
  <c r="P627" i="1"/>
  <c r="BP194" i="1" l="1"/>
  <c r="AC628" i="1"/>
  <c r="AB628" i="1"/>
  <c r="V628" i="1"/>
  <c r="P628" i="1"/>
  <c r="Q628" i="1"/>
  <c r="BH194" i="1" l="1"/>
  <c r="AZ195" i="1" s="1"/>
  <c r="BJ194" i="1"/>
  <c r="BB195" i="1" s="1"/>
  <c r="AC629" i="1"/>
  <c r="AB629" i="1"/>
  <c r="V629" i="1"/>
  <c r="Q629" i="1"/>
  <c r="P629" i="1"/>
  <c r="CD195" i="1" l="1"/>
  <c r="BT195" i="1" s="1"/>
  <c r="CF195" i="1"/>
  <c r="BX195" i="1" s="1"/>
  <c r="BF195" i="1"/>
  <c r="BD195" i="1"/>
  <c r="AC630" i="1"/>
  <c r="AB630" i="1"/>
  <c r="V630" i="1"/>
  <c r="Q630" i="1"/>
  <c r="P630" i="1"/>
  <c r="BR195" i="1" l="1"/>
  <c r="BV195" i="1"/>
  <c r="CB195" i="1"/>
  <c r="BN195" i="1" s="1"/>
  <c r="AB631" i="1"/>
  <c r="AC631" i="1"/>
  <c r="V631" i="1"/>
  <c r="Q631" i="1"/>
  <c r="P631" i="1"/>
  <c r="BP195" i="1" l="1"/>
  <c r="BJ195" i="1"/>
  <c r="BB196" i="1" s="1"/>
  <c r="AC632" i="1"/>
  <c r="AB632" i="1"/>
  <c r="Q632" i="1"/>
  <c r="P632" i="1"/>
  <c r="V632" i="1"/>
  <c r="BH195" i="1" l="1"/>
  <c r="AZ196" i="1" s="1"/>
  <c r="BF196" i="1"/>
  <c r="AC633" i="1"/>
  <c r="AB633" i="1"/>
  <c r="Q633" i="1"/>
  <c r="V633" i="1"/>
  <c r="P633" i="1"/>
  <c r="CF196" i="1" l="1"/>
  <c r="BX196" i="1" s="1"/>
  <c r="CD196" i="1"/>
  <c r="BT196" i="1" s="1"/>
  <c r="BD196" i="1"/>
  <c r="CB196" i="1"/>
  <c r="BP196" i="1" s="1"/>
  <c r="AC634" i="1"/>
  <c r="V634" i="1"/>
  <c r="Q634" i="1"/>
  <c r="AB634" i="1"/>
  <c r="P634" i="1"/>
  <c r="BN196" i="1" l="1"/>
  <c r="BR196" i="1"/>
  <c r="BV196" i="1"/>
  <c r="BH196" i="1" s="1"/>
  <c r="AC635" i="1"/>
  <c r="AB635" i="1"/>
  <c r="V635" i="1"/>
  <c r="Q635" i="1"/>
  <c r="P635" i="1"/>
  <c r="BJ196" i="1" l="1"/>
  <c r="BB197" i="1" s="1"/>
  <c r="AZ197" i="1"/>
  <c r="AC636" i="1"/>
  <c r="AB636" i="1"/>
  <c r="V636" i="1"/>
  <c r="P636" i="1"/>
  <c r="Q636" i="1"/>
  <c r="CF197" i="1" l="1"/>
  <c r="BX197" i="1" s="1"/>
  <c r="CD197" i="1"/>
  <c r="BT197" i="1" s="1"/>
  <c r="BD197" i="1"/>
  <c r="BF197" i="1"/>
  <c r="AC637" i="1"/>
  <c r="AB637" i="1"/>
  <c r="V637" i="1"/>
  <c r="P637" i="1"/>
  <c r="Q637" i="1"/>
  <c r="BR197" i="1" l="1"/>
  <c r="BV197" i="1"/>
  <c r="CB197" i="1"/>
  <c r="BN197" i="1" s="1"/>
  <c r="AC638" i="1"/>
  <c r="AB638" i="1"/>
  <c r="V638" i="1"/>
  <c r="Q638" i="1"/>
  <c r="P638" i="1"/>
  <c r="BP197" i="1" l="1"/>
  <c r="BJ197" i="1"/>
  <c r="BB198" i="1" s="1"/>
  <c r="AB639" i="1"/>
  <c r="AC639" i="1"/>
  <c r="V639" i="1"/>
  <c r="Q639" i="1"/>
  <c r="P639" i="1"/>
  <c r="BH197" i="1" l="1"/>
  <c r="AZ198" i="1" s="1"/>
  <c r="BF198" i="1"/>
  <c r="AC640" i="1"/>
  <c r="AB640" i="1"/>
  <c r="Q640" i="1"/>
  <c r="P640" i="1"/>
  <c r="V640" i="1"/>
  <c r="CF198" i="1" l="1"/>
  <c r="BX198" i="1" s="1"/>
  <c r="CD198" i="1"/>
  <c r="BT198" i="1" s="1"/>
  <c r="BD198" i="1"/>
  <c r="AC641" i="1"/>
  <c r="P641" i="1"/>
  <c r="Q641" i="1"/>
  <c r="AB641" i="1"/>
  <c r="V641" i="1"/>
  <c r="BR198" i="1" l="1"/>
  <c r="BV198" i="1"/>
  <c r="CB198" i="1"/>
  <c r="BN198" i="1" s="1"/>
  <c r="AC642" i="1"/>
  <c r="V642" i="1"/>
  <c r="Q642" i="1"/>
  <c r="P642" i="1"/>
  <c r="AB642" i="1"/>
  <c r="BP198" i="1" l="1"/>
  <c r="BJ198" i="1"/>
  <c r="BB199" i="1" s="1"/>
  <c r="AC643" i="1"/>
  <c r="AB643" i="1"/>
  <c r="V643" i="1"/>
  <c r="Q643" i="1"/>
  <c r="P643" i="1"/>
  <c r="BH198" i="1" l="1"/>
  <c r="AZ199" i="1" s="1"/>
  <c r="BF199" i="1"/>
  <c r="AC644" i="1"/>
  <c r="AB644" i="1"/>
  <c r="V644" i="1"/>
  <c r="Q644" i="1"/>
  <c r="P644" i="1"/>
  <c r="CF199" i="1" l="1"/>
  <c r="BX199" i="1" s="1"/>
  <c r="CD199" i="1"/>
  <c r="BT199" i="1" s="1"/>
  <c r="BD199" i="1"/>
  <c r="CB199" i="1"/>
  <c r="BP199" i="1" s="1"/>
  <c r="AC645" i="1"/>
  <c r="AB645" i="1"/>
  <c r="V645" i="1"/>
  <c r="Q645" i="1"/>
  <c r="P645" i="1"/>
  <c r="BN199" i="1" l="1"/>
  <c r="BR199" i="1"/>
  <c r="BV199" i="1"/>
  <c r="BJ199" i="1"/>
  <c r="BB200" i="1" s="1"/>
  <c r="AC646" i="1"/>
  <c r="AB646" i="1"/>
  <c r="V646" i="1"/>
  <c r="Q646" i="1"/>
  <c r="P646" i="1"/>
  <c r="BH199" i="1" l="1"/>
  <c r="AZ200" i="1" s="1"/>
  <c r="BF200" i="1"/>
  <c r="BD200" i="1"/>
  <c r="AB647" i="1"/>
  <c r="AC647" i="1"/>
  <c r="V647" i="1"/>
  <c r="Q647" i="1"/>
  <c r="P647" i="1"/>
  <c r="CF200" i="1" l="1"/>
  <c r="BX200" i="1" s="1"/>
  <c r="CD200" i="1"/>
  <c r="BT200" i="1" s="1"/>
  <c r="CB200" i="1"/>
  <c r="BP200" i="1" s="1"/>
  <c r="AC648" i="1"/>
  <c r="AB648" i="1"/>
  <c r="Q648" i="1"/>
  <c r="P648" i="1"/>
  <c r="V648" i="1"/>
  <c r="BN200" i="1" l="1"/>
  <c r="BV200" i="1"/>
  <c r="BR200" i="1"/>
  <c r="AC649" i="1"/>
  <c r="AB649" i="1"/>
  <c r="Q649" i="1"/>
  <c r="V649" i="1"/>
  <c r="P649" i="1"/>
  <c r="BH200" i="1" l="1"/>
  <c r="AZ201" i="1" s="1"/>
  <c r="BJ200" i="1"/>
  <c r="BB201" i="1" s="1"/>
  <c r="BD201" i="1"/>
  <c r="AC650" i="1"/>
  <c r="V650" i="1"/>
  <c r="Q650" i="1"/>
  <c r="AB650" i="1"/>
  <c r="P650" i="1"/>
  <c r="CD201" i="1" l="1"/>
  <c r="BR201" i="1" s="1"/>
  <c r="CF201" i="1"/>
  <c r="BF201" i="1"/>
  <c r="CB201" i="1"/>
  <c r="BN201" i="1" s="1"/>
  <c r="AC651" i="1"/>
  <c r="AB651" i="1"/>
  <c r="V651" i="1"/>
  <c r="Q651" i="1"/>
  <c r="P651" i="1"/>
  <c r="BP201" i="1" l="1"/>
  <c r="BT201" i="1"/>
  <c r="BJ201" i="1" s="1"/>
  <c r="BB202" i="1" s="1"/>
  <c r="BX201" i="1"/>
  <c r="BV201" i="1"/>
  <c r="AC652" i="1"/>
  <c r="AB652" i="1"/>
  <c r="V652" i="1"/>
  <c r="P652" i="1"/>
  <c r="Q652" i="1"/>
  <c r="BF202" i="1" l="1"/>
  <c r="BH201" i="1"/>
  <c r="BD202" i="1" s="1"/>
  <c r="AC653" i="1"/>
  <c r="AB653" i="1"/>
  <c r="V653" i="1"/>
  <c r="P653" i="1"/>
  <c r="Q653" i="1"/>
  <c r="AZ202" i="1" l="1"/>
  <c r="AB654" i="1"/>
  <c r="AC654" i="1"/>
  <c r="V654" i="1"/>
  <c r="Q654" i="1"/>
  <c r="P654" i="1"/>
  <c r="CF202" i="1" l="1"/>
  <c r="BV202" i="1" s="1"/>
  <c r="CD202" i="1"/>
  <c r="BT202" i="1" s="1"/>
  <c r="CB202" i="1"/>
  <c r="BP202" i="1" s="1"/>
  <c r="AB655" i="1"/>
  <c r="AC655" i="1"/>
  <c r="V655" i="1"/>
  <c r="Q655" i="1"/>
  <c r="P655" i="1"/>
  <c r="BN202" i="1" l="1"/>
  <c r="BR202" i="1"/>
  <c r="BX202" i="1"/>
  <c r="AC656" i="1"/>
  <c r="AB656" i="1"/>
  <c r="Q656" i="1"/>
  <c r="P656" i="1"/>
  <c r="V656" i="1"/>
  <c r="BJ202" i="1" l="1"/>
  <c r="BB203" i="1" s="1"/>
  <c r="BH202" i="1"/>
  <c r="BD203" i="1" s="1"/>
  <c r="AC657" i="1"/>
  <c r="AB657" i="1"/>
  <c r="P657" i="1"/>
  <c r="Q657" i="1"/>
  <c r="V657" i="1"/>
  <c r="BF203" i="1" l="1"/>
  <c r="AZ203" i="1"/>
  <c r="AC658" i="1"/>
  <c r="V658" i="1"/>
  <c r="Q658" i="1"/>
  <c r="AB658" i="1"/>
  <c r="P658" i="1"/>
  <c r="CF203" i="1" l="1"/>
  <c r="BX203" i="1" s="1"/>
  <c r="CD203" i="1"/>
  <c r="BT203" i="1" s="1"/>
  <c r="CB203" i="1"/>
  <c r="BP203" i="1" s="1"/>
  <c r="AC659" i="1"/>
  <c r="AB659" i="1"/>
  <c r="V659" i="1"/>
  <c r="Q659" i="1"/>
  <c r="P659" i="1"/>
  <c r="BN203" i="1" l="1"/>
  <c r="BR203" i="1"/>
  <c r="BV203" i="1"/>
  <c r="AC660" i="1"/>
  <c r="AB660" i="1"/>
  <c r="V660" i="1"/>
  <c r="P660" i="1"/>
  <c r="Q660" i="1"/>
  <c r="BJ203" i="1" l="1"/>
  <c r="BH203" i="1"/>
  <c r="AC661" i="1"/>
  <c r="AB661" i="1"/>
  <c r="V661" i="1"/>
  <c r="Q661" i="1"/>
  <c r="P661" i="1"/>
  <c r="BD204" i="1" l="1"/>
  <c r="AZ204" i="1"/>
  <c r="BF204" i="1"/>
  <c r="BB204" i="1"/>
  <c r="AC662" i="1"/>
  <c r="AB662" i="1"/>
  <c r="V662" i="1"/>
  <c r="Q662" i="1"/>
  <c r="P662" i="1"/>
  <c r="CD204" i="1" l="1"/>
  <c r="BT204" i="1" s="1"/>
  <c r="CF204" i="1"/>
  <c r="BV204" i="1" s="1"/>
  <c r="CB204" i="1"/>
  <c r="BN204" i="1" s="1"/>
  <c r="AB663" i="1"/>
  <c r="AC663" i="1"/>
  <c r="V663" i="1"/>
  <c r="Q663" i="1"/>
  <c r="P663" i="1"/>
  <c r="BP204" i="1" l="1"/>
  <c r="BR204" i="1"/>
  <c r="BH204" i="1" s="1"/>
  <c r="BD205" i="1" s="1"/>
  <c r="BX204" i="1"/>
  <c r="AC664" i="1"/>
  <c r="AB664" i="1"/>
  <c r="Q664" i="1"/>
  <c r="P664" i="1"/>
  <c r="V664" i="1"/>
  <c r="BJ204" i="1" l="1"/>
  <c r="BB205" i="1" s="1"/>
  <c r="AZ205" i="1"/>
  <c r="AC665" i="1"/>
  <c r="AB665" i="1"/>
  <c r="Q665" i="1"/>
  <c r="V665" i="1"/>
  <c r="P665" i="1"/>
  <c r="BF205" i="1" l="1"/>
  <c r="CD205" i="1"/>
  <c r="BT205" i="1" s="1"/>
  <c r="CF205" i="1"/>
  <c r="BV205" i="1" s="1"/>
  <c r="CB205" i="1"/>
  <c r="BN205" i="1" s="1"/>
  <c r="AC666" i="1"/>
  <c r="V666" i="1"/>
  <c r="Q666" i="1"/>
  <c r="AB666" i="1"/>
  <c r="P666" i="1"/>
  <c r="BP205" i="1" l="1"/>
  <c r="BR205" i="1"/>
  <c r="BX205" i="1"/>
  <c r="AC667" i="1"/>
  <c r="AB667" i="1"/>
  <c r="V667" i="1"/>
  <c r="Q667" i="1"/>
  <c r="P667" i="1"/>
  <c r="BJ205" i="1" l="1"/>
  <c r="BH205" i="1"/>
  <c r="BD206" i="1" s="1"/>
  <c r="AC668" i="1"/>
  <c r="AB668" i="1"/>
  <c r="V668" i="1"/>
  <c r="P668" i="1"/>
  <c r="Q668" i="1"/>
  <c r="AZ206" i="1" l="1"/>
  <c r="BB206" i="1"/>
  <c r="BF206" i="1"/>
  <c r="AC669" i="1"/>
  <c r="AB669" i="1"/>
  <c r="V669" i="1"/>
  <c r="P669" i="1"/>
  <c r="Q669" i="1"/>
  <c r="CD206" i="1" l="1"/>
  <c r="BT206" i="1" s="1"/>
  <c r="CF206" i="1"/>
  <c r="BV206" i="1" s="1"/>
  <c r="CB206" i="1"/>
  <c r="BN206" i="1" s="1"/>
  <c r="AC670" i="1"/>
  <c r="AB670" i="1"/>
  <c r="V670" i="1"/>
  <c r="Q670" i="1"/>
  <c r="P670" i="1"/>
  <c r="BP206" i="1" l="1"/>
  <c r="BR206" i="1"/>
  <c r="BH206" i="1" s="1"/>
  <c r="BD207" i="1" s="1"/>
  <c r="BX206" i="1"/>
  <c r="AB671" i="1"/>
  <c r="AC671" i="1"/>
  <c r="V671" i="1"/>
  <c r="Q671" i="1"/>
  <c r="P671" i="1"/>
  <c r="BJ206" i="1" l="1"/>
  <c r="BB207" i="1" s="1"/>
  <c r="AZ207" i="1"/>
  <c r="AC672" i="1"/>
  <c r="AB672" i="1"/>
  <c r="Q672" i="1"/>
  <c r="V672" i="1"/>
  <c r="P672" i="1"/>
  <c r="BF207" i="1" l="1"/>
  <c r="CF207" i="1"/>
  <c r="BX207" i="1" s="1"/>
  <c r="CD207" i="1"/>
  <c r="BT207" i="1" s="1"/>
  <c r="CB207" i="1"/>
  <c r="BP207" i="1" s="1"/>
  <c r="AC673" i="1"/>
  <c r="P673" i="1"/>
  <c r="Q673" i="1"/>
  <c r="AB673" i="1"/>
  <c r="V673" i="1"/>
  <c r="BN207" i="1" l="1"/>
  <c r="BR207" i="1"/>
  <c r="BV207" i="1"/>
  <c r="BJ207" i="1"/>
  <c r="AC674" i="1"/>
  <c r="V674" i="1"/>
  <c r="Q674" i="1"/>
  <c r="P674" i="1"/>
  <c r="AB674" i="1"/>
  <c r="BH207" i="1" l="1"/>
  <c r="BD208" i="1" s="1"/>
  <c r="BB208" i="1"/>
  <c r="BF208" i="1"/>
  <c r="AC675" i="1"/>
  <c r="AB675" i="1"/>
  <c r="V675" i="1"/>
  <c r="Q675" i="1"/>
  <c r="P675" i="1"/>
  <c r="AZ208" i="1" l="1"/>
  <c r="AC676" i="1"/>
  <c r="AB676" i="1"/>
  <c r="V676" i="1"/>
  <c r="P676" i="1"/>
  <c r="Q676" i="1"/>
  <c r="CB208" i="1" l="1"/>
  <c r="BP208" i="1" s="1"/>
  <c r="CF208" i="1"/>
  <c r="BX208" i="1" s="1"/>
  <c r="CD208" i="1"/>
  <c r="BR208" i="1" s="1"/>
  <c r="AC677" i="1"/>
  <c r="AB677" i="1"/>
  <c r="P677" i="1"/>
  <c r="V677" i="1"/>
  <c r="Q677" i="1"/>
  <c r="BN208" i="1" l="1"/>
  <c r="BT208" i="1"/>
  <c r="BJ208" i="1" s="1"/>
  <c r="BB209" i="1" s="1"/>
  <c r="BV208" i="1"/>
  <c r="BH208" i="1" s="1"/>
  <c r="AC678" i="1"/>
  <c r="AB678" i="1"/>
  <c r="V678" i="1"/>
  <c r="Q678" i="1"/>
  <c r="P678" i="1"/>
  <c r="BD209" i="1" l="1"/>
  <c r="AZ209" i="1"/>
  <c r="BF209" i="1"/>
  <c r="CD209" i="1"/>
  <c r="BT209" i="1" s="1"/>
  <c r="AB679" i="1"/>
  <c r="AC679" i="1"/>
  <c r="V679" i="1"/>
  <c r="Q679" i="1"/>
  <c r="P679" i="1"/>
  <c r="CB209" i="1" l="1"/>
  <c r="BP209" i="1" s="1"/>
  <c r="BR209" i="1"/>
  <c r="CF209" i="1"/>
  <c r="BX209" i="1" s="1"/>
  <c r="BJ209" i="1" s="1"/>
  <c r="AC680" i="1"/>
  <c r="AB680" i="1"/>
  <c r="Q680" i="1"/>
  <c r="P680" i="1"/>
  <c r="V680" i="1"/>
  <c r="BN209" i="1" l="1"/>
  <c r="BV209" i="1"/>
  <c r="BF210" i="1"/>
  <c r="BB210" i="1"/>
  <c r="AC681" i="1"/>
  <c r="AB681" i="1"/>
  <c r="P681" i="1"/>
  <c r="Q681" i="1"/>
  <c r="V681" i="1"/>
  <c r="BH209" i="1" l="1"/>
  <c r="BD210" i="1"/>
  <c r="AZ210" i="1"/>
  <c r="AC682" i="1"/>
  <c r="V682" i="1"/>
  <c r="Q682" i="1"/>
  <c r="AB682" i="1"/>
  <c r="P682" i="1"/>
  <c r="CB210" i="1" l="1"/>
  <c r="BP210" i="1" s="1"/>
  <c r="CF210" i="1"/>
  <c r="BX210" i="1" s="1"/>
  <c r="CD210" i="1"/>
  <c r="BT210" i="1" s="1"/>
  <c r="BN210" i="1"/>
  <c r="BJ210" i="1"/>
  <c r="AC683" i="1"/>
  <c r="AB683" i="1"/>
  <c r="V683" i="1"/>
  <c r="Q683" i="1"/>
  <c r="P683" i="1"/>
  <c r="BV210" i="1" l="1"/>
  <c r="BR210" i="1"/>
  <c r="BH210" i="1" s="1"/>
  <c r="BD211" i="1" s="1"/>
  <c r="BB211" i="1"/>
  <c r="BF211" i="1"/>
  <c r="AC684" i="1"/>
  <c r="AB684" i="1"/>
  <c r="V684" i="1"/>
  <c r="P684" i="1"/>
  <c r="Q684" i="1"/>
  <c r="AZ211" i="1" l="1"/>
  <c r="CF211" i="1" s="1"/>
  <c r="BV211" i="1" s="1"/>
  <c r="AC685" i="1"/>
  <c r="AB685" i="1"/>
  <c r="P685" i="1"/>
  <c r="V685" i="1"/>
  <c r="Q685" i="1"/>
  <c r="CB211" i="1" l="1"/>
  <c r="BP211" i="1" s="1"/>
  <c r="CD211" i="1"/>
  <c r="BT211" i="1" s="1"/>
  <c r="BN211" i="1"/>
  <c r="BX211" i="1"/>
  <c r="BJ211" i="1" s="1"/>
  <c r="AB686" i="1"/>
  <c r="V686" i="1"/>
  <c r="Q686" i="1"/>
  <c r="AC686" i="1"/>
  <c r="P686" i="1"/>
  <c r="BR211" i="1" l="1"/>
  <c r="BH211" i="1" s="1"/>
  <c r="BD212" i="1" s="1"/>
  <c r="BB212" i="1"/>
  <c r="BF212" i="1"/>
  <c r="AB687" i="1"/>
  <c r="V687" i="1"/>
  <c r="Q687" i="1"/>
  <c r="AC687" i="1"/>
  <c r="P687" i="1"/>
  <c r="AZ212" i="1" l="1"/>
  <c r="CF212" i="1" s="1"/>
  <c r="BV212" i="1" s="1"/>
  <c r="CD212" i="1"/>
  <c r="BT212" i="1" s="1"/>
  <c r="CB212" i="1"/>
  <c r="BP212" i="1" s="1"/>
  <c r="AC688" i="1"/>
  <c r="AB688" i="1"/>
  <c r="Q688" i="1"/>
  <c r="V688" i="1"/>
  <c r="P688" i="1"/>
  <c r="BN212" i="1" l="1"/>
  <c r="BR212" i="1"/>
  <c r="BX212" i="1"/>
  <c r="BJ212" i="1" s="1"/>
  <c r="AC689" i="1"/>
  <c r="AB689" i="1"/>
  <c r="P689" i="1"/>
  <c r="Q689" i="1"/>
  <c r="V689" i="1"/>
  <c r="BH212" i="1" l="1"/>
  <c r="BD213" i="1" s="1"/>
  <c r="BF213" i="1"/>
  <c r="BB213" i="1"/>
  <c r="AC690" i="1"/>
  <c r="V690" i="1"/>
  <c r="Q690" i="1"/>
  <c r="AB690" i="1"/>
  <c r="P690" i="1"/>
  <c r="AZ213" i="1" l="1"/>
  <c r="AC691" i="1"/>
  <c r="AB691" i="1"/>
  <c r="V691" i="1"/>
  <c r="Q691" i="1"/>
  <c r="P691" i="1"/>
  <c r="CB213" i="1" l="1"/>
  <c r="BP213" i="1" s="1"/>
  <c r="CF213" i="1"/>
  <c r="BX213" i="1" s="1"/>
  <c r="CD213" i="1"/>
  <c r="BT213" i="1" s="1"/>
  <c r="BJ213" i="1" s="1"/>
  <c r="AC692" i="1"/>
  <c r="AB692" i="1"/>
  <c r="V692" i="1"/>
  <c r="P692" i="1"/>
  <c r="Q692" i="1"/>
  <c r="BN213" i="1" l="1"/>
  <c r="BR213" i="1"/>
  <c r="BV213" i="1"/>
  <c r="BB214" i="1"/>
  <c r="BF214" i="1"/>
  <c r="AC693" i="1"/>
  <c r="AB693" i="1"/>
  <c r="P693" i="1"/>
  <c r="V693" i="1"/>
  <c r="Q693" i="1"/>
  <c r="BH213" i="1" l="1"/>
  <c r="BD214" i="1" s="1"/>
  <c r="AC694" i="1"/>
  <c r="AB694" i="1"/>
  <c r="V694" i="1"/>
  <c r="Q694" i="1"/>
  <c r="P694" i="1"/>
  <c r="AZ214" i="1" l="1"/>
  <c r="CF214" i="1" s="1"/>
  <c r="BX214" i="1" s="1"/>
  <c r="AB695" i="1"/>
  <c r="AC695" i="1"/>
  <c r="V695" i="1"/>
  <c r="Q695" i="1"/>
  <c r="P695" i="1"/>
  <c r="CD214" i="1" l="1"/>
  <c r="BT214" i="1" s="1"/>
  <c r="CB214" i="1"/>
  <c r="BN214" i="1" s="1"/>
  <c r="BV214" i="1"/>
  <c r="BR214" i="1"/>
  <c r="BH214" i="1" s="1"/>
  <c r="BP214" i="1"/>
  <c r="BJ214" i="1" s="1"/>
  <c r="AC696" i="1"/>
  <c r="AB696" i="1"/>
  <c r="Q696" i="1"/>
  <c r="P696" i="1"/>
  <c r="V696" i="1"/>
  <c r="BD215" i="1" l="1"/>
  <c r="AZ215" i="1"/>
  <c r="BF215" i="1"/>
  <c r="BB215" i="1"/>
  <c r="AC697" i="1"/>
  <c r="AB697" i="1"/>
  <c r="P697" i="1"/>
  <c r="Q697" i="1"/>
  <c r="V697" i="1"/>
  <c r="CB215" i="1" l="1"/>
  <c r="BN215" i="1" s="1"/>
  <c r="CD215" i="1"/>
  <c r="BT215" i="1" s="1"/>
  <c r="CF215" i="1"/>
  <c r="BV215" i="1" s="1"/>
  <c r="BP215" i="1"/>
  <c r="AC698" i="1"/>
  <c r="V698" i="1"/>
  <c r="Q698" i="1"/>
  <c r="AB698" i="1"/>
  <c r="P698" i="1"/>
  <c r="BX215" i="1" l="1"/>
  <c r="BJ215" i="1"/>
  <c r="BB216" i="1" s="1"/>
  <c r="BR215" i="1"/>
  <c r="BH215" i="1" s="1"/>
  <c r="AZ216" i="1" s="1"/>
  <c r="AC699" i="1"/>
  <c r="AB699" i="1"/>
  <c r="V699" i="1"/>
  <c r="Q699" i="1"/>
  <c r="P699" i="1"/>
  <c r="BD216" i="1" l="1"/>
  <c r="BF216" i="1"/>
  <c r="CF216" i="1"/>
  <c r="BX216" i="1" s="1"/>
  <c r="CB216" i="1"/>
  <c r="BP216" i="1" s="1"/>
  <c r="BJ216" i="1" s="1"/>
  <c r="CD216" i="1"/>
  <c r="BT216" i="1" s="1"/>
  <c r="AC700" i="1"/>
  <c r="AB700" i="1"/>
  <c r="V700" i="1"/>
  <c r="P700" i="1"/>
  <c r="Q700" i="1"/>
  <c r="BV216" i="1" l="1"/>
  <c r="BN216" i="1"/>
  <c r="BH216" i="1" s="1"/>
  <c r="AZ217" i="1" s="1"/>
  <c r="BR216" i="1"/>
  <c r="BB217" i="1"/>
  <c r="BF217" i="1"/>
  <c r="AC701" i="1"/>
  <c r="AB701" i="1"/>
  <c r="P701" i="1"/>
  <c r="V701" i="1"/>
  <c r="Q701" i="1"/>
  <c r="BD217" i="1" l="1"/>
  <c r="CF217" i="1"/>
  <c r="BX217" i="1" s="1"/>
  <c r="CD217" i="1"/>
  <c r="BR217" i="1" s="1"/>
  <c r="CB217" i="1"/>
  <c r="BN217" i="1" s="1"/>
  <c r="AC702" i="1"/>
  <c r="AB702" i="1"/>
  <c r="V702" i="1"/>
  <c r="Q702" i="1"/>
  <c r="P702" i="1"/>
  <c r="BP217" i="1" l="1"/>
  <c r="BT217" i="1"/>
  <c r="BV217" i="1"/>
  <c r="BH217" i="1" s="1"/>
  <c r="AZ218" i="1" s="1"/>
  <c r="AB703" i="1"/>
  <c r="AC703" i="1"/>
  <c r="V703" i="1"/>
  <c r="Q703" i="1"/>
  <c r="P703" i="1"/>
  <c r="BD218" i="1" l="1"/>
  <c r="BJ217" i="1"/>
  <c r="AC704" i="1"/>
  <c r="AB704" i="1"/>
  <c r="Q704" i="1"/>
  <c r="V704" i="1"/>
  <c r="P704" i="1"/>
  <c r="BB218" i="1" l="1"/>
  <c r="BF218" i="1"/>
  <c r="AC705" i="1"/>
  <c r="P705" i="1"/>
  <c r="Q705" i="1"/>
  <c r="AB705" i="1"/>
  <c r="V705" i="1"/>
  <c r="CF218" i="1" l="1"/>
  <c r="CD218" i="1"/>
  <c r="BR218" i="1" s="1"/>
  <c r="CB218" i="1"/>
  <c r="BN218" i="1" s="1"/>
  <c r="AC706" i="1"/>
  <c r="V706" i="1"/>
  <c r="Q706" i="1"/>
  <c r="P706" i="1"/>
  <c r="AB706" i="1"/>
  <c r="BP218" i="1" l="1"/>
  <c r="BT218" i="1"/>
  <c r="BX218" i="1"/>
  <c r="BJ218" i="1" s="1"/>
  <c r="BV218" i="1"/>
  <c r="BH218" i="1" s="1"/>
  <c r="AC707" i="1"/>
  <c r="AB707" i="1"/>
  <c r="V707" i="1"/>
  <c r="Q707" i="1"/>
  <c r="P707" i="1"/>
  <c r="AZ219" i="1" l="1"/>
  <c r="BD219" i="1"/>
  <c r="BB219" i="1"/>
  <c r="BF219" i="1"/>
  <c r="AC708" i="1"/>
  <c r="AB708" i="1"/>
  <c r="V708" i="1"/>
  <c r="P708" i="1"/>
  <c r="Q708" i="1"/>
  <c r="CD219" i="1" l="1"/>
  <c r="BT219" i="1" s="1"/>
  <c r="CF219" i="1"/>
  <c r="BX219" i="1" s="1"/>
  <c r="CB219" i="1"/>
  <c r="BN219" i="1" s="1"/>
  <c r="AC709" i="1"/>
  <c r="AB709" i="1"/>
  <c r="P709" i="1"/>
  <c r="V709" i="1"/>
  <c r="Q709" i="1"/>
  <c r="BP219" i="1" l="1"/>
  <c r="BR219" i="1"/>
  <c r="BV219" i="1"/>
  <c r="BH219" i="1" s="1"/>
  <c r="BD220" i="1" s="1"/>
  <c r="AC710" i="1"/>
  <c r="AB710" i="1"/>
  <c r="V710" i="1"/>
  <c r="Q710" i="1"/>
  <c r="P710" i="1"/>
  <c r="BJ219" i="1" l="1"/>
  <c r="BB220" i="1" s="1"/>
  <c r="AZ220" i="1"/>
  <c r="AB711" i="1"/>
  <c r="AC711" i="1"/>
  <c r="V711" i="1"/>
  <c r="Q711" i="1"/>
  <c r="P711" i="1"/>
  <c r="BF220" i="1" l="1"/>
  <c r="CF220" i="1"/>
  <c r="BX220" i="1" s="1"/>
  <c r="CD220" i="1"/>
  <c r="BT220" i="1" s="1"/>
  <c r="CB220" i="1"/>
  <c r="BN220" i="1" s="1"/>
  <c r="AC712" i="1"/>
  <c r="AB712" i="1"/>
  <c r="Q712" i="1"/>
  <c r="P712" i="1"/>
  <c r="V712" i="1"/>
  <c r="BP220" i="1" l="1"/>
  <c r="BR220" i="1"/>
  <c r="BV220" i="1"/>
  <c r="AC713" i="1"/>
  <c r="AB713" i="1"/>
  <c r="P713" i="1"/>
  <c r="Q713" i="1"/>
  <c r="V713" i="1"/>
  <c r="BH220" i="1" l="1"/>
  <c r="BJ220" i="1"/>
  <c r="BB221" i="1" s="1"/>
  <c r="BD221" i="1"/>
  <c r="AZ221" i="1"/>
  <c r="AC714" i="1"/>
  <c r="V714" i="1"/>
  <c r="Q714" i="1"/>
  <c r="AB714" i="1"/>
  <c r="P714" i="1"/>
  <c r="CF221" i="1" l="1"/>
  <c r="BX221" i="1" s="1"/>
  <c r="CD221" i="1"/>
  <c r="BT221" i="1" s="1"/>
  <c r="BF221" i="1"/>
  <c r="CB221" i="1"/>
  <c r="BN221" i="1" s="1"/>
  <c r="AC715" i="1"/>
  <c r="AB715" i="1"/>
  <c r="V715" i="1"/>
  <c r="Q715" i="1"/>
  <c r="P715" i="1"/>
  <c r="BP221" i="1" l="1"/>
  <c r="BR221" i="1"/>
  <c r="BV221" i="1"/>
  <c r="AC716" i="1"/>
  <c r="AB716" i="1"/>
  <c r="V716" i="1"/>
  <c r="P716" i="1"/>
  <c r="Q716" i="1"/>
  <c r="BJ221" i="1" l="1"/>
  <c r="BH221" i="1"/>
  <c r="AC717" i="1"/>
  <c r="AB717" i="1"/>
  <c r="P717" i="1"/>
  <c r="V717" i="1"/>
  <c r="Q717" i="1"/>
  <c r="AZ222" i="1" l="1"/>
  <c r="BD222" i="1"/>
  <c r="BB222" i="1"/>
  <c r="BF222" i="1"/>
  <c r="AB718" i="1"/>
  <c r="AC718" i="1"/>
  <c r="V718" i="1"/>
  <c r="Q718" i="1"/>
  <c r="P718" i="1"/>
  <c r="CD222" i="1" l="1"/>
  <c r="BR222" i="1" s="1"/>
  <c r="CF222" i="1"/>
  <c r="BX222" i="1" s="1"/>
  <c r="CB222" i="1"/>
  <c r="BN222" i="1" s="1"/>
  <c r="AB719" i="1"/>
  <c r="AC719" i="1"/>
  <c r="V719" i="1"/>
  <c r="Q719" i="1"/>
  <c r="P719" i="1"/>
  <c r="BP222" i="1" l="1"/>
  <c r="BT222" i="1"/>
  <c r="BJ222" i="1" s="1"/>
  <c r="BV222" i="1"/>
  <c r="AC720" i="1"/>
  <c r="AB720" i="1"/>
  <c r="Q720" i="1"/>
  <c r="V720" i="1"/>
  <c r="P720" i="1"/>
  <c r="BH222" i="1" l="1"/>
  <c r="BD223" i="1" s="1"/>
  <c r="BB223" i="1"/>
  <c r="BF223" i="1"/>
  <c r="AC721" i="1"/>
  <c r="AB721" i="1"/>
  <c r="P721" i="1"/>
  <c r="Q721" i="1"/>
  <c r="V721" i="1"/>
  <c r="AZ223" i="1" l="1"/>
  <c r="AC722" i="1"/>
  <c r="V722" i="1"/>
  <c r="Q722" i="1"/>
  <c r="AB722" i="1"/>
  <c r="P722" i="1"/>
  <c r="CB223" i="1" l="1"/>
  <c r="BP223" i="1" s="1"/>
  <c r="CF223" i="1"/>
  <c r="BX223" i="1" s="1"/>
  <c r="CD223" i="1"/>
  <c r="BT223" i="1" s="1"/>
  <c r="BJ223" i="1" s="1"/>
  <c r="AC723" i="1"/>
  <c r="AB723" i="1"/>
  <c r="V723" i="1"/>
  <c r="Q723" i="1"/>
  <c r="P723" i="1"/>
  <c r="BN223" i="1" l="1"/>
  <c r="BR223" i="1"/>
  <c r="BV223" i="1"/>
  <c r="BH223" i="1" s="1"/>
  <c r="BB224" i="1"/>
  <c r="BF224" i="1"/>
  <c r="AC724" i="1"/>
  <c r="AB724" i="1"/>
  <c r="V724" i="1"/>
  <c r="P724" i="1"/>
  <c r="Q724" i="1"/>
  <c r="BD224" i="1" l="1"/>
  <c r="AZ224" i="1"/>
  <c r="CB224" i="1"/>
  <c r="BP224" i="1" s="1"/>
  <c r="AC725" i="1"/>
  <c r="AB725" i="1"/>
  <c r="P725" i="1"/>
  <c r="V725" i="1"/>
  <c r="Q725" i="1"/>
  <c r="CD224" i="1" l="1"/>
  <c r="BT224" i="1" s="1"/>
  <c r="BN224" i="1"/>
  <c r="CF224" i="1"/>
  <c r="BX224" i="1" s="1"/>
  <c r="BJ224" i="1" s="1"/>
  <c r="BR224" i="1"/>
  <c r="AC726" i="1"/>
  <c r="AB726" i="1"/>
  <c r="V726" i="1"/>
  <c r="Q726" i="1"/>
  <c r="P726" i="1"/>
  <c r="BV224" i="1" l="1"/>
  <c r="BH224" i="1"/>
  <c r="AZ225" i="1" s="1"/>
  <c r="BB225" i="1"/>
  <c r="BF225" i="1"/>
  <c r="AB727" i="1"/>
  <c r="AC727" i="1"/>
  <c r="V727" i="1"/>
  <c r="Q727" i="1"/>
  <c r="P727" i="1"/>
  <c r="BD225" i="1" l="1"/>
  <c r="CD225" i="1"/>
  <c r="BT225" i="1" s="1"/>
  <c r="CF225" i="1"/>
  <c r="BV225" i="1" s="1"/>
  <c r="CB225" i="1"/>
  <c r="BP225" i="1" s="1"/>
  <c r="AC728" i="1"/>
  <c r="AB728" i="1"/>
  <c r="Q728" i="1"/>
  <c r="V728" i="1"/>
  <c r="P728" i="1"/>
  <c r="BN225" i="1" l="1"/>
  <c r="BR225" i="1"/>
  <c r="BX225" i="1"/>
  <c r="AC729" i="1"/>
  <c r="AB729" i="1"/>
  <c r="P729" i="1"/>
  <c r="Q729" i="1"/>
  <c r="V729" i="1"/>
  <c r="BH225" i="1" l="1"/>
  <c r="BJ225" i="1"/>
  <c r="AC730" i="1"/>
  <c r="V730" i="1"/>
  <c r="Q730" i="1"/>
  <c r="AB730" i="1"/>
  <c r="P730" i="1"/>
  <c r="BB226" i="1" l="1"/>
  <c r="BF226" i="1"/>
  <c r="AZ226" i="1"/>
  <c r="BD226" i="1"/>
  <c r="AC731" i="1"/>
  <c r="AB731" i="1"/>
  <c r="V731" i="1"/>
  <c r="Q731" i="1"/>
  <c r="P731" i="1"/>
  <c r="CF226" i="1" l="1"/>
  <c r="BX226" i="1" s="1"/>
  <c r="CD226" i="1"/>
  <c r="BT226" i="1" s="1"/>
  <c r="CB226" i="1"/>
  <c r="BN226" i="1" s="1"/>
  <c r="AC732" i="1"/>
  <c r="AB732" i="1"/>
  <c r="V732" i="1"/>
  <c r="P732" i="1"/>
  <c r="Q732" i="1"/>
  <c r="BP226" i="1" l="1"/>
  <c r="BJ226" i="1" s="1"/>
  <c r="BR226" i="1"/>
  <c r="BV226" i="1"/>
  <c r="AC733" i="1"/>
  <c r="AB733" i="1"/>
  <c r="P733" i="1"/>
  <c r="V733" i="1"/>
  <c r="Q733" i="1"/>
  <c r="BH226" i="1" l="1"/>
  <c r="BD227" i="1" s="1"/>
  <c r="BB227" i="1"/>
  <c r="BF227" i="1"/>
  <c r="AC734" i="1"/>
  <c r="AB734" i="1"/>
  <c r="V734" i="1"/>
  <c r="Q734" i="1"/>
  <c r="P734" i="1"/>
  <c r="AZ227" i="1" l="1"/>
  <c r="AB735" i="1"/>
  <c r="AC735" i="1"/>
  <c r="V735" i="1"/>
  <c r="Q735" i="1"/>
  <c r="P735" i="1"/>
  <c r="CF227" i="1" l="1"/>
  <c r="BX227" i="1" s="1"/>
  <c r="CD227" i="1"/>
  <c r="BR227" i="1" s="1"/>
  <c r="CB227" i="1"/>
  <c r="BP227" i="1" s="1"/>
  <c r="AC736" i="1"/>
  <c r="AB736" i="1"/>
  <c r="Q736" i="1"/>
  <c r="P736" i="1"/>
  <c r="V736" i="1"/>
  <c r="BN227" i="1" l="1"/>
  <c r="BT227" i="1"/>
  <c r="BJ227" i="1" s="1"/>
  <c r="BV227" i="1"/>
  <c r="AC737" i="1"/>
  <c r="P737" i="1"/>
  <c r="Q737" i="1"/>
  <c r="AB737" i="1"/>
  <c r="V737" i="1"/>
  <c r="BB228" i="1" l="1"/>
  <c r="BF228" i="1"/>
  <c r="BH227" i="1"/>
  <c r="AC738" i="1"/>
  <c r="V738" i="1"/>
  <c r="Q738" i="1"/>
  <c r="P738" i="1"/>
  <c r="AB738" i="1"/>
  <c r="AZ228" i="1" l="1"/>
  <c r="BD228" i="1"/>
  <c r="AC739" i="1"/>
  <c r="AB739" i="1"/>
  <c r="V739" i="1"/>
  <c r="Q739" i="1"/>
  <c r="P739" i="1"/>
  <c r="CF228" i="1" l="1"/>
  <c r="BX228" i="1" s="1"/>
  <c r="CD228" i="1"/>
  <c r="BT228" i="1" s="1"/>
  <c r="CB228" i="1"/>
  <c r="BP228" i="1" s="1"/>
  <c r="AC740" i="1"/>
  <c r="AB740" i="1"/>
  <c r="V740" i="1"/>
  <c r="P740" i="1"/>
  <c r="Q740" i="1"/>
  <c r="BN228" i="1" l="1"/>
  <c r="BR228" i="1"/>
  <c r="BV228" i="1"/>
  <c r="BJ228" i="1"/>
  <c r="AC741" i="1"/>
  <c r="AB741" i="1"/>
  <c r="P741" i="1"/>
  <c r="V741" i="1"/>
  <c r="Q741" i="1"/>
  <c r="BH228" i="1" l="1"/>
  <c r="BD229" i="1" s="1"/>
  <c r="BB229" i="1"/>
  <c r="BF229" i="1"/>
  <c r="AC742" i="1"/>
  <c r="AB742" i="1"/>
  <c r="V742" i="1"/>
  <c r="Q742" i="1"/>
  <c r="P742" i="1"/>
  <c r="AZ229" i="1" l="1"/>
  <c r="AB743" i="1"/>
  <c r="AC743" i="1"/>
  <c r="V743" i="1"/>
  <c r="Q743" i="1"/>
  <c r="P743" i="1"/>
  <c r="CF229" i="1" l="1"/>
  <c r="BX229" i="1" s="1"/>
  <c r="CD229" i="1"/>
  <c r="BT229" i="1" s="1"/>
  <c r="CB229" i="1"/>
  <c r="BN229" i="1" s="1"/>
  <c r="AC744" i="1"/>
  <c r="AB744" i="1"/>
  <c r="Q744" i="1"/>
  <c r="P744" i="1"/>
  <c r="V744" i="1"/>
  <c r="BP229" i="1" l="1"/>
  <c r="BR229" i="1"/>
  <c r="BV229" i="1"/>
  <c r="BJ229" i="1"/>
  <c r="BB230" i="1" s="1"/>
  <c r="AC745" i="1"/>
  <c r="AB745" i="1"/>
  <c r="P745" i="1"/>
  <c r="Q745" i="1"/>
  <c r="V745" i="1"/>
  <c r="BH229" i="1" l="1"/>
  <c r="AZ230" i="1"/>
  <c r="BD230" i="1"/>
  <c r="BF230" i="1"/>
  <c r="AC746" i="1"/>
  <c r="V746" i="1"/>
  <c r="Q746" i="1"/>
  <c r="AB746" i="1"/>
  <c r="P746" i="1"/>
  <c r="CB230" i="1" l="1"/>
  <c r="BP230" i="1" s="1"/>
  <c r="CF230" i="1"/>
  <c r="BV230" i="1" s="1"/>
  <c r="CD230" i="1"/>
  <c r="BT230" i="1" s="1"/>
  <c r="AC747" i="1"/>
  <c r="AB747" i="1"/>
  <c r="V747" i="1"/>
  <c r="Q747" i="1"/>
  <c r="P747" i="1"/>
  <c r="BN230" i="1" l="1"/>
  <c r="BR230" i="1"/>
  <c r="BH230" i="1" s="1"/>
  <c r="BD231" i="1" s="1"/>
  <c r="BX230" i="1"/>
  <c r="BJ230" i="1" s="1"/>
  <c r="BB231" i="1" s="1"/>
  <c r="AC748" i="1"/>
  <c r="AB748" i="1"/>
  <c r="V748" i="1"/>
  <c r="P748" i="1"/>
  <c r="Q748" i="1"/>
  <c r="BF231" i="1" l="1"/>
  <c r="AZ231" i="1"/>
  <c r="AC749" i="1"/>
  <c r="AB749" i="1"/>
  <c r="P749" i="1"/>
  <c r="V749" i="1"/>
  <c r="Q749" i="1"/>
  <c r="CF231" i="1" l="1"/>
  <c r="BX231" i="1" s="1"/>
  <c r="CD231" i="1"/>
  <c r="BR231" i="1" s="1"/>
  <c r="CB231" i="1"/>
  <c r="BP231" i="1" s="1"/>
  <c r="AB750" i="1"/>
  <c r="V750" i="1"/>
  <c r="Q750" i="1"/>
  <c r="P750" i="1"/>
  <c r="AC750" i="1"/>
  <c r="BN231" i="1" l="1"/>
  <c r="BT231" i="1"/>
  <c r="BV231" i="1"/>
  <c r="BJ231" i="1"/>
  <c r="AB751" i="1"/>
  <c r="V751" i="1"/>
  <c r="Q751" i="1"/>
  <c r="P751" i="1"/>
  <c r="AC751" i="1"/>
  <c r="BH231" i="1" l="1"/>
  <c r="BD232" i="1" s="1"/>
  <c r="BB232" i="1"/>
  <c r="BF232" i="1"/>
  <c r="AC752" i="1"/>
  <c r="AB752" i="1"/>
  <c r="Q752" i="1"/>
  <c r="P752" i="1"/>
  <c r="V752" i="1"/>
  <c r="AZ232" i="1" l="1"/>
  <c r="CB232" i="1" s="1"/>
  <c r="BP232" i="1" s="1"/>
  <c r="AC753" i="1"/>
  <c r="AB753" i="1"/>
  <c r="P753" i="1"/>
  <c r="Q753" i="1"/>
  <c r="V753" i="1"/>
  <c r="CD232" i="1" l="1"/>
  <c r="BT232" i="1" s="1"/>
  <c r="BN232" i="1"/>
  <c r="CF232" i="1"/>
  <c r="BX232" i="1" s="1"/>
  <c r="BJ232" i="1" s="1"/>
  <c r="BB233" i="1" s="1"/>
  <c r="BR232" i="1"/>
  <c r="AC754" i="1"/>
  <c r="V754" i="1"/>
  <c r="Q754" i="1"/>
  <c r="AB754" i="1"/>
  <c r="P754" i="1"/>
  <c r="BV232" i="1" l="1"/>
  <c r="BH232" i="1"/>
  <c r="BD233" i="1" s="1"/>
  <c r="BF233" i="1"/>
  <c r="AC755" i="1"/>
  <c r="AB755" i="1"/>
  <c r="V755" i="1"/>
  <c r="Q755" i="1"/>
  <c r="P755" i="1"/>
  <c r="AZ233" i="1" l="1"/>
  <c r="CF233" i="1" s="1"/>
  <c r="BX233" i="1" s="1"/>
  <c r="AC756" i="1"/>
  <c r="AB756" i="1"/>
  <c r="V756" i="1"/>
  <c r="P756" i="1"/>
  <c r="Q756" i="1"/>
  <c r="CB233" i="1" l="1"/>
  <c r="BP233" i="1" s="1"/>
  <c r="CD233" i="1"/>
  <c r="BT233" i="1" s="1"/>
  <c r="BN233" i="1"/>
  <c r="BR233" i="1"/>
  <c r="BV233" i="1"/>
  <c r="BJ233" i="1"/>
  <c r="AC757" i="1"/>
  <c r="AB757" i="1"/>
  <c r="P757" i="1"/>
  <c r="V757" i="1"/>
  <c r="Q757" i="1"/>
  <c r="BH233" i="1" l="1"/>
  <c r="BD234" i="1" s="1"/>
  <c r="BB234" i="1"/>
  <c r="BF234" i="1"/>
  <c r="AC758" i="1"/>
  <c r="AB758" i="1"/>
  <c r="V758" i="1"/>
  <c r="Q758" i="1"/>
  <c r="P758" i="1"/>
  <c r="AZ234" i="1" l="1"/>
  <c r="AB759" i="1"/>
  <c r="AC759" i="1"/>
  <c r="V759" i="1"/>
  <c r="Q759" i="1"/>
  <c r="P759" i="1"/>
  <c r="CB234" i="1" l="1"/>
  <c r="BN234" i="1" s="1"/>
  <c r="CF234" i="1"/>
  <c r="BX234" i="1" s="1"/>
  <c r="CD234" i="1"/>
  <c r="BT234" i="1" s="1"/>
  <c r="AC760" i="1"/>
  <c r="AB760" i="1"/>
  <c r="Q760" i="1"/>
  <c r="V760" i="1"/>
  <c r="P760" i="1"/>
  <c r="BV234" i="1" l="1"/>
  <c r="BP234" i="1"/>
  <c r="BJ234" i="1" s="1"/>
  <c r="BB235" i="1" s="1"/>
  <c r="BR234" i="1"/>
  <c r="AC761" i="1"/>
  <c r="AB761" i="1"/>
  <c r="P761" i="1"/>
  <c r="Q761" i="1"/>
  <c r="V761" i="1"/>
  <c r="BH234" i="1" l="1"/>
  <c r="AZ235" i="1" s="1"/>
  <c r="BD235" i="1"/>
  <c r="BF235" i="1"/>
  <c r="CF235" i="1"/>
  <c r="BX235" i="1" s="1"/>
  <c r="CD235" i="1"/>
  <c r="BR235" i="1" s="1"/>
  <c r="CB235" i="1"/>
  <c r="BN235" i="1" s="1"/>
  <c r="AC762" i="1"/>
  <c r="V762" i="1"/>
  <c r="Q762" i="1"/>
  <c r="AB762" i="1"/>
  <c r="P762" i="1"/>
  <c r="BP235" i="1" l="1"/>
  <c r="BT235" i="1"/>
  <c r="BJ235" i="1" s="1"/>
  <c r="BB236" i="1" s="1"/>
  <c r="BV235" i="1"/>
  <c r="AC763" i="1"/>
  <c r="AB763" i="1"/>
  <c r="V763" i="1"/>
  <c r="Q763" i="1"/>
  <c r="P763" i="1"/>
  <c r="BF236" i="1" l="1"/>
  <c r="BH235" i="1"/>
  <c r="AC764" i="1"/>
  <c r="AB764" i="1"/>
  <c r="V764" i="1"/>
  <c r="P764" i="1"/>
  <c r="Q764" i="1"/>
  <c r="AZ236" i="1" l="1"/>
  <c r="BD236" i="1"/>
  <c r="AC765" i="1"/>
  <c r="AB765" i="1"/>
  <c r="P765" i="1"/>
  <c r="V765" i="1"/>
  <c r="Q765" i="1"/>
  <c r="CF236" i="1" l="1"/>
  <c r="BX236" i="1" s="1"/>
  <c r="CD236" i="1"/>
  <c r="BT236" i="1" s="1"/>
  <c r="CB236" i="1"/>
  <c r="BP236" i="1" s="1"/>
  <c r="AC766" i="1"/>
  <c r="AB766" i="1"/>
  <c r="V766" i="1"/>
  <c r="Q766" i="1"/>
  <c r="P766" i="1"/>
  <c r="BN236" i="1" l="1"/>
  <c r="BR236" i="1"/>
  <c r="BV236" i="1"/>
  <c r="AB767" i="1"/>
  <c r="AC767" i="1"/>
  <c r="V767" i="1"/>
  <c r="Q767" i="1"/>
  <c r="P767" i="1"/>
  <c r="BH236" i="1" l="1"/>
  <c r="AZ237" i="1" s="1"/>
  <c r="BD237" i="1"/>
  <c r="BJ236" i="1"/>
  <c r="AC768" i="1"/>
  <c r="AB768" i="1"/>
  <c r="Q768" i="1"/>
  <c r="P768" i="1"/>
  <c r="V768" i="1"/>
  <c r="BB237" i="1" l="1"/>
  <c r="BF237" i="1"/>
  <c r="AC769" i="1"/>
  <c r="P769" i="1"/>
  <c r="Q769" i="1"/>
  <c r="AB769" i="1"/>
  <c r="V769" i="1"/>
  <c r="CF237" i="1" l="1"/>
  <c r="CD237" i="1"/>
  <c r="BR237" i="1" s="1"/>
  <c r="CB237" i="1"/>
  <c r="BN237" i="1" s="1"/>
  <c r="AC770" i="1"/>
  <c r="V770" i="1"/>
  <c r="Q770" i="1"/>
  <c r="P770" i="1"/>
  <c r="AB770" i="1"/>
  <c r="BP237" i="1" l="1"/>
  <c r="BT237" i="1"/>
  <c r="BX237" i="1"/>
  <c r="BJ237" i="1" s="1"/>
  <c r="BV237" i="1"/>
  <c r="AC771" i="1"/>
  <c r="AB771" i="1"/>
  <c r="V771" i="1"/>
  <c r="Q771" i="1"/>
  <c r="P771" i="1"/>
  <c r="BH237" i="1" l="1"/>
  <c r="BB238" i="1"/>
  <c r="BF238" i="1"/>
  <c r="AC772" i="1"/>
  <c r="AB772" i="1"/>
  <c r="V772" i="1"/>
  <c r="P772" i="1"/>
  <c r="Q772" i="1"/>
  <c r="AZ238" i="1" l="1"/>
  <c r="BD238" i="1"/>
  <c r="AC773" i="1"/>
  <c r="AB773" i="1"/>
  <c r="P773" i="1"/>
  <c r="V773" i="1"/>
  <c r="Q773" i="1"/>
  <c r="CF238" i="1" l="1"/>
  <c r="BX238" i="1" s="1"/>
  <c r="CD238" i="1"/>
  <c r="BT238" i="1" s="1"/>
  <c r="CB238" i="1"/>
  <c r="BP238" i="1" s="1"/>
  <c r="AC774" i="1"/>
  <c r="AB774" i="1"/>
  <c r="V774" i="1"/>
  <c r="Q774" i="1"/>
  <c r="P774" i="1"/>
  <c r="BN238" i="1" l="1"/>
  <c r="BR238" i="1"/>
  <c r="BV238" i="1"/>
  <c r="BJ238" i="1"/>
  <c r="AB775" i="1"/>
  <c r="AC775" i="1"/>
  <c r="V775" i="1"/>
  <c r="Q775" i="1"/>
  <c r="P775" i="1"/>
  <c r="BH238" i="1" l="1"/>
  <c r="BD239" i="1" s="1"/>
  <c r="BB239" i="1"/>
  <c r="BF239" i="1"/>
  <c r="AC776" i="1"/>
  <c r="AB776" i="1"/>
  <c r="Q776" i="1"/>
  <c r="P776" i="1"/>
  <c r="V776" i="1"/>
  <c r="AZ239" i="1" l="1"/>
  <c r="AC777" i="1"/>
  <c r="AB777" i="1"/>
  <c r="P777" i="1"/>
  <c r="Q777" i="1"/>
  <c r="V777" i="1"/>
  <c r="CF239" i="1" l="1"/>
  <c r="BX239" i="1" s="1"/>
  <c r="CD239" i="1"/>
  <c r="BT239" i="1" s="1"/>
  <c r="CB239" i="1"/>
  <c r="BP239" i="1" s="1"/>
  <c r="AC778" i="1"/>
  <c r="V778" i="1"/>
  <c r="Q778" i="1"/>
  <c r="AB778" i="1"/>
  <c r="P778" i="1"/>
  <c r="BN239" i="1" l="1"/>
  <c r="BR239" i="1"/>
  <c r="BV239" i="1"/>
  <c r="BJ239" i="1"/>
  <c r="BB240" i="1" s="1"/>
  <c r="AC779" i="1"/>
  <c r="AB779" i="1"/>
  <c r="V779" i="1"/>
  <c r="Q779" i="1"/>
  <c r="P779" i="1"/>
  <c r="BF240" i="1" l="1"/>
  <c r="BH239" i="1"/>
  <c r="BD240" i="1" s="1"/>
  <c r="AC780" i="1"/>
  <c r="AB780" i="1"/>
  <c r="V780" i="1"/>
  <c r="P780" i="1"/>
  <c r="Q780" i="1"/>
  <c r="AZ240" i="1" l="1"/>
  <c r="AC781" i="1"/>
  <c r="AB781" i="1"/>
  <c r="P781" i="1"/>
  <c r="V781" i="1"/>
  <c r="Q781" i="1"/>
  <c r="CF240" i="1" l="1"/>
  <c r="BX240" i="1" s="1"/>
  <c r="CB240" i="1"/>
  <c r="BP240" i="1" s="1"/>
  <c r="CD240" i="1"/>
  <c r="BT240" i="1" s="1"/>
  <c r="BJ240" i="1" s="1"/>
  <c r="BB241" i="1" s="1"/>
  <c r="BV240" i="1"/>
  <c r="AB782" i="1"/>
  <c r="AC782" i="1"/>
  <c r="V782" i="1"/>
  <c r="Q782" i="1"/>
  <c r="P782" i="1"/>
  <c r="BR240" i="1" l="1"/>
  <c r="BN240" i="1"/>
  <c r="BH240" i="1" s="1"/>
  <c r="BF241" i="1"/>
  <c r="AB783" i="1"/>
  <c r="AC783" i="1"/>
  <c r="V783" i="1"/>
  <c r="Q783" i="1"/>
  <c r="P783" i="1"/>
  <c r="BD241" i="1" l="1"/>
  <c r="AZ241" i="1"/>
  <c r="CB241" i="1" s="1"/>
  <c r="AC784" i="1"/>
  <c r="AB784" i="1"/>
  <c r="Q784" i="1"/>
  <c r="P784" i="1"/>
  <c r="V784" i="1"/>
  <c r="CD241" i="1" l="1"/>
  <c r="BT241" i="1" s="1"/>
  <c r="CF241" i="1"/>
  <c r="BX241" i="1" s="1"/>
  <c r="BN241" i="1"/>
  <c r="BP241" i="1"/>
  <c r="BJ241" i="1" s="1"/>
  <c r="BR241" i="1"/>
  <c r="BV241" i="1"/>
  <c r="BH241" i="1" s="1"/>
  <c r="AC785" i="1"/>
  <c r="AB785" i="1"/>
  <c r="P785" i="1"/>
  <c r="Q785" i="1"/>
  <c r="V785" i="1"/>
  <c r="BB242" i="1" l="1"/>
  <c r="BF242" i="1"/>
  <c r="AZ242" i="1"/>
  <c r="CF242" i="1" s="1"/>
  <c r="BV242" i="1" s="1"/>
  <c r="BD242" i="1"/>
  <c r="AC786" i="1"/>
  <c r="V786" i="1"/>
  <c r="Q786" i="1"/>
  <c r="AB786" i="1"/>
  <c r="P786" i="1"/>
  <c r="CB242" i="1" l="1"/>
  <c r="BN242" i="1" s="1"/>
  <c r="CD242" i="1"/>
  <c r="BT242" i="1" s="1"/>
  <c r="BP242" i="1"/>
  <c r="BX242" i="1"/>
  <c r="BJ242" i="1" s="1"/>
  <c r="AC787" i="1"/>
  <c r="AB787" i="1"/>
  <c r="V787" i="1"/>
  <c r="Q787" i="1"/>
  <c r="P787" i="1"/>
  <c r="BR242" i="1" l="1"/>
  <c r="BH242" i="1" s="1"/>
  <c r="AZ243" i="1" s="1"/>
  <c r="BB243" i="1"/>
  <c r="BF243" i="1"/>
  <c r="AC788" i="1"/>
  <c r="AB788" i="1"/>
  <c r="V788" i="1"/>
  <c r="P788" i="1"/>
  <c r="Q788" i="1"/>
  <c r="CD243" i="1" l="1"/>
  <c r="BT243" i="1" s="1"/>
  <c r="CF243" i="1"/>
  <c r="BX243" i="1" s="1"/>
  <c r="BD243" i="1"/>
  <c r="CB243" i="1"/>
  <c r="BN243" i="1" s="1"/>
  <c r="AC789" i="1"/>
  <c r="AB789" i="1"/>
  <c r="P789" i="1"/>
  <c r="V789" i="1"/>
  <c r="Q789" i="1"/>
  <c r="BP243" i="1" l="1"/>
  <c r="BR243" i="1"/>
  <c r="BV243" i="1"/>
  <c r="AC790" i="1"/>
  <c r="AB790" i="1"/>
  <c r="V790" i="1"/>
  <c r="Q790" i="1"/>
  <c r="P790" i="1"/>
  <c r="BH243" i="1" l="1"/>
  <c r="BJ243" i="1"/>
  <c r="BB244" i="1" s="1"/>
  <c r="BD244" i="1"/>
  <c r="AZ244" i="1"/>
  <c r="AB791" i="1"/>
  <c r="AC791" i="1"/>
  <c r="V791" i="1"/>
  <c r="Q791" i="1"/>
  <c r="P791" i="1"/>
  <c r="CF244" i="1" l="1"/>
  <c r="BX244" i="1" s="1"/>
  <c r="CD244" i="1"/>
  <c r="BT244" i="1" s="1"/>
  <c r="BF244" i="1"/>
  <c r="CB244" i="1"/>
  <c r="BP244" i="1" s="1"/>
  <c r="AC792" i="1"/>
  <c r="AB792" i="1"/>
  <c r="Q792" i="1"/>
  <c r="V792" i="1"/>
  <c r="P792" i="1"/>
  <c r="BN244" i="1" l="1"/>
  <c r="BR244" i="1"/>
  <c r="BV244" i="1"/>
  <c r="BJ244" i="1"/>
  <c r="BB245" i="1" s="1"/>
  <c r="AC793" i="1"/>
  <c r="AB793" i="1"/>
  <c r="P793" i="1"/>
  <c r="Q793" i="1"/>
  <c r="V793" i="1"/>
  <c r="BH244" i="1" l="1"/>
  <c r="AZ245" i="1"/>
  <c r="BD245" i="1"/>
  <c r="CD245" i="1"/>
  <c r="BT245" i="1" s="1"/>
  <c r="BF245" i="1"/>
  <c r="AC794" i="1"/>
  <c r="V794" i="1"/>
  <c r="Q794" i="1"/>
  <c r="AB794" i="1"/>
  <c r="P794" i="1"/>
  <c r="CF245" i="1" l="1"/>
  <c r="BX245" i="1" s="1"/>
  <c r="BR245" i="1"/>
  <c r="CB245" i="1"/>
  <c r="BP245" i="1" s="1"/>
  <c r="AC795" i="1"/>
  <c r="AB795" i="1"/>
  <c r="V795" i="1"/>
  <c r="Q795" i="1"/>
  <c r="P795" i="1"/>
  <c r="BV245" i="1" l="1"/>
  <c r="BN245" i="1"/>
  <c r="AC796" i="1"/>
  <c r="AB796" i="1"/>
  <c r="V796" i="1"/>
  <c r="P796" i="1"/>
  <c r="Q796" i="1"/>
  <c r="BJ245" i="1" l="1"/>
  <c r="BB246" i="1" s="1"/>
  <c r="BH245" i="1"/>
  <c r="AZ246" i="1" s="1"/>
  <c r="AC797" i="1"/>
  <c r="AB797" i="1"/>
  <c r="P797" i="1"/>
  <c r="V797" i="1"/>
  <c r="Q797" i="1"/>
  <c r="CF246" i="1" l="1"/>
  <c r="BX246" i="1" s="1"/>
  <c r="CD246" i="1"/>
  <c r="BT246" i="1" s="1"/>
  <c r="BF246" i="1"/>
  <c r="BD246" i="1"/>
  <c r="CB246" i="1"/>
  <c r="BN246" i="1" s="1"/>
  <c r="AC798" i="1"/>
  <c r="AB798" i="1"/>
  <c r="V798" i="1"/>
  <c r="Q798" i="1"/>
  <c r="P798" i="1"/>
  <c r="BP246" i="1" l="1"/>
  <c r="BR246" i="1"/>
  <c r="BV246" i="1"/>
  <c r="AB799" i="1"/>
  <c r="AC799" i="1"/>
  <c r="V799" i="1"/>
  <c r="Q799" i="1"/>
  <c r="P799" i="1"/>
  <c r="BH246" i="1" l="1"/>
  <c r="AZ247" i="1" s="1"/>
  <c r="BJ246" i="1"/>
  <c r="BB247" i="1" s="1"/>
  <c r="AC800" i="1"/>
  <c r="AB800" i="1"/>
  <c r="Q800" i="1"/>
  <c r="P800" i="1"/>
  <c r="V800" i="1"/>
  <c r="CF247" i="1" l="1"/>
  <c r="BX247" i="1" s="1"/>
  <c r="CD247" i="1"/>
  <c r="BT247" i="1" s="1"/>
  <c r="BD247" i="1"/>
  <c r="BF247" i="1"/>
  <c r="CB247" i="1"/>
  <c r="BN247" i="1" s="1"/>
  <c r="AC801" i="1"/>
  <c r="P801" i="1"/>
  <c r="Q801" i="1"/>
  <c r="AB801" i="1"/>
  <c r="V801" i="1"/>
  <c r="BP247" i="1" l="1"/>
  <c r="BR247" i="1"/>
  <c r="BV247" i="1"/>
  <c r="AC802" i="1"/>
  <c r="V802" i="1"/>
  <c r="Q802" i="1"/>
  <c r="P802" i="1"/>
  <c r="AB802" i="1"/>
  <c r="BH247" i="1" l="1"/>
  <c r="AZ248" i="1" s="1"/>
  <c r="BJ247" i="1"/>
  <c r="BD248" i="1"/>
  <c r="AC803" i="1"/>
  <c r="AB803" i="1"/>
  <c r="V803" i="1"/>
  <c r="Q803" i="1"/>
  <c r="P803" i="1"/>
  <c r="BF248" i="1" l="1"/>
  <c r="BB248" i="1"/>
  <c r="AC804" i="1"/>
  <c r="AB804" i="1"/>
  <c r="V804" i="1"/>
  <c r="P804" i="1"/>
  <c r="Q804" i="1"/>
  <c r="CD248" i="1" l="1"/>
  <c r="CB248" i="1"/>
  <c r="BN248" i="1" s="1"/>
  <c r="CF248" i="1"/>
  <c r="AC805" i="1"/>
  <c r="AB805" i="1"/>
  <c r="P805" i="1"/>
  <c r="V805" i="1"/>
  <c r="Q805" i="1"/>
  <c r="BP248" i="1" l="1"/>
  <c r="BT248" i="1"/>
  <c r="BR248" i="1"/>
  <c r="BX248" i="1"/>
  <c r="BJ248" i="1" s="1"/>
  <c r="BF249" i="1" s="1"/>
  <c r="BV248" i="1"/>
  <c r="AC806" i="1"/>
  <c r="AB806" i="1"/>
  <c r="V806" i="1"/>
  <c r="Q806" i="1"/>
  <c r="P806" i="1"/>
  <c r="BH248" i="1" l="1"/>
  <c r="BB249" i="1"/>
  <c r="BD249" i="1"/>
  <c r="AZ249" i="1"/>
  <c r="AB807" i="1"/>
  <c r="AC807" i="1"/>
  <c r="V807" i="1"/>
  <c r="Q807" i="1"/>
  <c r="P807" i="1"/>
  <c r="CB249" i="1" l="1"/>
  <c r="BP249" i="1" s="1"/>
  <c r="CD249" i="1"/>
  <c r="BT249" i="1" s="1"/>
  <c r="CF249" i="1"/>
  <c r="BV249" i="1" s="1"/>
  <c r="AC808" i="1"/>
  <c r="AB808" i="1"/>
  <c r="Q808" i="1"/>
  <c r="P808" i="1"/>
  <c r="V808" i="1"/>
  <c r="BN249" i="1" l="1"/>
  <c r="BR249" i="1"/>
  <c r="BX249" i="1"/>
  <c r="BJ249" i="1" s="1"/>
  <c r="AC809" i="1"/>
  <c r="AB809" i="1"/>
  <c r="P809" i="1"/>
  <c r="Q809" i="1"/>
  <c r="V809" i="1"/>
  <c r="BH249" i="1" l="1"/>
  <c r="BB250" i="1"/>
  <c r="BF250" i="1"/>
  <c r="AZ250" i="1"/>
  <c r="BD250" i="1"/>
  <c r="AC810" i="1"/>
  <c r="V810" i="1"/>
  <c r="Q810" i="1"/>
  <c r="AB810" i="1"/>
  <c r="P810" i="1"/>
  <c r="CF250" i="1" l="1"/>
  <c r="BX250" i="1" s="1"/>
  <c r="CD250" i="1"/>
  <c r="BT250" i="1" s="1"/>
  <c r="CB250" i="1"/>
  <c r="BP250" i="1" s="1"/>
  <c r="AC811" i="1"/>
  <c r="AB811" i="1"/>
  <c r="V811" i="1"/>
  <c r="Q811" i="1"/>
  <c r="P811" i="1"/>
  <c r="BN250" i="1" l="1"/>
  <c r="BR250" i="1"/>
  <c r="BV250" i="1"/>
  <c r="BJ250" i="1"/>
  <c r="BB251" i="1" s="1"/>
  <c r="AC812" i="1"/>
  <c r="AB812" i="1"/>
  <c r="V812" i="1"/>
  <c r="P812" i="1"/>
  <c r="Q812" i="1"/>
  <c r="BH250" i="1" l="1"/>
  <c r="AZ251" i="1" s="1"/>
  <c r="CD251" i="1"/>
  <c r="BT251" i="1" s="1"/>
  <c r="CF251" i="1"/>
  <c r="BX251" i="1" s="1"/>
  <c r="BD251" i="1"/>
  <c r="BF251" i="1"/>
  <c r="CB251" i="1"/>
  <c r="BP251" i="1" s="1"/>
  <c r="AC813" i="1"/>
  <c r="AB813" i="1"/>
  <c r="P813" i="1"/>
  <c r="V813" i="1"/>
  <c r="Q813" i="1"/>
  <c r="BN251" i="1" l="1"/>
  <c r="BR251" i="1"/>
  <c r="BV251" i="1"/>
  <c r="BJ251" i="1"/>
  <c r="BB252" i="1" s="1"/>
  <c r="AB814" i="1"/>
  <c r="V814" i="1"/>
  <c r="Q814" i="1"/>
  <c r="AC814" i="1"/>
  <c r="P814" i="1"/>
  <c r="BH251" i="1" l="1"/>
  <c r="AZ252" i="1" s="1"/>
  <c r="BF252" i="1"/>
  <c r="AB815" i="1"/>
  <c r="V815" i="1"/>
  <c r="Q815" i="1"/>
  <c r="AC815" i="1"/>
  <c r="P815" i="1"/>
  <c r="CF252" i="1" l="1"/>
  <c r="BX252" i="1" s="1"/>
  <c r="CD252" i="1"/>
  <c r="BR252" i="1" s="1"/>
  <c r="BD252" i="1"/>
  <c r="CB252" i="1"/>
  <c r="BP252" i="1" s="1"/>
  <c r="AC816" i="1"/>
  <c r="AB816" i="1"/>
  <c r="Q816" i="1"/>
  <c r="P816" i="1"/>
  <c r="V816" i="1"/>
  <c r="BN252" i="1" l="1"/>
  <c r="BT252" i="1"/>
  <c r="BV252" i="1"/>
  <c r="AC817" i="1"/>
  <c r="AB817" i="1"/>
  <c r="P817" i="1"/>
  <c r="Q817" i="1"/>
  <c r="V817" i="1"/>
  <c r="BH252" i="1" l="1"/>
  <c r="AZ253" i="1" s="1"/>
  <c r="BJ252" i="1"/>
  <c r="BB253" i="1" s="1"/>
  <c r="AC818" i="1"/>
  <c r="V818" i="1"/>
  <c r="Q818" i="1"/>
  <c r="AB818" i="1"/>
  <c r="P818" i="1"/>
  <c r="CD253" i="1" l="1"/>
  <c r="BT253" i="1" s="1"/>
  <c r="CF253" i="1"/>
  <c r="BX253" i="1" s="1"/>
  <c r="BF253" i="1"/>
  <c r="BD253" i="1"/>
  <c r="AC819" i="1"/>
  <c r="AB819" i="1"/>
  <c r="V819" i="1"/>
  <c r="Q819" i="1"/>
  <c r="P819" i="1"/>
  <c r="BR253" i="1" l="1"/>
  <c r="BV253" i="1"/>
  <c r="CB253" i="1"/>
  <c r="BN253" i="1" s="1"/>
  <c r="AC820" i="1"/>
  <c r="AB820" i="1"/>
  <c r="V820" i="1"/>
  <c r="P820" i="1"/>
  <c r="Q820" i="1"/>
  <c r="BP253" i="1" l="1"/>
  <c r="BJ253" i="1" s="1"/>
  <c r="BB254" i="1" s="1"/>
  <c r="AC821" i="1"/>
  <c r="AB821" i="1"/>
  <c r="P821" i="1"/>
  <c r="V821" i="1"/>
  <c r="Q821" i="1"/>
  <c r="BF254" i="1" l="1"/>
  <c r="BH253" i="1"/>
  <c r="AZ254" i="1" s="1"/>
  <c r="AC822" i="1"/>
  <c r="AB822" i="1"/>
  <c r="V822" i="1"/>
  <c r="Q822" i="1"/>
  <c r="P822" i="1"/>
  <c r="BD254" i="1" l="1"/>
  <c r="CF254" i="1"/>
  <c r="BX254" i="1" s="1"/>
  <c r="CD254" i="1"/>
  <c r="BT254" i="1" s="1"/>
  <c r="CB254" i="1"/>
  <c r="BP254" i="1" s="1"/>
  <c r="AB823" i="1"/>
  <c r="AC823" i="1"/>
  <c r="V823" i="1"/>
  <c r="Q823" i="1"/>
  <c r="P823" i="1"/>
  <c r="BN254" i="1" l="1"/>
  <c r="BR254" i="1"/>
  <c r="BV254" i="1"/>
  <c r="BJ254" i="1"/>
  <c r="AC824" i="1"/>
  <c r="AB824" i="1"/>
  <c r="Q824" i="1"/>
  <c r="V824" i="1"/>
  <c r="P824" i="1"/>
  <c r="BH254" i="1" l="1"/>
  <c r="BD255" i="1" s="1"/>
  <c r="BF255" i="1"/>
  <c r="BB255" i="1"/>
  <c r="AC825" i="1"/>
  <c r="AB825" i="1"/>
  <c r="P825" i="1"/>
  <c r="Q825" i="1"/>
  <c r="V825" i="1"/>
  <c r="AZ255" i="1" l="1"/>
  <c r="CF255" i="1" s="1"/>
  <c r="BV255" i="1" s="1"/>
  <c r="CB255" i="1"/>
  <c r="AC826" i="1"/>
  <c r="V826" i="1"/>
  <c r="Q826" i="1"/>
  <c r="AB826" i="1"/>
  <c r="P826" i="1"/>
  <c r="CD255" i="1" l="1"/>
  <c r="BR255" i="1" s="1"/>
  <c r="BN255" i="1"/>
  <c r="BP255" i="1"/>
  <c r="BT255" i="1"/>
  <c r="BX255" i="1"/>
  <c r="AC827" i="1"/>
  <c r="AB827" i="1"/>
  <c r="V827" i="1"/>
  <c r="Q827" i="1"/>
  <c r="P827" i="1"/>
  <c r="BH255" i="1" l="1"/>
  <c r="BJ255" i="1"/>
  <c r="BB256" i="1" s="1"/>
  <c r="AC828" i="1"/>
  <c r="AB828" i="1"/>
  <c r="V828" i="1"/>
  <c r="P828" i="1"/>
  <c r="Q828" i="1"/>
  <c r="BD256" i="1" l="1"/>
  <c r="AZ256" i="1"/>
  <c r="BF256" i="1"/>
  <c r="AC829" i="1"/>
  <c r="AB829" i="1"/>
  <c r="P829" i="1"/>
  <c r="V829" i="1"/>
  <c r="Q829" i="1"/>
  <c r="CF256" i="1" l="1"/>
  <c r="BX256" i="1" s="1"/>
  <c r="CD256" i="1"/>
  <c r="BT256" i="1" s="1"/>
  <c r="CB256" i="1"/>
  <c r="BP256" i="1" s="1"/>
  <c r="AC830" i="1"/>
  <c r="AB830" i="1"/>
  <c r="V830" i="1"/>
  <c r="Q830" i="1"/>
  <c r="P830" i="1"/>
  <c r="BN256" i="1" l="1"/>
  <c r="BR256" i="1"/>
  <c r="BV256" i="1"/>
  <c r="AB831" i="1"/>
  <c r="AC831" i="1"/>
  <c r="V831" i="1"/>
  <c r="Q831" i="1"/>
  <c r="P831" i="1"/>
  <c r="BH256" i="1" l="1"/>
  <c r="BJ256" i="1"/>
  <c r="BB257" i="1" s="1"/>
  <c r="AC832" i="1"/>
  <c r="AB832" i="1"/>
  <c r="Q832" i="1"/>
  <c r="P832" i="1"/>
  <c r="V832" i="1"/>
  <c r="BF257" i="1" l="1"/>
  <c r="AZ257" i="1"/>
  <c r="BD257" i="1"/>
  <c r="AC833" i="1"/>
  <c r="P833" i="1"/>
  <c r="Q833" i="1"/>
  <c r="AB833" i="1"/>
  <c r="V833" i="1"/>
  <c r="CF257" i="1" l="1"/>
  <c r="BX257" i="1" s="1"/>
  <c r="CD257" i="1"/>
  <c r="BR257" i="1" s="1"/>
  <c r="CB257" i="1"/>
  <c r="BP257" i="1" s="1"/>
  <c r="AC834" i="1"/>
  <c r="V834" i="1"/>
  <c r="Q834" i="1"/>
  <c r="P834" i="1"/>
  <c r="AB834" i="1"/>
  <c r="BN257" i="1" l="1"/>
  <c r="BT257" i="1"/>
  <c r="BV257" i="1"/>
  <c r="AC835" i="1"/>
  <c r="AB835" i="1"/>
  <c r="V835" i="1"/>
  <c r="Q835" i="1"/>
  <c r="P835" i="1"/>
  <c r="BH257" i="1" l="1"/>
  <c r="BJ257" i="1"/>
  <c r="BB258" i="1" s="1"/>
  <c r="AC836" i="1"/>
  <c r="AB836" i="1"/>
  <c r="V836" i="1"/>
  <c r="P836" i="1"/>
  <c r="Q836" i="1"/>
  <c r="BF258" i="1" l="1"/>
  <c r="AZ258" i="1"/>
  <c r="BD258" i="1"/>
  <c r="AC837" i="1"/>
  <c r="AB837" i="1"/>
  <c r="P837" i="1"/>
  <c r="V837" i="1"/>
  <c r="Q837" i="1"/>
  <c r="CF258" i="1" l="1"/>
  <c r="BX258" i="1" s="1"/>
  <c r="CD258" i="1"/>
  <c r="BR258" i="1" s="1"/>
  <c r="CB258" i="1"/>
  <c r="BP258" i="1" s="1"/>
  <c r="AC838" i="1"/>
  <c r="AB838" i="1"/>
  <c r="V838" i="1"/>
  <c r="Q838" i="1"/>
  <c r="P838" i="1"/>
  <c r="BN258" i="1" l="1"/>
  <c r="BT258" i="1"/>
  <c r="BV258" i="1"/>
  <c r="AB839" i="1"/>
  <c r="AC839" i="1"/>
  <c r="V839" i="1"/>
  <c r="Q839" i="1"/>
  <c r="P839" i="1"/>
  <c r="BH258" i="1" l="1"/>
  <c r="BD259" i="1" s="1"/>
  <c r="BJ258" i="1"/>
  <c r="BB259" i="1" s="1"/>
  <c r="AC840" i="1"/>
  <c r="AB840" i="1"/>
  <c r="Q840" i="1"/>
  <c r="P840" i="1"/>
  <c r="V840" i="1"/>
  <c r="AZ259" i="1" l="1"/>
  <c r="CF259" i="1" s="1"/>
  <c r="BX259" i="1" s="1"/>
  <c r="BF259" i="1"/>
  <c r="CB259" i="1"/>
  <c r="BP259" i="1" s="1"/>
  <c r="AC841" i="1"/>
  <c r="AB841" i="1"/>
  <c r="P841" i="1"/>
  <c r="Q841" i="1"/>
  <c r="V841" i="1"/>
  <c r="CD259" i="1" l="1"/>
  <c r="BT259" i="1" s="1"/>
  <c r="BN259" i="1"/>
  <c r="BR259" i="1"/>
  <c r="BV259" i="1"/>
  <c r="BJ259" i="1"/>
  <c r="BB260" i="1" s="1"/>
  <c r="AC842" i="1"/>
  <c r="V842" i="1"/>
  <c r="Q842" i="1"/>
  <c r="AB842" i="1"/>
  <c r="P842" i="1"/>
  <c r="BH259" i="1" l="1"/>
  <c r="BD260" i="1" s="1"/>
  <c r="BF260" i="1"/>
  <c r="AC843" i="1"/>
  <c r="AB843" i="1"/>
  <c r="V843" i="1"/>
  <c r="Q843" i="1"/>
  <c r="P843" i="1"/>
  <c r="AZ260" i="1" l="1"/>
  <c r="CF260" i="1" s="1"/>
  <c r="BX260" i="1" s="1"/>
  <c r="AC844" i="1"/>
  <c r="AB844" i="1"/>
  <c r="V844" i="1"/>
  <c r="P844" i="1"/>
  <c r="Q844" i="1"/>
  <c r="CB260" i="1" l="1"/>
  <c r="BP260" i="1" s="1"/>
  <c r="CD260" i="1"/>
  <c r="BR260" i="1" s="1"/>
  <c r="BN260" i="1"/>
  <c r="BV260" i="1"/>
  <c r="AC845" i="1"/>
  <c r="AB845" i="1"/>
  <c r="P845" i="1"/>
  <c r="V845" i="1"/>
  <c r="Q845" i="1"/>
  <c r="BT260" i="1" l="1"/>
  <c r="BJ260" i="1" s="1"/>
  <c r="BB261" i="1" s="1"/>
  <c r="BH260" i="1"/>
  <c r="AZ261" i="1" s="1"/>
  <c r="AB846" i="1"/>
  <c r="AC846" i="1"/>
  <c r="V846" i="1"/>
  <c r="Q846" i="1"/>
  <c r="P846" i="1"/>
  <c r="BF261" i="1" l="1"/>
  <c r="BD261" i="1"/>
  <c r="CF261" i="1"/>
  <c r="BX261" i="1" s="1"/>
  <c r="CD261" i="1"/>
  <c r="BT261" i="1" s="1"/>
  <c r="CB261" i="1"/>
  <c r="BP261" i="1" s="1"/>
  <c r="AB847" i="1"/>
  <c r="AC847" i="1"/>
  <c r="V847" i="1"/>
  <c r="Q847" i="1"/>
  <c r="P847" i="1"/>
  <c r="BN261" i="1" l="1"/>
  <c r="BR261" i="1"/>
  <c r="BV261" i="1"/>
  <c r="AC848" i="1"/>
  <c r="AB848" i="1"/>
  <c r="Q848" i="1"/>
  <c r="P848" i="1"/>
  <c r="V848" i="1"/>
  <c r="BH261" i="1" l="1"/>
  <c r="BJ261" i="1"/>
  <c r="BB262" i="1" s="1"/>
  <c r="AC849" i="1"/>
  <c r="AB849" i="1"/>
  <c r="P849" i="1"/>
  <c r="Q849" i="1"/>
  <c r="V849" i="1"/>
  <c r="BF262" i="1" l="1"/>
  <c r="BD262" i="1"/>
  <c r="AZ262" i="1"/>
  <c r="AC850" i="1"/>
  <c r="V850" i="1"/>
  <c r="Q850" i="1"/>
  <c r="AB850" i="1"/>
  <c r="P850" i="1"/>
  <c r="CF262" i="1" l="1"/>
  <c r="BX262" i="1" s="1"/>
  <c r="CD262" i="1"/>
  <c r="BT262" i="1" s="1"/>
  <c r="CB262" i="1"/>
  <c r="BP262" i="1" s="1"/>
  <c r="AC851" i="1"/>
  <c r="AB851" i="1"/>
  <c r="V851" i="1"/>
  <c r="Q851" i="1"/>
  <c r="P851" i="1"/>
  <c r="BN262" i="1" l="1"/>
  <c r="BR262" i="1"/>
  <c r="BV262" i="1"/>
  <c r="BJ262" i="1"/>
  <c r="BB263" i="1" s="1"/>
  <c r="AC852" i="1"/>
  <c r="AB852" i="1"/>
  <c r="V852" i="1"/>
  <c r="P852" i="1"/>
  <c r="Q852" i="1"/>
  <c r="BH262" i="1" l="1"/>
  <c r="BD263" i="1" s="1"/>
  <c r="BF263" i="1"/>
  <c r="AC853" i="1"/>
  <c r="AB853" i="1"/>
  <c r="P853" i="1"/>
  <c r="V853" i="1"/>
  <c r="Q853" i="1"/>
  <c r="AZ263" i="1" l="1"/>
  <c r="AC854" i="1"/>
  <c r="AB854" i="1"/>
  <c r="V854" i="1"/>
  <c r="Q854" i="1"/>
  <c r="P854" i="1"/>
  <c r="CF263" i="1" l="1"/>
  <c r="BX263" i="1" s="1"/>
  <c r="CB263" i="1"/>
  <c r="BP263" i="1" s="1"/>
  <c r="CD263" i="1"/>
  <c r="BT263" i="1" s="1"/>
  <c r="BJ263" i="1" s="1"/>
  <c r="BB264" i="1" s="1"/>
  <c r="BV263" i="1"/>
  <c r="AB855" i="1"/>
  <c r="AC855" i="1"/>
  <c r="V855" i="1"/>
  <c r="Q855" i="1"/>
  <c r="P855" i="1"/>
  <c r="BN263" i="1" l="1"/>
  <c r="BR263" i="1"/>
  <c r="BF264" i="1"/>
  <c r="AC856" i="1"/>
  <c r="AB856" i="1"/>
  <c r="Q856" i="1"/>
  <c r="V856" i="1"/>
  <c r="P856" i="1"/>
  <c r="BH263" i="1" l="1"/>
  <c r="BD264" i="1" s="1"/>
  <c r="AC857" i="1"/>
  <c r="AB857" i="1"/>
  <c r="P857" i="1"/>
  <c r="Q857" i="1"/>
  <c r="V857" i="1"/>
  <c r="AZ264" i="1" l="1"/>
  <c r="CB264" i="1" s="1"/>
  <c r="BP264" i="1" s="1"/>
  <c r="CD264" i="1"/>
  <c r="BT264" i="1" s="1"/>
  <c r="AC858" i="1"/>
  <c r="V858" i="1"/>
  <c r="Q858" i="1"/>
  <c r="AB858" i="1"/>
  <c r="P858" i="1"/>
  <c r="CF264" i="1" l="1"/>
  <c r="BN264" i="1"/>
  <c r="BR264" i="1"/>
  <c r="AC859" i="1"/>
  <c r="AB859" i="1"/>
  <c r="V859" i="1"/>
  <c r="Q859" i="1"/>
  <c r="P859" i="1"/>
  <c r="BX264" i="1" l="1"/>
  <c r="BJ264" i="1" s="1"/>
  <c r="BV264" i="1"/>
  <c r="BH264" i="1" s="1"/>
  <c r="AC860" i="1"/>
  <c r="AB860" i="1"/>
  <c r="V860" i="1"/>
  <c r="P860" i="1"/>
  <c r="Q860" i="1"/>
  <c r="BD265" i="1" l="1"/>
  <c r="AZ265" i="1"/>
  <c r="BB265" i="1"/>
  <c r="BF265" i="1"/>
  <c r="AC861" i="1"/>
  <c r="AB861" i="1"/>
  <c r="P861" i="1"/>
  <c r="V861" i="1"/>
  <c r="Q861" i="1"/>
  <c r="CF265" i="1" l="1"/>
  <c r="CB265" i="1"/>
  <c r="CD265" i="1"/>
  <c r="AC862" i="1"/>
  <c r="AB862" i="1"/>
  <c r="V862" i="1"/>
  <c r="Q862" i="1"/>
  <c r="P862" i="1"/>
  <c r="BT265" i="1" l="1"/>
  <c r="BR265" i="1"/>
  <c r="BP265" i="1"/>
  <c r="BJ265" i="1" s="1"/>
  <c r="BN265" i="1"/>
  <c r="BX265" i="1"/>
  <c r="BV265" i="1"/>
  <c r="AB863" i="1"/>
  <c r="AC863" i="1"/>
  <c r="V863" i="1"/>
  <c r="Q863" i="1"/>
  <c r="P863" i="1"/>
  <c r="BH265" i="1" l="1"/>
  <c r="BB266" i="1"/>
  <c r="BF266" i="1"/>
  <c r="AC864" i="1"/>
  <c r="AB864" i="1"/>
  <c r="Q864" i="1"/>
  <c r="P864" i="1"/>
  <c r="V864" i="1"/>
  <c r="AZ266" i="1" l="1"/>
  <c r="BD266" i="1"/>
  <c r="AC865" i="1"/>
  <c r="P865" i="1"/>
  <c r="Q865" i="1"/>
  <c r="AB865" i="1"/>
  <c r="V865" i="1"/>
  <c r="CD266" i="1" l="1"/>
  <c r="BT266" i="1" s="1"/>
  <c r="CB266" i="1"/>
  <c r="BP266" i="1" s="1"/>
  <c r="CF266" i="1"/>
  <c r="BX266" i="1" s="1"/>
  <c r="BR266" i="1"/>
  <c r="BN266" i="1"/>
  <c r="AC866" i="1"/>
  <c r="V866" i="1"/>
  <c r="Q866" i="1"/>
  <c r="P866" i="1"/>
  <c r="AB866" i="1"/>
  <c r="BJ266" i="1" l="1"/>
  <c r="BV266" i="1"/>
  <c r="BH266" i="1" s="1"/>
  <c r="AC867" i="1"/>
  <c r="AB867" i="1"/>
  <c r="V867" i="1"/>
  <c r="Q867" i="1"/>
  <c r="P867" i="1"/>
  <c r="BD267" i="1" l="1"/>
  <c r="AZ267" i="1"/>
  <c r="BB267" i="1"/>
  <c r="BF267" i="1"/>
  <c r="AC868" i="1"/>
  <c r="AB868" i="1"/>
  <c r="V868" i="1"/>
  <c r="P868" i="1"/>
  <c r="Q868" i="1"/>
  <c r="CF267" i="1" l="1"/>
  <c r="CD267" i="1"/>
  <c r="BR267" i="1" s="1"/>
  <c r="CB267" i="1"/>
  <c r="BP267" i="1" s="1"/>
  <c r="AC869" i="1"/>
  <c r="AB869" i="1"/>
  <c r="P869" i="1"/>
  <c r="V869" i="1"/>
  <c r="Q869" i="1"/>
  <c r="BX267" i="1" l="1"/>
  <c r="BV267" i="1"/>
  <c r="BN267" i="1"/>
  <c r="BT267" i="1"/>
  <c r="BJ267" i="1" s="1"/>
  <c r="AC870" i="1"/>
  <c r="AB870" i="1"/>
  <c r="V870" i="1"/>
  <c r="Q870" i="1"/>
  <c r="P870" i="1"/>
  <c r="BB268" i="1" l="1"/>
  <c r="BF268" i="1"/>
  <c r="BH267" i="1"/>
  <c r="AB871" i="1"/>
  <c r="AC871" i="1"/>
  <c r="V871" i="1"/>
  <c r="Q871" i="1"/>
  <c r="P871" i="1"/>
  <c r="AZ268" i="1" l="1"/>
  <c r="BD268" i="1"/>
  <c r="AC872" i="1"/>
  <c r="AB872" i="1"/>
  <c r="Q872" i="1"/>
  <c r="P872" i="1"/>
  <c r="V872" i="1"/>
  <c r="CF268" i="1" l="1"/>
  <c r="BX268" i="1" s="1"/>
  <c r="CD268" i="1"/>
  <c r="BT268" i="1" s="1"/>
  <c r="CB268" i="1"/>
  <c r="BP268" i="1" s="1"/>
  <c r="AC873" i="1"/>
  <c r="AB873" i="1"/>
  <c r="P873" i="1"/>
  <c r="Q873" i="1"/>
  <c r="V873" i="1"/>
  <c r="BJ268" i="1" l="1"/>
  <c r="BN268" i="1"/>
  <c r="BV268" i="1"/>
  <c r="BR268" i="1"/>
  <c r="AC874" i="1"/>
  <c r="V874" i="1"/>
  <c r="Q874" i="1"/>
  <c r="AB874" i="1"/>
  <c r="P874" i="1"/>
  <c r="BH268" i="1" l="1"/>
  <c r="BF269" i="1"/>
  <c r="BB269" i="1"/>
  <c r="AC875" i="1"/>
  <c r="AB875" i="1"/>
  <c r="V875" i="1"/>
  <c r="Q875" i="1"/>
  <c r="P875" i="1"/>
  <c r="BD269" i="1" l="1"/>
  <c r="AZ269" i="1"/>
  <c r="AC876" i="1"/>
  <c r="AB876" i="1"/>
  <c r="V876" i="1"/>
  <c r="P876" i="1"/>
  <c r="Q876" i="1"/>
  <c r="CD269" i="1" l="1"/>
  <c r="BT269" i="1" s="1"/>
  <c r="CB269" i="1"/>
  <c r="CF269" i="1"/>
  <c r="BX269" i="1" s="1"/>
  <c r="BR269" i="1"/>
  <c r="AC877" i="1"/>
  <c r="AB877" i="1"/>
  <c r="P877" i="1"/>
  <c r="V877" i="1"/>
  <c r="Q877" i="1"/>
  <c r="BN269" i="1" l="1"/>
  <c r="BP269" i="1"/>
  <c r="BJ269" i="1" s="1"/>
  <c r="BV269" i="1"/>
  <c r="AB878" i="1"/>
  <c r="V878" i="1"/>
  <c r="Q878" i="1"/>
  <c r="P878" i="1"/>
  <c r="AC878" i="1"/>
  <c r="BB270" i="1" l="1"/>
  <c r="BF270" i="1"/>
  <c r="BH269" i="1"/>
  <c r="AB879" i="1"/>
  <c r="V879" i="1"/>
  <c r="Q879" i="1"/>
  <c r="AC879" i="1"/>
  <c r="P879" i="1"/>
  <c r="AZ270" i="1" l="1"/>
  <c r="BD270" i="1"/>
  <c r="AC880" i="1"/>
  <c r="AB880" i="1"/>
  <c r="Q880" i="1"/>
  <c r="P880" i="1"/>
  <c r="V880" i="1"/>
  <c r="CF270" i="1" l="1"/>
  <c r="BX270" i="1" s="1"/>
  <c r="CD270" i="1"/>
  <c r="BT270" i="1" s="1"/>
  <c r="CB270" i="1"/>
  <c r="BP270" i="1" s="1"/>
  <c r="BN270" i="1"/>
  <c r="BR270" i="1"/>
  <c r="AC881" i="1"/>
  <c r="AB881" i="1"/>
  <c r="P881" i="1"/>
  <c r="Q881" i="1"/>
  <c r="V881" i="1"/>
  <c r="BJ270" i="1" l="1"/>
  <c r="BV270" i="1"/>
  <c r="BH270" i="1" s="1"/>
  <c r="AC882" i="1"/>
  <c r="V882" i="1"/>
  <c r="Q882" i="1"/>
  <c r="AB882" i="1"/>
  <c r="P882" i="1"/>
  <c r="AZ271" i="1" l="1"/>
  <c r="BD271" i="1"/>
  <c r="BF271" i="1"/>
  <c r="BB271" i="1"/>
  <c r="AC883" i="1"/>
  <c r="AB883" i="1"/>
  <c r="V883" i="1"/>
  <c r="Q883" i="1"/>
  <c r="P883" i="1"/>
  <c r="CF271" i="1" l="1"/>
  <c r="BX271" i="1" s="1"/>
  <c r="CD271" i="1"/>
  <c r="BT271" i="1" s="1"/>
  <c r="CB271" i="1"/>
  <c r="BN271" i="1" s="1"/>
  <c r="BV271" i="1"/>
  <c r="BR271" i="1"/>
  <c r="AC884" i="1"/>
  <c r="AB884" i="1"/>
  <c r="V884" i="1"/>
  <c r="P884" i="1"/>
  <c r="Q884" i="1"/>
  <c r="BH271" i="1" l="1"/>
  <c r="BP271" i="1"/>
  <c r="BJ271" i="1" s="1"/>
  <c r="AC885" i="1"/>
  <c r="AB885" i="1"/>
  <c r="P885" i="1"/>
  <c r="V885" i="1"/>
  <c r="Q885" i="1"/>
  <c r="BB272" i="1" l="1"/>
  <c r="BF272" i="1"/>
  <c r="AZ272" i="1"/>
  <c r="BD272" i="1"/>
  <c r="AC886" i="1"/>
  <c r="AB886" i="1"/>
  <c r="V886" i="1"/>
  <c r="Q886" i="1"/>
  <c r="P886" i="1"/>
  <c r="CB272" i="1" l="1"/>
  <c r="BN272" i="1" s="1"/>
  <c r="CF272" i="1"/>
  <c r="BX272" i="1" s="1"/>
  <c r="CD272" i="1"/>
  <c r="BT272" i="1" s="1"/>
  <c r="AB887" i="1"/>
  <c r="AC887" i="1"/>
  <c r="V887" i="1"/>
  <c r="Q887" i="1"/>
  <c r="P887" i="1"/>
  <c r="BV272" i="1" l="1"/>
  <c r="BP272" i="1"/>
  <c r="BJ272" i="1" s="1"/>
  <c r="BR272" i="1"/>
  <c r="AC888" i="1"/>
  <c r="AB888" i="1"/>
  <c r="Q888" i="1"/>
  <c r="V888" i="1"/>
  <c r="P888" i="1"/>
  <c r="BB273" i="1" l="1"/>
  <c r="BF273" i="1"/>
  <c r="BH272" i="1"/>
  <c r="AC889" i="1"/>
  <c r="AB889" i="1"/>
  <c r="P889" i="1"/>
  <c r="Q889" i="1"/>
  <c r="V889" i="1"/>
  <c r="BD273" i="1" l="1"/>
  <c r="AZ273" i="1"/>
  <c r="AC890" i="1"/>
  <c r="V890" i="1"/>
  <c r="Q890" i="1"/>
  <c r="AB890" i="1"/>
  <c r="P890" i="1"/>
  <c r="CD273" i="1" l="1"/>
  <c r="BT273" i="1" s="1"/>
  <c r="CF273" i="1"/>
  <c r="BX273" i="1" s="1"/>
  <c r="CB273" i="1"/>
  <c r="BP273" i="1" s="1"/>
  <c r="BN273" i="1"/>
  <c r="BR273" i="1"/>
  <c r="AC891" i="1"/>
  <c r="AB891" i="1"/>
  <c r="V891" i="1"/>
  <c r="Q891" i="1"/>
  <c r="P891" i="1"/>
  <c r="BV273" i="1" l="1"/>
  <c r="BH273" i="1" s="1"/>
  <c r="BJ273" i="1"/>
  <c r="AC892" i="1"/>
  <c r="AB892" i="1"/>
  <c r="V892" i="1"/>
  <c r="P892" i="1"/>
  <c r="Q892" i="1"/>
  <c r="AZ274" i="1" l="1"/>
  <c r="BD274" i="1"/>
  <c r="BB274" i="1"/>
  <c r="BF274" i="1"/>
  <c r="AC893" i="1"/>
  <c r="AB893" i="1"/>
  <c r="P893" i="1"/>
  <c r="V893" i="1"/>
  <c r="Q893" i="1"/>
  <c r="CF274" i="1" l="1"/>
  <c r="BX274" i="1" s="1"/>
  <c r="CB274" i="1"/>
  <c r="BP274" i="1" s="1"/>
  <c r="CD274" i="1"/>
  <c r="BT274" i="1" s="1"/>
  <c r="AC894" i="1"/>
  <c r="AB894" i="1"/>
  <c r="V894" i="1"/>
  <c r="Q894" i="1"/>
  <c r="P894" i="1"/>
  <c r="BJ274" i="1" l="1"/>
  <c r="BV274" i="1"/>
  <c r="BR274" i="1"/>
  <c r="BN274" i="1"/>
  <c r="AB895" i="1"/>
  <c r="AC895" i="1"/>
  <c r="V895" i="1"/>
  <c r="Q895" i="1"/>
  <c r="P895" i="1"/>
  <c r="BH274" i="1" l="1"/>
  <c r="BB275" i="1"/>
  <c r="BF275" i="1"/>
  <c r="AC896" i="1"/>
  <c r="AB896" i="1"/>
  <c r="Q896" i="1"/>
  <c r="P896" i="1"/>
  <c r="V896" i="1"/>
  <c r="AZ275" i="1" l="1"/>
  <c r="BD275" i="1"/>
  <c r="AC897" i="1"/>
  <c r="P897" i="1"/>
  <c r="Q897" i="1"/>
  <c r="AB897" i="1"/>
  <c r="V897" i="1"/>
  <c r="CF275" i="1" l="1"/>
  <c r="BX275" i="1" s="1"/>
  <c r="CB275" i="1"/>
  <c r="BP275" i="1" s="1"/>
  <c r="BJ275" i="1" s="1"/>
  <c r="CD275" i="1"/>
  <c r="BT275" i="1" s="1"/>
  <c r="AC898" i="1"/>
  <c r="V898" i="1"/>
  <c r="Q898" i="1"/>
  <c r="P898" i="1"/>
  <c r="AB898" i="1"/>
  <c r="BB276" i="1" l="1"/>
  <c r="BF276" i="1"/>
  <c r="BN275" i="1"/>
  <c r="BH275" i="1" s="1"/>
  <c r="BV275" i="1"/>
  <c r="BR275" i="1"/>
  <c r="AC899" i="1"/>
  <c r="AB899" i="1"/>
  <c r="V899" i="1"/>
  <c r="Q899" i="1"/>
  <c r="P899" i="1"/>
  <c r="AZ276" i="1" l="1"/>
  <c r="BD276" i="1"/>
  <c r="AC900" i="1"/>
  <c r="AB900" i="1"/>
  <c r="V900" i="1"/>
  <c r="P900" i="1"/>
  <c r="Q900" i="1"/>
  <c r="CB276" i="1" l="1"/>
  <c r="BP276" i="1" s="1"/>
  <c r="BJ276" i="1" s="1"/>
  <c r="CF276" i="1"/>
  <c r="BX276" i="1" s="1"/>
  <c r="CD276" i="1"/>
  <c r="BT276" i="1" s="1"/>
  <c r="BR276" i="1"/>
  <c r="AC901" i="1"/>
  <c r="AB901" i="1"/>
  <c r="P901" i="1"/>
  <c r="V901" i="1"/>
  <c r="Q901" i="1"/>
  <c r="BB277" i="1" l="1"/>
  <c r="BF277" i="1"/>
  <c r="BV276" i="1"/>
  <c r="BH276" i="1" s="1"/>
  <c r="BN276" i="1"/>
  <c r="AC902" i="1"/>
  <c r="AB902" i="1"/>
  <c r="V902" i="1"/>
  <c r="Q902" i="1"/>
  <c r="P902" i="1"/>
  <c r="BD277" i="1" l="1"/>
  <c r="AZ277" i="1"/>
  <c r="AB903" i="1"/>
  <c r="AC903" i="1"/>
  <c r="V903" i="1"/>
  <c r="Q903" i="1"/>
  <c r="P903" i="1"/>
  <c r="CF277" i="1" l="1"/>
  <c r="BX277" i="1" s="1"/>
  <c r="CB277" i="1"/>
  <c r="CD277" i="1"/>
  <c r="BT277" i="1" s="1"/>
  <c r="BV277" i="1"/>
  <c r="AC904" i="1"/>
  <c r="AB904" i="1"/>
  <c r="Q904" i="1"/>
  <c r="P904" i="1"/>
  <c r="V904" i="1"/>
  <c r="BR277" i="1" l="1"/>
  <c r="BN277" i="1"/>
  <c r="BH277" i="1" s="1"/>
  <c r="BP277" i="1"/>
  <c r="BJ277" i="1" s="1"/>
  <c r="AC905" i="1"/>
  <c r="AB905" i="1"/>
  <c r="P905" i="1"/>
  <c r="Q905" i="1"/>
  <c r="V905" i="1"/>
  <c r="BB278" i="1" l="1"/>
  <c r="BF278" i="1"/>
  <c r="AZ278" i="1"/>
  <c r="BD278" i="1"/>
  <c r="AC906" i="1"/>
  <c r="V906" i="1"/>
  <c r="Q906" i="1"/>
  <c r="AB906" i="1"/>
  <c r="P906" i="1"/>
  <c r="CF278" i="1" l="1"/>
  <c r="BX278" i="1" s="1"/>
  <c r="CD278" i="1"/>
  <c r="BT278" i="1" s="1"/>
  <c r="CB278" i="1"/>
  <c r="BP278" i="1" s="1"/>
  <c r="BJ278" i="1" s="1"/>
  <c r="BB279" i="1" s="1"/>
  <c r="BV278" i="1"/>
  <c r="AC907" i="1"/>
  <c r="AB907" i="1"/>
  <c r="V907" i="1"/>
  <c r="Q907" i="1"/>
  <c r="P907" i="1"/>
  <c r="BF279" i="1" l="1"/>
  <c r="BR278" i="1"/>
  <c r="BN278" i="1"/>
  <c r="AC908" i="1"/>
  <c r="AB908" i="1"/>
  <c r="V908" i="1"/>
  <c r="P908" i="1"/>
  <c r="Q908" i="1"/>
  <c r="BH278" i="1" l="1"/>
  <c r="AC909" i="1"/>
  <c r="AB909" i="1"/>
  <c r="P909" i="1"/>
  <c r="V909" i="1"/>
  <c r="Q909" i="1"/>
  <c r="BD279" i="1" l="1"/>
  <c r="AZ279" i="1"/>
  <c r="AB910" i="1"/>
  <c r="AC910" i="1"/>
  <c r="V910" i="1"/>
  <c r="Q910" i="1"/>
  <c r="P910" i="1"/>
  <c r="CB279" i="1" l="1"/>
  <c r="BP279" i="1" s="1"/>
  <c r="CD279" i="1"/>
  <c r="BN279" i="1"/>
  <c r="CF279" i="1"/>
  <c r="BX279" i="1" s="1"/>
  <c r="AB911" i="1"/>
  <c r="AC911" i="1"/>
  <c r="V911" i="1"/>
  <c r="Q911" i="1"/>
  <c r="P911" i="1"/>
  <c r="BV279" i="1" l="1"/>
  <c r="BR279" i="1"/>
  <c r="BH279" i="1" s="1"/>
  <c r="BT279" i="1"/>
  <c r="BJ279" i="1" s="1"/>
  <c r="AC912" i="1"/>
  <c r="AB912" i="1"/>
  <c r="Q912" i="1"/>
  <c r="P912" i="1"/>
  <c r="V912" i="1"/>
  <c r="AZ280" i="1" l="1"/>
  <c r="BD280" i="1"/>
  <c r="BF280" i="1"/>
  <c r="BB280" i="1"/>
  <c r="AC913" i="1"/>
  <c r="AB913" i="1"/>
  <c r="P913" i="1"/>
  <c r="Q913" i="1"/>
  <c r="V913" i="1"/>
  <c r="CF280" i="1" l="1"/>
  <c r="BX280" i="1" s="1"/>
  <c r="CD280" i="1"/>
  <c r="BT280" i="1" s="1"/>
  <c r="CB280" i="1"/>
  <c r="BN280" i="1" s="1"/>
  <c r="BR280" i="1"/>
  <c r="AC914" i="1"/>
  <c r="V914" i="1"/>
  <c r="Q914" i="1"/>
  <c r="AB914" i="1"/>
  <c r="P914" i="1"/>
  <c r="BV280" i="1" l="1"/>
  <c r="BH280" i="1" s="1"/>
  <c r="BP280" i="1"/>
  <c r="BJ280" i="1" s="1"/>
  <c r="AC915" i="1"/>
  <c r="AB915" i="1"/>
  <c r="V915" i="1"/>
  <c r="Q915" i="1"/>
  <c r="P915" i="1"/>
  <c r="BF281" i="1" l="1"/>
  <c r="BB281" i="1"/>
  <c r="AZ281" i="1"/>
  <c r="BD281" i="1"/>
  <c r="AC916" i="1"/>
  <c r="AB916" i="1"/>
  <c r="V916" i="1"/>
  <c r="P916" i="1"/>
  <c r="Q916" i="1"/>
  <c r="CF281" i="1" l="1"/>
  <c r="BX281" i="1" s="1"/>
  <c r="CB281" i="1"/>
  <c r="BP281" i="1" s="1"/>
  <c r="CD281" i="1"/>
  <c r="BT281" i="1" s="1"/>
  <c r="BN281" i="1"/>
  <c r="BR281" i="1"/>
  <c r="AC917" i="1"/>
  <c r="AB917" i="1"/>
  <c r="P917" i="1"/>
  <c r="V917" i="1"/>
  <c r="Q917" i="1"/>
  <c r="BJ281" i="1" l="1"/>
  <c r="BV281" i="1"/>
  <c r="BH281" i="1" s="1"/>
  <c r="AC918" i="1"/>
  <c r="AB918" i="1"/>
  <c r="V918" i="1"/>
  <c r="Q918" i="1"/>
  <c r="P918" i="1"/>
  <c r="BD282" i="1" l="1"/>
  <c r="AZ282" i="1"/>
  <c r="BB282" i="1"/>
  <c r="BF282" i="1"/>
  <c r="AB919" i="1"/>
  <c r="AC919" i="1"/>
  <c r="V919" i="1"/>
  <c r="Q919" i="1"/>
  <c r="P919" i="1"/>
  <c r="CB282" i="1" l="1"/>
  <c r="BP282" i="1" s="1"/>
  <c r="CF282" i="1"/>
  <c r="BX282" i="1" s="1"/>
  <c r="CD282" i="1"/>
  <c r="BR282" i="1" s="1"/>
  <c r="BN282" i="1"/>
  <c r="BV282" i="1"/>
  <c r="BH282" i="1" s="1"/>
  <c r="AZ283" i="1" s="1"/>
  <c r="AC920" i="1"/>
  <c r="AB920" i="1"/>
  <c r="Q920" i="1"/>
  <c r="V920" i="1"/>
  <c r="P920" i="1"/>
  <c r="BD283" i="1" l="1"/>
  <c r="BT282" i="1"/>
  <c r="BJ282" i="1" s="1"/>
  <c r="AC921" i="1"/>
  <c r="AB921" i="1"/>
  <c r="P921" i="1"/>
  <c r="Q921" i="1"/>
  <c r="V921" i="1"/>
  <c r="BF283" i="1" l="1"/>
  <c r="BB283" i="1"/>
  <c r="AC922" i="1"/>
  <c r="V922" i="1"/>
  <c r="Q922" i="1"/>
  <c r="AB922" i="1"/>
  <c r="P922" i="1"/>
  <c r="CB283" i="1" l="1"/>
  <c r="CD283" i="1"/>
  <c r="CF283" i="1"/>
  <c r="AC923" i="1"/>
  <c r="AB923" i="1"/>
  <c r="V923" i="1"/>
  <c r="Q923" i="1"/>
  <c r="P923" i="1"/>
  <c r="BX283" i="1" l="1"/>
  <c r="BV283" i="1"/>
  <c r="BT283" i="1"/>
  <c r="BR283" i="1"/>
  <c r="BP283" i="1"/>
  <c r="BJ283" i="1" s="1"/>
  <c r="BN283" i="1"/>
  <c r="BH283" i="1" s="1"/>
  <c r="AC924" i="1"/>
  <c r="AB924" i="1"/>
  <c r="V924" i="1"/>
  <c r="P924" i="1"/>
  <c r="Q924" i="1"/>
  <c r="AZ284" i="1" l="1"/>
  <c r="BD284" i="1"/>
  <c r="BB284" i="1"/>
  <c r="BF284" i="1"/>
  <c r="AC925" i="1"/>
  <c r="AB925" i="1"/>
  <c r="P925" i="1"/>
  <c r="V925" i="1"/>
  <c r="Q925" i="1"/>
  <c r="CB284" i="1" l="1"/>
  <c r="BP284" i="1" s="1"/>
  <c r="CF284" i="1"/>
  <c r="BX284" i="1" s="1"/>
  <c r="CD284" i="1"/>
  <c r="BT284" i="1" s="1"/>
  <c r="BV284" i="1"/>
  <c r="BN284" i="1"/>
  <c r="AC926" i="1"/>
  <c r="AB926" i="1"/>
  <c r="V926" i="1"/>
  <c r="Q926" i="1"/>
  <c r="P926" i="1"/>
  <c r="BJ284" i="1" l="1"/>
  <c r="BR284" i="1"/>
  <c r="BH284" i="1" s="1"/>
  <c r="AB927" i="1"/>
  <c r="AC927" i="1"/>
  <c r="V927" i="1"/>
  <c r="Q927" i="1"/>
  <c r="P927" i="1"/>
  <c r="BD285" i="1" l="1"/>
  <c r="AZ285" i="1"/>
  <c r="BF285" i="1"/>
  <c r="BB285" i="1"/>
  <c r="AC928" i="1"/>
  <c r="AB928" i="1"/>
  <c r="Q928" i="1"/>
  <c r="P928" i="1"/>
  <c r="V928" i="1"/>
  <c r="CD285" i="1" l="1"/>
  <c r="BT285" i="1" s="1"/>
  <c r="CF285" i="1"/>
  <c r="BX285" i="1" s="1"/>
  <c r="CB285" i="1"/>
  <c r="BP285" i="1" s="1"/>
  <c r="BV285" i="1"/>
  <c r="BN285" i="1"/>
  <c r="AC929" i="1"/>
  <c r="P929" i="1"/>
  <c r="Q929" i="1"/>
  <c r="AB929" i="1"/>
  <c r="V929" i="1"/>
  <c r="BR285" i="1" l="1"/>
  <c r="BH285" i="1" s="1"/>
  <c r="BJ285" i="1"/>
  <c r="AC930" i="1"/>
  <c r="V930" i="1"/>
  <c r="Q930" i="1"/>
  <c r="P930" i="1"/>
  <c r="AB930" i="1"/>
  <c r="AZ286" i="1" l="1"/>
  <c r="BD286" i="1"/>
  <c r="BB286" i="1"/>
  <c r="BF286" i="1"/>
  <c r="AC931" i="1"/>
  <c r="AB931" i="1"/>
  <c r="V931" i="1"/>
  <c r="Q931" i="1"/>
  <c r="P931" i="1"/>
  <c r="CF286" i="1" l="1"/>
  <c r="BX286" i="1" s="1"/>
  <c r="CD286" i="1"/>
  <c r="BT286" i="1" s="1"/>
  <c r="CB286" i="1"/>
  <c r="BN286" i="1" s="1"/>
  <c r="BV286" i="1"/>
  <c r="AC932" i="1"/>
  <c r="AB932" i="1"/>
  <c r="V932" i="1"/>
  <c r="P932" i="1"/>
  <c r="Q932" i="1"/>
  <c r="BR286" i="1" l="1"/>
  <c r="BH286" i="1" s="1"/>
  <c r="BP286" i="1"/>
  <c r="BJ286" i="1" s="1"/>
  <c r="AC933" i="1"/>
  <c r="AB933" i="1"/>
  <c r="P933" i="1"/>
  <c r="V933" i="1"/>
  <c r="Q933" i="1"/>
  <c r="BD287" i="1" l="1"/>
  <c r="AZ287" i="1"/>
  <c r="BF287" i="1"/>
  <c r="BB287" i="1"/>
  <c r="AC934" i="1"/>
  <c r="AB934" i="1"/>
  <c r="V934" i="1"/>
  <c r="Q934" i="1"/>
  <c r="P934" i="1"/>
  <c r="CB287" i="1" l="1"/>
  <c r="BP287" i="1" s="1"/>
  <c r="BJ287" i="1" s="1"/>
  <c r="BB288" i="1" s="1"/>
  <c r="CF287" i="1"/>
  <c r="BX287" i="1" s="1"/>
  <c r="CD287" i="1"/>
  <c r="BT287" i="1" s="1"/>
  <c r="BR287" i="1"/>
  <c r="BV287" i="1"/>
  <c r="BN287" i="1"/>
  <c r="BH287" i="1" s="1"/>
  <c r="AZ288" i="1" s="1"/>
  <c r="AB935" i="1"/>
  <c r="AC935" i="1"/>
  <c r="V935" i="1"/>
  <c r="Q935" i="1"/>
  <c r="P935" i="1"/>
  <c r="CF288" i="1" l="1"/>
  <c r="BX288" i="1" s="1"/>
  <c r="CB288" i="1"/>
  <c r="BP288" i="1" s="1"/>
  <c r="BJ288" i="1" s="1"/>
  <c r="BB289" i="1" s="1"/>
  <c r="CD288" i="1"/>
  <c r="BT288" i="1" s="1"/>
  <c r="BV288" i="1"/>
  <c r="BN288" i="1"/>
  <c r="BF288" i="1"/>
  <c r="BD288" i="1"/>
  <c r="AC936" i="1"/>
  <c r="AB936" i="1"/>
  <c r="Q936" i="1"/>
  <c r="P936" i="1"/>
  <c r="V936" i="1"/>
  <c r="BF289" i="1" l="1"/>
  <c r="BR288" i="1"/>
  <c r="BH288" i="1" s="1"/>
  <c r="AC937" i="1"/>
  <c r="AB937" i="1"/>
  <c r="P937" i="1"/>
  <c r="Q937" i="1"/>
  <c r="V937" i="1"/>
  <c r="AZ289" i="1" l="1"/>
  <c r="BD289" i="1"/>
  <c r="AC938" i="1"/>
  <c r="V938" i="1"/>
  <c r="Q938" i="1"/>
  <c r="AB938" i="1"/>
  <c r="P938" i="1"/>
  <c r="CD289" i="1" l="1"/>
  <c r="BT289" i="1" s="1"/>
  <c r="CB289" i="1"/>
  <c r="BP289" i="1" s="1"/>
  <c r="BJ289" i="1" s="1"/>
  <c r="CF289" i="1"/>
  <c r="BX289" i="1" s="1"/>
  <c r="BR289" i="1"/>
  <c r="AC939" i="1"/>
  <c r="AB939" i="1"/>
  <c r="V939" i="1"/>
  <c r="Q939" i="1"/>
  <c r="P939" i="1"/>
  <c r="BF290" i="1" l="1"/>
  <c r="BB290" i="1"/>
  <c r="BN289" i="1"/>
  <c r="BV289" i="1"/>
  <c r="BH289" i="1" s="1"/>
  <c r="AC940" i="1"/>
  <c r="AB940" i="1"/>
  <c r="V940" i="1"/>
  <c r="P940" i="1"/>
  <c r="Q940" i="1"/>
  <c r="BD290" i="1" l="1"/>
  <c r="AZ290" i="1"/>
  <c r="AC941" i="1"/>
  <c r="AB941" i="1"/>
  <c r="P941" i="1"/>
  <c r="V941" i="1"/>
  <c r="Q941" i="1"/>
  <c r="CD290" i="1" l="1"/>
  <c r="BT290" i="1" s="1"/>
  <c r="CB290" i="1"/>
  <c r="BP290" i="1" s="1"/>
  <c r="CF290" i="1"/>
  <c r="BX290" i="1" s="1"/>
  <c r="BR290" i="1"/>
  <c r="AB942" i="1"/>
  <c r="V942" i="1"/>
  <c r="Q942" i="1"/>
  <c r="AC942" i="1"/>
  <c r="P942" i="1"/>
  <c r="BN290" i="1" l="1"/>
  <c r="BJ290" i="1"/>
  <c r="BV290" i="1"/>
  <c r="AB943" i="1"/>
  <c r="V943" i="1"/>
  <c r="Q943" i="1"/>
  <c r="AC943" i="1"/>
  <c r="P943" i="1"/>
  <c r="BB291" i="1" l="1"/>
  <c r="BF291" i="1"/>
  <c r="BH290" i="1"/>
  <c r="AC944" i="1"/>
  <c r="AB944" i="1"/>
  <c r="Q944" i="1"/>
  <c r="P944" i="1"/>
  <c r="V944" i="1"/>
  <c r="AZ291" i="1" l="1"/>
  <c r="BD291" i="1"/>
  <c r="AC945" i="1"/>
  <c r="AB945" i="1"/>
  <c r="P945" i="1"/>
  <c r="Q945" i="1"/>
  <c r="V945" i="1"/>
  <c r="CF291" i="1" l="1"/>
  <c r="BX291" i="1" s="1"/>
  <c r="CB291" i="1"/>
  <c r="BP291" i="1" s="1"/>
  <c r="CD291" i="1"/>
  <c r="BT291" i="1" s="1"/>
  <c r="BV291" i="1"/>
  <c r="BN291" i="1"/>
  <c r="AC946" i="1"/>
  <c r="V946" i="1"/>
  <c r="Q946" i="1"/>
  <c r="AB946" i="1"/>
  <c r="P946" i="1"/>
  <c r="BR291" i="1" l="1"/>
  <c r="BH291" i="1" s="1"/>
  <c r="BJ291" i="1"/>
  <c r="AC947" i="1"/>
  <c r="AB947" i="1"/>
  <c r="V947" i="1"/>
  <c r="Q947" i="1"/>
  <c r="P947" i="1"/>
  <c r="AZ292" i="1" l="1"/>
  <c r="BD292" i="1"/>
  <c r="BB292" i="1"/>
  <c r="BF292" i="1"/>
  <c r="AC948" i="1"/>
  <c r="AB948" i="1"/>
  <c r="V948" i="1"/>
  <c r="P948" i="1"/>
  <c r="Q948" i="1"/>
  <c r="CF292" i="1" l="1"/>
  <c r="BX292" i="1" s="1"/>
  <c r="CB292" i="1"/>
  <c r="BP292" i="1" s="1"/>
  <c r="BJ292" i="1" s="1"/>
  <c r="BF293" i="1" s="1"/>
  <c r="CD292" i="1"/>
  <c r="BT292" i="1" s="1"/>
  <c r="BN292" i="1"/>
  <c r="BR292" i="1"/>
  <c r="BV292" i="1"/>
  <c r="BH292" i="1" s="1"/>
  <c r="AZ293" i="1" s="1"/>
  <c r="AC949" i="1"/>
  <c r="AB949" i="1"/>
  <c r="P949" i="1"/>
  <c r="V949" i="1"/>
  <c r="Q949" i="1"/>
  <c r="BD293" i="1" l="1"/>
  <c r="BB293" i="1"/>
  <c r="CF293" i="1" s="1"/>
  <c r="AC950" i="1"/>
  <c r="AB950" i="1"/>
  <c r="V950" i="1"/>
  <c r="Q950" i="1"/>
  <c r="P950" i="1"/>
  <c r="BX293" i="1" l="1"/>
  <c r="BV293" i="1"/>
  <c r="CD293" i="1"/>
  <c r="CB293" i="1"/>
  <c r="AB951" i="1"/>
  <c r="AC951" i="1"/>
  <c r="V951" i="1"/>
  <c r="Q951" i="1"/>
  <c r="P951" i="1"/>
  <c r="BP293" i="1" l="1"/>
  <c r="BN293" i="1"/>
  <c r="BT293" i="1"/>
  <c r="BR293" i="1"/>
  <c r="AC952" i="1"/>
  <c r="AB952" i="1"/>
  <c r="Q952" i="1"/>
  <c r="V952" i="1"/>
  <c r="P952" i="1"/>
  <c r="BH293" i="1" l="1"/>
  <c r="BJ293" i="1"/>
  <c r="AC953" i="1"/>
  <c r="AB953" i="1"/>
  <c r="P953" i="1"/>
  <c r="Q953" i="1"/>
  <c r="V953" i="1"/>
  <c r="BB294" i="1" l="1"/>
  <c r="BF294" i="1"/>
  <c r="AZ294" i="1"/>
  <c r="BD294" i="1"/>
  <c r="AC954" i="1"/>
  <c r="V954" i="1"/>
  <c r="Q954" i="1"/>
  <c r="AB954" i="1"/>
  <c r="P954" i="1"/>
  <c r="CD294" i="1" l="1"/>
  <c r="BR294" i="1" s="1"/>
  <c r="CB294" i="1"/>
  <c r="BP294" i="1" s="1"/>
  <c r="CF294" i="1"/>
  <c r="BX294" i="1" s="1"/>
  <c r="BT294" i="1"/>
  <c r="BJ294" i="1" s="1"/>
  <c r="AC955" i="1"/>
  <c r="AB955" i="1"/>
  <c r="V955" i="1"/>
  <c r="Q955" i="1"/>
  <c r="P955" i="1"/>
  <c r="BV294" i="1" l="1"/>
  <c r="BB295" i="1"/>
  <c r="BF295" i="1"/>
  <c r="BN294" i="1"/>
  <c r="BH294" i="1" s="1"/>
  <c r="AC956" i="1"/>
  <c r="AB956" i="1"/>
  <c r="V956" i="1"/>
  <c r="P956" i="1"/>
  <c r="Q956" i="1"/>
  <c r="BD295" i="1" l="1"/>
  <c r="AZ295" i="1"/>
  <c r="AC957" i="1"/>
  <c r="AB957" i="1"/>
  <c r="P957" i="1"/>
  <c r="V957" i="1"/>
  <c r="Q957" i="1"/>
  <c r="CB295" i="1" l="1"/>
  <c r="BP295" i="1" s="1"/>
  <c r="CF295" i="1"/>
  <c r="BX295" i="1" s="1"/>
  <c r="CD295" i="1"/>
  <c r="BT295" i="1" s="1"/>
  <c r="AC958" i="1"/>
  <c r="AB958" i="1"/>
  <c r="V958" i="1"/>
  <c r="Q958" i="1"/>
  <c r="P958" i="1"/>
  <c r="BJ295" i="1" l="1"/>
  <c r="BV295" i="1"/>
  <c r="BR295" i="1"/>
  <c r="BN295" i="1"/>
  <c r="AB959" i="1"/>
  <c r="AC959" i="1"/>
  <c r="V959" i="1"/>
  <c r="Q959" i="1"/>
  <c r="P959" i="1"/>
  <c r="BH295" i="1" l="1"/>
  <c r="BB296" i="1"/>
  <c r="BF296" i="1"/>
  <c r="AC960" i="1"/>
  <c r="AB960" i="1"/>
  <c r="Q960" i="1"/>
  <c r="P960" i="1"/>
  <c r="V960" i="1"/>
  <c r="BD296" i="1" l="1"/>
  <c r="AZ296" i="1"/>
  <c r="AC961" i="1"/>
  <c r="P961" i="1"/>
  <c r="Q961" i="1"/>
  <c r="AB961" i="1"/>
  <c r="V961" i="1"/>
  <c r="CD296" i="1" l="1"/>
  <c r="BT296" i="1" s="1"/>
  <c r="CF296" i="1"/>
  <c r="BX296" i="1" s="1"/>
  <c r="CB296" i="1"/>
  <c r="BP296" i="1" s="1"/>
  <c r="BJ296" i="1" s="1"/>
  <c r="BR296" i="1"/>
  <c r="BV296" i="1"/>
  <c r="AC962" i="1"/>
  <c r="V962" i="1"/>
  <c r="Q962" i="1"/>
  <c r="P962" i="1"/>
  <c r="AB962" i="1"/>
  <c r="BN296" i="1" l="1"/>
  <c r="BH296" i="1" s="1"/>
  <c r="BF297" i="1"/>
  <c r="BB297" i="1"/>
  <c r="AC963" i="1"/>
  <c r="AB963" i="1"/>
  <c r="V963" i="1"/>
  <c r="Q963" i="1"/>
  <c r="P963" i="1"/>
  <c r="BD297" i="1" l="1"/>
  <c r="AZ297" i="1"/>
  <c r="AC964" i="1"/>
  <c r="AB964" i="1"/>
  <c r="V964" i="1"/>
  <c r="P964" i="1"/>
  <c r="Q964" i="1"/>
  <c r="CD297" i="1" l="1"/>
  <c r="BT297" i="1" s="1"/>
  <c r="CF297" i="1"/>
  <c r="BX297" i="1" s="1"/>
  <c r="CB297" i="1"/>
  <c r="BP297" i="1" s="1"/>
  <c r="BJ297" i="1" s="1"/>
  <c r="BR297" i="1"/>
  <c r="BV297" i="1"/>
  <c r="AC965" i="1"/>
  <c r="AB965" i="1"/>
  <c r="P965" i="1"/>
  <c r="V965" i="1"/>
  <c r="Q965" i="1"/>
  <c r="BN297" i="1" l="1"/>
  <c r="BH297" i="1" s="1"/>
  <c r="BF298" i="1"/>
  <c r="BB298" i="1"/>
  <c r="AC966" i="1"/>
  <c r="AB966" i="1"/>
  <c r="V966" i="1"/>
  <c r="Q966" i="1"/>
  <c r="P966" i="1"/>
  <c r="AZ298" i="1" l="1"/>
  <c r="BD298" i="1"/>
  <c r="AB967" i="1"/>
  <c r="AC967" i="1"/>
  <c r="V967" i="1"/>
  <c r="Q967" i="1"/>
  <c r="P967" i="1"/>
  <c r="CB298" i="1" l="1"/>
  <c r="BP298" i="1" s="1"/>
  <c r="CF298" i="1"/>
  <c r="BX298" i="1" s="1"/>
  <c r="BJ298" i="1" s="1"/>
  <c r="CD298" i="1"/>
  <c r="BT298" i="1" s="1"/>
  <c r="AC968" i="1"/>
  <c r="AB968" i="1"/>
  <c r="Q968" i="1"/>
  <c r="P968" i="1"/>
  <c r="V968" i="1"/>
  <c r="BF299" i="1" l="1"/>
  <c r="BB299" i="1"/>
  <c r="BR298" i="1"/>
  <c r="BN298" i="1"/>
  <c r="BV298" i="1"/>
  <c r="AC969" i="1"/>
  <c r="AB969" i="1"/>
  <c r="P969" i="1"/>
  <c r="Q969" i="1"/>
  <c r="V969" i="1"/>
  <c r="BH298" i="1" l="1"/>
  <c r="AC970" i="1"/>
  <c r="V970" i="1"/>
  <c r="Q970" i="1"/>
  <c r="AB970" i="1"/>
  <c r="P970" i="1"/>
  <c r="AZ299" i="1" l="1"/>
  <c r="BD299" i="1"/>
  <c r="AC971" i="1"/>
  <c r="AB971" i="1"/>
  <c r="V971" i="1"/>
  <c r="Q971" i="1"/>
  <c r="P971" i="1"/>
  <c r="CD299" i="1" l="1"/>
  <c r="BT299" i="1" s="1"/>
  <c r="CB299" i="1"/>
  <c r="CF299" i="1"/>
  <c r="BX299" i="1" s="1"/>
  <c r="BV299" i="1"/>
  <c r="AC972" i="1"/>
  <c r="AB972" i="1"/>
  <c r="V972" i="1"/>
  <c r="P972" i="1"/>
  <c r="Q972" i="1"/>
  <c r="BR299" i="1" l="1"/>
  <c r="BN299" i="1"/>
  <c r="BH299" i="1" s="1"/>
  <c r="BP299" i="1"/>
  <c r="BJ299" i="1" s="1"/>
  <c r="AC973" i="1"/>
  <c r="AB973" i="1"/>
  <c r="P973" i="1"/>
  <c r="V973" i="1"/>
  <c r="Q973" i="1"/>
  <c r="AZ300" i="1" l="1"/>
  <c r="BD300" i="1"/>
  <c r="BF300" i="1"/>
  <c r="BB300" i="1"/>
  <c r="AB974" i="1"/>
  <c r="AC974" i="1"/>
  <c r="V974" i="1"/>
  <c r="Q974" i="1"/>
  <c r="P974" i="1"/>
  <c r="CB300" i="1" l="1"/>
  <c r="BN300" i="1" s="1"/>
  <c r="CF300" i="1"/>
  <c r="BX300" i="1" s="1"/>
  <c r="CD300" i="1"/>
  <c r="BR300" i="1" s="1"/>
  <c r="AB975" i="1"/>
  <c r="AC975" i="1"/>
  <c r="V975" i="1"/>
  <c r="Q975" i="1"/>
  <c r="P975" i="1"/>
  <c r="BT300" i="1" l="1"/>
  <c r="BJ300" i="1" s="1"/>
  <c r="BV300" i="1"/>
  <c r="BH300" i="1" s="1"/>
  <c r="BP300" i="1"/>
  <c r="AC976" i="1"/>
  <c r="AB976" i="1"/>
  <c r="Q976" i="1"/>
  <c r="P976" i="1"/>
  <c r="V976" i="1"/>
  <c r="BD301" i="1" l="1"/>
  <c r="AZ301" i="1"/>
  <c r="BB301" i="1"/>
  <c r="BF301" i="1"/>
  <c r="AC977" i="1"/>
  <c r="AB977" i="1"/>
  <c r="P977" i="1"/>
  <c r="Q977" i="1"/>
  <c r="V977" i="1"/>
  <c r="CF301" i="1" l="1"/>
  <c r="BV301" i="1" s="1"/>
  <c r="CD301" i="1"/>
  <c r="BR301" i="1" s="1"/>
  <c r="CB301" i="1"/>
  <c r="BN301" i="1" s="1"/>
  <c r="AC978" i="1"/>
  <c r="V978" i="1"/>
  <c r="Q978" i="1"/>
  <c r="AB978" i="1"/>
  <c r="P978" i="1"/>
  <c r="BH301" i="1" l="1"/>
  <c r="BT301" i="1"/>
  <c r="BX301" i="1"/>
  <c r="BP301" i="1"/>
  <c r="AC979" i="1"/>
  <c r="AB979" i="1"/>
  <c r="V979" i="1"/>
  <c r="Q979" i="1"/>
  <c r="P979" i="1"/>
  <c r="BJ301" i="1" l="1"/>
  <c r="BD302" i="1"/>
  <c r="AZ302" i="1"/>
  <c r="AC980" i="1"/>
  <c r="AB980" i="1"/>
  <c r="V980" i="1"/>
  <c r="P980" i="1"/>
  <c r="Q980" i="1"/>
  <c r="CB302" i="1" l="1"/>
  <c r="BN302" i="1" s="1"/>
  <c r="BF302" i="1"/>
  <c r="BB302" i="1"/>
  <c r="AC981" i="1"/>
  <c r="AB981" i="1"/>
  <c r="P981" i="1"/>
  <c r="V981" i="1"/>
  <c r="Q981" i="1"/>
  <c r="BP302" i="1" l="1"/>
  <c r="CF302" i="1"/>
  <c r="CD302" i="1"/>
  <c r="AC982" i="1"/>
  <c r="AB982" i="1"/>
  <c r="V982" i="1"/>
  <c r="Q982" i="1"/>
  <c r="P982" i="1"/>
  <c r="BT302" i="1" l="1"/>
  <c r="BJ302" i="1" s="1"/>
  <c r="BR302" i="1"/>
  <c r="BH302" i="1" s="1"/>
  <c r="BX302" i="1"/>
  <c r="BV302" i="1"/>
  <c r="AB983" i="1"/>
  <c r="AC983" i="1"/>
  <c r="V983" i="1"/>
  <c r="Q983" i="1"/>
  <c r="P983" i="1"/>
  <c r="BF303" i="1" l="1"/>
  <c r="BB303" i="1"/>
  <c r="AZ303" i="1"/>
  <c r="BD303" i="1"/>
  <c r="AC984" i="1"/>
  <c r="AB984" i="1"/>
  <c r="Q984" i="1"/>
  <c r="V984" i="1"/>
  <c r="P984" i="1"/>
  <c r="CF303" i="1" l="1"/>
  <c r="BX303" i="1" s="1"/>
  <c r="CD303" i="1"/>
  <c r="BR303" i="1"/>
  <c r="CB303" i="1"/>
  <c r="BN303" i="1" s="1"/>
  <c r="BT303" i="1"/>
  <c r="AC985" i="1"/>
  <c r="AB985" i="1"/>
  <c r="P985" i="1"/>
  <c r="Q985" i="1"/>
  <c r="V985" i="1"/>
  <c r="BP303" i="1" l="1"/>
  <c r="BJ303" i="1" s="1"/>
  <c r="BV303" i="1"/>
  <c r="BH303" i="1" s="1"/>
  <c r="AC986" i="1"/>
  <c r="V986" i="1"/>
  <c r="Q986" i="1"/>
  <c r="AB986" i="1"/>
  <c r="P986" i="1"/>
  <c r="AZ304" i="1" l="1"/>
  <c r="BD304" i="1"/>
  <c r="BB304" i="1"/>
  <c r="BF304" i="1"/>
  <c r="AC987" i="1"/>
  <c r="AB987" i="1"/>
  <c r="V987" i="1"/>
  <c r="Q987" i="1"/>
  <c r="P987" i="1"/>
  <c r="CD304" i="1" l="1"/>
  <c r="BT304" i="1" s="1"/>
  <c r="CF304" i="1"/>
  <c r="BX304" i="1" s="1"/>
  <c r="CB304" i="1"/>
  <c r="BP304" i="1" s="1"/>
  <c r="BN304" i="1"/>
  <c r="BH304" i="1" s="1"/>
  <c r="AZ305" i="1" s="1"/>
  <c r="BV304" i="1"/>
  <c r="BR304" i="1"/>
  <c r="AC988" i="1"/>
  <c r="AB988" i="1"/>
  <c r="V988" i="1"/>
  <c r="P988" i="1"/>
  <c r="Q988" i="1"/>
  <c r="BD305" i="1" l="1"/>
  <c r="BJ304" i="1"/>
  <c r="AC989" i="1"/>
  <c r="AB989" i="1"/>
  <c r="P989" i="1"/>
  <c r="V989" i="1"/>
  <c r="Q989" i="1"/>
  <c r="BB305" i="1" l="1"/>
  <c r="BF305" i="1"/>
  <c r="AC990" i="1"/>
  <c r="AB990" i="1"/>
  <c r="V990" i="1"/>
  <c r="Q990" i="1"/>
  <c r="P990" i="1"/>
  <c r="CF305" i="1" l="1"/>
  <c r="CD305" i="1"/>
  <c r="CB305" i="1"/>
  <c r="AB991" i="1"/>
  <c r="AC991" i="1"/>
  <c r="V991" i="1"/>
  <c r="Q991" i="1"/>
  <c r="P991" i="1"/>
  <c r="BP305" i="1" l="1"/>
  <c r="BN305" i="1"/>
  <c r="BX305" i="1"/>
  <c r="BV305" i="1"/>
  <c r="BT305" i="1"/>
  <c r="BR305" i="1"/>
  <c r="AC992" i="1"/>
  <c r="AB992" i="1"/>
  <c r="Q992" i="1"/>
  <c r="V992" i="1"/>
  <c r="P992" i="1"/>
  <c r="BH305" i="1" l="1"/>
  <c r="BJ305" i="1"/>
  <c r="AC993" i="1"/>
  <c r="P993" i="1"/>
  <c r="Q993" i="1"/>
  <c r="AB993" i="1"/>
  <c r="V993" i="1"/>
  <c r="BB306" i="1" l="1"/>
  <c r="BF306" i="1"/>
  <c r="AZ306" i="1"/>
  <c r="BD306" i="1"/>
  <c r="AC994" i="1"/>
  <c r="V994" i="1"/>
  <c r="Q994" i="1"/>
  <c r="P994" i="1"/>
  <c r="AB994" i="1"/>
  <c r="CF306" i="1" l="1"/>
  <c r="BX306" i="1" s="1"/>
  <c r="CD306" i="1"/>
  <c r="BT306" i="1" s="1"/>
  <c r="CB306" i="1"/>
  <c r="BN306" i="1" s="1"/>
  <c r="BV306" i="1"/>
  <c r="BP306" i="1"/>
  <c r="BJ306" i="1" s="1"/>
  <c r="BB307" i="1" s="1"/>
  <c r="AC995" i="1"/>
  <c r="AB995" i="1"/>
  <c r="V995" i="1"/>
  <c r="Q995" i="1"/>
  <c r="P995" i="1"/>
  <c r="BR306" i="1" l="1"/>
  <c r="BF307" i="1"/>
  <c r="BH306" i="1"/>
  <c r="AC996" i="1"/>
  <c r="AB996" i="1"/>
  <c r="V996" i="1"/>
  <c r="P996" i="1"/>
  <c r="Q996" i="1"/>
  <c r="AZ307" i="1" l="1"/>
  <c r="BD307" i="1"/>
  <c r="AC997" i="1"/>
  <c r="AB997" i="1"/>
  <c r="P997" i="1"/>
  <c r="V997" i="1"/>
  <c r="Q997" i="1"/>
  <c r="CF307" i="1" l="1"/>
  <c r="BX307" i="1" s="1"/>
  <c r="CB307" i="1"/>
  <c r="BP307" i="1" s="1"/>
  <c r="BJ307" i="1" s="1"/>
  <c r="CD307" i="1"/>
  <c r="BT307" i="1" s="1"/>
  <c r="BR307" i="1"/>
  <c r="AC998" i="1"/>
  <c r="AB998" i="1"/>
  <c r="V998" i="1"/>
  <c r="Q998" i="1"/>
  <c r="P998" i="1"/>
  <c r="BB308" i="1" l="1"/>
  <c r="BF308" i="1"/>
  <c r="BN307" i="1"/>
  <c r="BV307" i="1"/>
  <c r="AB999" i="1"/>
  <c r="AC999" i="1"/>
  <c r="V999" i="1"/>
  <c r="Q999" i="1"/>
  <c r="P999" i="1"/>
  <c r="BH307" i="1" l="1"/>
  <c r="AC1000" i="1"/>
  <c r="AB1000" i="1"/>
  <c r="Q1000" i="1"/>
  <c r="P1000" i="1"/>
  <c r="V1000" i="1"/>
  <c r="BD308" i="1" l="1"/>
  <c r="AZ308" i="1"/>
  <c r="AC1001" i="1"/>
  <c r="AB1001" i="1"/>
  <c r="P1001" i="1"/>
  <c r="Q1001" i="1"/>
  <c r="V1001" i="1"/>
  <c r="CF308" i="1" l="1"/>
  <c r="BX308" i="1" s="1"/>
  <c r="CD308" i="1"/>
  <c r="BT308" i="1" s="1"/>
  <c r="CB308" i="1"/>
  <c r="BP308" i="1" s="1"/>
  <c r="BJ308" i="1" s="1"/>
  <c r="BR308" i="1"/>
  <c r="BV308" i="1"/>
  <c r="AC1002" i="1"/>
  <c r="V1002" i="1"/>
  <c r="Q1002" i="1"/>
  <c r="AB1002" i="1"/>
  <c r="P1002" i="1"/>
  <c r="BN308" i="1" l="1"/>
  <c r="BH308" i="1" s="1"/>
  <c r="BB309" i="1"/>
  <c r="BF309" i="1"/>
  <c r="AC1003" i="1"/>
  <c r="AB1003" i="1"/>
  <c r="V1003" i="1"/>
  <c r="Q1003" i="1"/>
  <c r="P1003" i="1"/>
  <c r="AZ309" i="1" l="1"/>
  <c r="BD309" i="1"/>
  <c r="AC1004" i="1"/>
  <c r="AB1004" i="1"/>
  <c r="V1004" i="1"/>
  <c r="P1004" i="1"/>
  <c r="Q1004" i="1"/>
  <c r="CD309" i="1" l="1"/>
  <c r="BT309" i="1" s="1"/>
  <c r="CF309" i="1"/>
  <c r="BX309" i="1" s="1"/>
  <c r="CB309" i="1"/>
  <c r="AC1005" i="1"/>
  <c r="AB1005" i="1"/>
  <c r="P1005" i="1"/>
  <c r="V1005" i="1"/>
  <c r="Q1005" i="1"/>
  <c r="BR309" i="1" l="1"/>
  <c r="BN309" i="1"/>
  <c r="BP309" i="1"/>
  <c r="BJ309" i="1" s="1"/>
  <c r="BV309" i="1"/>
  <c r="AB1006" i="1"/>
  <c r="V1006" i="1"/>
  <c r="Q1006" i="1"/>
  <c r="P1006" i="1"/>
  <c r="AC1006" i="1"/>
  <c r="BB310" i="1" l="1"/>
  <c r="BF310" i="1"/>
  <c r="BH309" i="1"/>
  <c r="AB1007" i="1"/>
  <c r="V1007" i="1"/>
  <c r="Q1007" i="1"/>
  <c r="AC1007" i="1"/>
  <c r="P1007" i="1"/>
  <c r="AZ310" i="1" l="1"/>
  <c r="BD310" i="1"/>
  <c r="AC1008" i="1"/>
  <c r="AB1008" i="1"/>
  <c r="Q1008" i="1"/>
  <c r="V1008" i="1"/>
  <c r="P1008" i="1"/>
  <c r="CD310" i="1" l="1"/>
  <c r="BT310" i="1" s="1"/>
  <c r="CB310" i="1"/>
  <c r="BP310" i="1" s="1"/>
  <c r="BJ310" i="1" s="1"/>
  <c r="CF310" i="1"/>
  <c r="BX310" i="1" s="1"/>
  <c r="AC1009" i="1"/>
  <c r="AB1009" i="1"/>
  <c r="P1009" i="1"/>
  <c r="Q1009" i="1"/>
  <c r="V1009" i="1"/>
  <c r="BB311" i="1" l="1"/>
  <c r="BF311" i="1"/>
  <c r="BN310" i="1"/>
  <c r="BH310" i="1" s="1"/>
  <c r="BV310" i="1"/>
  <c r="BR310" i="1"/>
  <c r="AC1010" i="1"/>
  <c r="V1010" i="1"/>
  <c r="Q1010" i="1"/>
  <c r="AB1010" i="1"/>
  <c r="P1010" i="1"/>
  <c r="AZ311" i="1" l="1"/>
  <c r="BD311" i="1"/>
  <c r="AC1011" i="1"/>
  <c r="AB1011" i="1"/>
  <c r="V1011" i="1"/>
  <c r="Q1011" i="1"/>
  <c r="P1011" i="1"/>
  <c r="CF311" i="1" l="1"/>
  <c r="CD311" i="1"/>
  <c r="BT311" i="1" s="1"/>
  <c r="CB311" i="1"/>
  <c r="BP311" i="1" s="1"/>
  <c r="BV311" i="1" l="1"/>
  <c r="BX311" i="1"/>
  <c r="BJ311" i="1" s="1"/>
  <c r="BN311" i="1"/>
  <c r="BR311" i="1"/>
  <c r="BB312" i="1" l="1"/>
  <c r="BF312" i="1"/>
  <c r="BH311" i="1"/>
  <c r="AZ312" i="1" l="1"/>
  <c r="BD312" i="1"/>
  <c r="CF312" i="1" l="1"/>
  <c r="CD312" i="1"/>
  <c r="BT312" i="1" s="1"/>
  <c r="CB312" i="1"/>
  <c r="BR312" i="1" l="1"/>
  <c r="BV312" i="1"/>
  <c r="BX312" i="1"/>
  <c r="BN312" i="1"/>
  <c r="BH312" i="1" s="1"/>
  <c r="BP312" i="1"/>
  <c r="AZ313" i="1" l="1"/>
  <c r="BD313" i="1"/>
  <c r="BJ312" i="1"/>
  <c r="BB313" i="1" l="1"/>
  <c r="BF313" i="1"/>
  <c r="CF313" i="1"/>
  <c r="BV313" i="1" s="1"/>
  <c r="CD313" i="1"/>
  <c r="CB313" i="1"/>
  <c r="BN313" i="1" s="1"/>
  <c r="BH313" i="1" s="1"/>
  <c r="AZ314" i="1" s="1"/>
  <c r="BR313" i="1"/>
  <c r="BD314" i="1" l="1"/>
  <c r="BX313" i="1"/>
  <c r="BT313" i="1"/>
  <c r="BP313" i="1"/>
  <c r="BJ313" i="1" s="1"/>
  <c r="BB314" i="1" s="1"/>
  <c r="CF314" i="1" s="1"/>
  <c r="BX314" i="1" l="1"/>
  <c r="BV314" i="1"/>
  <c r="CB314" i="1"/>
  <c r="BN314" i="1" s="1"/>
  <c r="CD314" i="1"/>
  <c r="BF314" i="1"/>
  <c r="BP314" i="1" l="1"/>
  <c r="BT314" i="1"/>
  <c r="BR314" i="1"/>
  <c r="BH314" i="1" s="1"/>
  <c r="AZ315" i="1" l="1"/>
  <c r="BD315" i="1"/>
  <c r="BJ314" i="1"/>
  <c r="BB315" i="1" l="1"/>
  <c r="BF315" i="1"/>
  <c r="CD315" i="1"/>
  <c r="BT315" i="1" s="1"/>
  <c r="CB315" i="1"/>
  <c r="BN315" i="1" s="1"/>
  <c r="BR315" i="1"/>
  <c r="BP315" i="1" l="1"/>
  <c r="CF315" i="1"/>
  <c r="BX315" i="1" l="1"/>
  <c r="BV315" i="1"/>
  <c r="BH315" i="1" s="1"/>
  <c r="BJ315" i="1"/>
  <c r="BB316" i="1" l="1"/>
  <c r="BF316" i="1"/>
  <c r="AZ316" i="1"/>
  <c r="BD316" i="1"/>
  <c r="CF316" i="1" l="1"/>
  <c r="BX316" i="1" s="1"/>
  <c r="CD316" i="1"/>
  <c r="BT316" i="1" s="1"/>
  <c r="CB316" i="1"/>
  <c r="BN316" i="1" s="1"/>
  <c r="BP316" i="1" l="1"/>
  <c r="BJ316" i="1" s="1"/>
  <c r="BV316" i="1"/>
  <c r="BR316" i="1"/>
  <c r="BH316" i="1" s="1"/>
  <c r="AZ317" i="1" l="1"/>
  <c r="BD317" i="1"/>
  <c r="BB317" i="1"/>
  <c r="BF317" i="1"/>
  <c r="CB317" i="1" l="1"/>
  <c r="BN317" i="1" s="1"/>
  <c r="CF317" i="1"/>
  <c r="BV317" i="1" s="1"/>
  <c r="CD317" i="1"/>
  <c r="BT317" i="1" s="1"/>
  <c r="BX317" i="1" l="1"/>
  <c r="BP317" i="1"/>
  <c r="BR317" i="1"/>
  <c r="BH317" i="1" s="1"/>
  <c r="AZ318" i="1" l="1"/>
  <c r="BD318" i="1"/>
  <c r="BJ317" i="1"/>
  <c r="BF318" i="1" l="1"/>
  <c r="BB318" i="1"/>
  <c r="CB318" i="1"/>
  <c r="BN318" i="1" s="1"/>
  <c r="CF318" i="1"/>
  <c r="BX318" i="1" s="1"/>
  <c r="BV318" i="1" l="1"/>
  <c r="BP318" i="1"/>
  <c r="CD318" i="1"/>
  <c r="BT318" i="1" l="1"/>
  <c r="BR318" i="1"/>
  <c r="BH318" i="1" s="1"/>
  <c r="BJ318" i="1"/>
  <c r="BB319" i="1" l="1"/>
  <c r="BF319" i="1"/>
  <c r="AZ319" i="1"/>
  <c r="BD319" i="1"/>
  <c r="CD319" i="1" l="1"/>
  <c r="BT319" i="1" s="1"/>
  <c r="CB319" i="1"/>
  <c r="BP319" i="1" s="1"/>
  <c r="BJ319" i="1" s="1"/>
  <c r="BB320" i="1" s="1"/>
  <c r="CF319" i="1"/>
  <c r="BX319" i="1" s="1"/>
  <c r="BR319" i="1"/>
  <c r="BN319" i="1" l="1"/>
  <c r="BF320" i="1"/>
  <c r="BV319" i="1"/>
  <c r="BH319" i="1" l="1"/>
  <c r="BD320" i="1" l="1"/>
  <c r="AZ320" i="1"/>
  <c r="CF320" i="1" l="1"/>
  <c r="BX320" i="1" s="1"/>
  <c r="CD320" i="1"/>
  <c r="BT320" i="1" s="1"/>
  <c r="CB320" i="1"/>
  <c r="BP320" i="1" s="1"/>
  <c r="BJ320" i="1" s="1"/>
  <c r="BR320" i="1"/>
  <c r="BV320" i="1"/>
  <c r="BN320" i="1" l="1"/>
  <c r="BH320" i="1" s="1"/>
  <c r="BB321" i="1"/>
  <c r="BF321" i="1"/>
  <c r="AZ321" i="1" l="1"/>
  <c r="BD321" i="1"/>
  <c r="CD321" i="1" l="1"/>
  <c r="BT321" i="1" s="1"/>
  <c r="CB321" i="1"/>
  <c r="BP321" i="1" s="1"/>
  <c r="BJ321" i="1" s="1"/>
  <c r="CF321" i="1"/>
  <c r="BX321" i="1" s="1"/>
  <c r="BV321" i="1"/>
  <c r="BB322" i="1" l="1"/>
  <c r="BF322" i="1"/>
  <c r="BR321" i="1"/>
  <c r="BN321" i="1"/>
  <c r="BH321" i="1" l="1"/>
  <c r="BD322" i="1" l="1"/>
  <c r="AZ322" i="1"/>
  <c r="CB322" i="1" l="1"/>
  <c r="BP322" i="1" s="1"/>
  <c r="CF322" i="1"/>
  <c r="BX322" i="1" s="1"/>
  <c r="CD322" i="1"/>
  <c r="BT322" i="1" s="1"/>
  <c r="BN322" i="1"/>
  <c r="BR322" i="1"/>
  <c r="BV322" i="1" l="1"/>
  <c r="BH322" i="1" s="1"/>
  <c r="BJ322" i="1"/>
  <c r="AZ323" i="1" l="1"/>
  <c r="BD323" i="1"/>
  <c r="BB323" i="1"/>
  <c r="BF323" i="1"/>
  <c r="CD323" i="1" l="1"/>
  <c r="BT323" i="1" s="1"/>
  <c r="CB323" i="1"/>
  <c r="BP323" i="1" s="1"/>
  <c r="BJ323" i="1" s="1"/>
  <c r="BB324" i="1" s="1"/>
  <c r="CF323" i="1"/>
  <c r="BX323" i="1" s="1"/>
  <c r="BV323" i="1"/>
  <c r="BR323" i="1" l="1"/>
  <c r="BN323" i="1"/>
  <c r="BH323" i="1" s="1"/>
  <c r="BF324" i="1"/>
  <c r="AZ324" i="1" l="1"/>
  <c r="BD324" i="1"/>
  <c r="CF324" i="1" l="1"/>
  <c r="BX324" i="1" s="1"/>
  <c r="CD324" i="1"/>
  <c r="BT324" i="1" s="1"/>
  <c r="CB324" i="1"/>
  <c r="BR324" i="1" l="1"/>
  <c r="BN324" i="1"/>
  <c r="BP324" i="1"/>
  <c r="BJ324" i="1" s="1"/>
  <c r="BV324" i="1"/>
  <c r="BB325" i="1" l="1"/>
  <c r="BF325" i="1"/>
  <c r="BH324" i="1"/>
  <c r="AZ325" i="1" l="1"/>
  <c r="BD325" i="1"/>
  <c r="CD325" i="1" l="1"/>
  <c r="BT325" i="1" s="1"/>
  <c r="CB325" i="1"/>
  <c r="BP325" i="1" s="1"/>
  <c r="BJ325" i="1" s="1"/>
  <c r="CF325" i="1"/>
  <c r="BX325" i="1" s="1"/>
  <c r="BF326" i="1" l="1"/>
  <c r="BB326" i="1"/>
  <c r="BN325" i="1"/>
  <c r="BH325" i="1" s="1"/>
  <c r="BV325" i="1"/>
  <c r="BR325" i="1"/>
  <c r="AZ326" i="1" l="1"/>
  <c r="BD326" i="1"/>
  <c r="CF326" i="1" l="1"/>
  <c r="BX326" i="1" s="1"/>
  <c r="CD326" i="1"/>
  <c r="BT326" i="1" s="1"/>
  <c r="CB326" i="1"/>
  <c r="BP326" i="1" s="1"/>
  <c r="BJ326" i="1" s="1"/>
  <c r="BV326" i="1"/>
  <c r="BB327" i="1" l="1"/>
  <c r="BF327" i="1"/>
  <c r="BR326" i="1"/>
  <c r="BN326" i="1"/>
  <c r="BH326" i="1" l="1"/>
  <c r="AZ327" i="1" l="1"/>
  <c r="BD327" i="1"/>
  <c r="CD327" i="1" l="1"/>
  <c r="BT327" i="1" s="1"/>
  <c r="CB327" i="1"/>
  <c r="BP327" i="1" s="1"/>
  <c r="BJ327" i="1" s="1"/>
  <c r="CF327" i="1"/>
  <c r="BX327" i="1" s="1"/>
  <c r="BV327" i="1"/>
  <c r="BB328" i="1" l="1"/>
  <c r="BF328" i="1"/>
  <c r="BR327" i="1"/>
  <c r="BN327" i="1"/>
  <c r="BH327" i="1" l="1"/>
  <c r="AZ328" i="1" l="1"/>
  <c r="BD328" i="1"/>
  <c r="CD328" i="1" l="1"/>
  <c r="BT328" i="1" s="1"/>
  <c r="CF328" i="1"/>
  <c r="BX328" i="1" s="1"/>
  <c r="CB328" i="1"/>
  <c r="BP328" i="1" s="1"/>
  <c r="BR328" i="1"/>
  <c r="BJ328" i="1" l="1"/>
  <c r="BV328" i="1"/>
  <c r="BN328" i="1"/>
  <c r="BH328" i="1" s="1"/>
  <c r="AZ329" i="1" l="1"/>
  <c r="BD329" i="1"/>
  <c r="BB329" i="1"/>
  <c r="BF329" i="1"/>
  <c r="CF329" i="1" l="1"/>
  <c r="BX329" i="1" s="1"/>
  <c r="CD329" i="1"/>
  <c r="BT329" i="1" s="1"/>
  <c r="CB329" i="1"/>
  <c r="BP329" i="1" s="1"/>
  <c r="BN329" i="1"/>
  <c r="BR329" i="1"/>
  <c r="BV329" i="1"/>
  <c r="BH329" i="1" l="1"/>
  <c r="BJ329" i="1"/>
  <c r="BB330" i="1" l="1"/>
  <c r="BF330" i="1"/>
  <c r="AZ330" i="1"/>
  <c r="BD330" i="1"/>
  <c r="CB330" i="1" l="1"/>
  <c r="BP330" i="1" s="1"/>
  <c r="CF330" i="1"/>
  <c r="BX330" i="1" s="1"/>
  <c r="CD330" i="1"/>
  <c r="BR330" i="1" s="1"/>
  <c r="BV330" i="1" l="1"/>
  <c r="BT330" i="1"/>
  <c r="BJ330" i="1" s="1"/>
  <c r="BN330" i="1"/>
  <c r="BH330" i="1" s="1"/>
  <c r="BB331" i="1" l="1"/>
  <c r="BF331" i="1"/>
  <c r="BD331" i="1"/>
  <c r="AZ331" i="1"/>
  <c r="CB331" i="1" l="1"/>
  <c r="BN331" i="1" s="1"/>
  <c r="CF331" i="1"/>
  <c r="BX331" i="1" s="1"/>
  <c r="CD331" i="1"/>
  <c r="BT331" i="1" s="1"/>
  <c r="BP331" i="1"/>
  <c r="BJ331" i="1" l="1"/>
  <c r="BR331" i="1"/>
  <c r="BV331" i="1"/>
  <c r="BH331" i="1" s="1"/>
  <c r="AZ332" i="1" l="1"/>
  <c r="BD332" i="1"/>
  <c r="BB332" i="1"/>
  <c r="BF332" i="1"/>
  <c r="CF332" i="1" l="1"/>
  <c r="BX332" i="1" s="1"/>
  <c r="CB332" i="1"/>
  <c r="BN332" i="1" s="1"/>
  <c r="CD332" i="1"/>
  <c r="BT332" i="1" s="1"/>
  <c r="BR332" i="1"/>
  <c r="BV332" i="1" l="1"/>
  <c r="BH332" i="1" s="1"/>
  <c r="BP332" i="1"/>
  <c r="BJ332" i="1" s="1"/>
  <c r="AZ333" i="1" l="1"/>
  <c r="BD333" i="1"/>
  <c r="BB333" i="1"/>
  <c r="BF333" i="1"/>
  <c r="CD333" i="1" l="1"/>
  <c r="BT333" i="1" s="1"/>
  <c r="CB333" i="1"/>
  <c r="BP333" i="1" s="1"/>
  <c r="CF333" i="1"/>
  <c r="BX333" i="1" s="1"/>
  <c r="BR333" i="1"/>
  <c r="BJ333" i="1" l="1"/>
  <c r="BV333" i="1"/>
  <c r="BN333" i="1"/>
  <c r="BB334" i="1" l="1"/>
  <c r="BF334" i="1"/>
  <c r="BH333" i="1"/>
  <c r="AZ334" i="1" l="1"/>
  <c r="BD334" i="1"/>
  <c r="CF334" i="1" l="1"/>
  <c r="BX334" i="1" s="1"/>
  <c r="CD334" i="1"/>
  <c r="BT334" i="1" s="1"/>
  <c r="CB334" i="1"/>
  <c r="BP334" i="1" s="1"/>
  <c r="BJ334" i="1" s="1"/>
  <c r="BR334" i="1"/>
  <c r="BV334" i="1"/>
  <c r="BB335" i="1" l="1"/>
  <c r="BF335" i="1"/>
  <c r="BN334" i="1"/>
  <c r="BH334" i="1" s="1"/>
  <c r="AZ335" i="1" l="1"/>
  <c r="BD335" i="1"/>
  <c r="CB335" i="1" l="1"/>
  <c r="CD335" i="1"/>
  <c r="CF335" i="1"/>
  <c r="BX335" i="1" s="1"/>
  <c r="BV335" i="1"/>
  <c r="BN335" i="1" l="1"/>
  <c r="BP335" i="1"/>
  <c r="BJ335" i="1" s="1"/>
  <c r="BR335" i="1"/>
  <c r="BH335" i="1" s="1"/>
  <c r="BT335" i="1"/>
  <c r="BD336" i="1" l="1"/>
  <c r="AZ336" i="1"/>
  <c r="BF336" i="1"/>
  <c r="BB336" i="1"/>
  <c r="CB336" i="1" l="1"/>
  <c r="BN336" i="1" s="1"/>
  <c r="CF336" i="1"/>
  <c r="BX336" i="1" s="1"/>
  <c r="CD336" i="1"/>
  <c r="BT336" i="1" s="1"/>
  <c r="BR336" i="1"/>
  <c r="BP336" i="1"/>
  <c r="BJ336" i="1" s="1"/>
  <c r="BB337" i="1" s="1"/>
  <c r="BV336" i="1" l="1"/>
  <c r="BH336" i="1" s="1"/>
  <c r="BF337" i="1"/>
  <c r="AZ337" i="1" l="1"/>
  <c r="BD337" i="1"/>
  <c r="CF337" i="1" l="1"/>
  <c r="CD337" i="1"/>
  <c r="BT337" i="1" s="1"/>
  <c r="CB337" i="1"/>
  <c r="BP337" i="1" s="1"/>
  <c r="BN337" i="1"/>
  <c r="BR337" i="1"/>
  <c r="BJ337" i="1" l="1"/>
  <c r="BV337" i="1"/>
  <c r="BH337" i="1" s="1"/>
  <c r="BX337" i="1"/>
  <c r="AZ338" i="1" l="1"/>
  <c r="BD338" i="1"/>
  <c r="BB338" i="1"/>
  <c r="BF338" i="1"/>
  <c r="CF338" i="1" l="1"/>
  <c r="CB338" i="1"/>
  <c r="BN338" i="1" s="1"/>
  <c r="CD338" i="1"/>
  <c r="BR338" i="1"/>
  <c r="BV338" i="1"/>
  <c r="BX338" i="1"/>
  <c r="BP338" i="1"/>
  <c r="BT338" i="1"/>
  <c r="BH338" i="1" l="1"/>
  <c r="BJ338" i="1"/>
  <c r="AZ339" i="1" l="1"/>
  <c r="BD339" i="1"/>
  <c r="BB339" i="1"/>
  <c r="BF339" i="1"/>
  <c r="CF339" i="1" l="1"/>
  <c r="BX339" i="1" s="1"/>
  <c r="CB339" i="1"/>
  <c r="BP339" i="1" s="1"/>
  <c r="CD339" i="1"/>
  <c r="BT339" i="1" s="1"/>
  <c r="BJ339" i="1" s="1"/>
  <c r="BF340" i="1" s="1"/>
  <c r="BV339" i="1"/>
  <c r="BR339" i="1"/>
  <c r="BB340" i="1" l="1"/>
  <c r="BN339" i="1"/>
  <c r="BH339" i="1"/>
  <c r="AZ340" i="1" l="1"/>
  <c r="BD340" i="1"/>
  <c r="CB340" i="1" l="1"/>
  <c r="BP340" i="1" s="1"/>
  <c r="BJ340" i="1" s="1"/>
  <c r="CD340" i="1"/>
  <c r="BT340" i="1" s="1"/>
  <c r="CF340" i="1"/>
  <c r="BX340" i="1" s="1"/>
  <c r="BF341" i="1" l="1"/>
  <c r="BB341" i="1"/>
  <c r="BN340" i="1"/>
  <c r="BH340" i="1" s="1"/>
  <c r="BV340" i="1"/>
  <c r="BR340" i="1"/>
  <c r="BD341" i="1" l="1"/>
  <c r="AZ341" i="1"/>
  <c r="CF341" i="1" l="1"/>
  <c r="BX341" i="1" s="1"/>
  <c r="CB341" i="1"/>
  <c r="BP341" i="1" s="1"/>
  <c r="CD341" i="1"/>
  <c r="BT341" i="1" s="1"/>
  <c r="BJ341" i="1" l="1"/>
  <c r="BN341" i="1"/>
  <c r="BR341" i="1"/>
  <c r="BV341" i="1"/>
  <c r="BH341" i="1" l="1"/>
  <c r="BF342" i="1"/>
  <c r="BB342" i="1"/>
  <c r="AZ342" i="1" l="1"/>
  <c r="BD342" i="1"/>
  <c r="CB342" i="1" l="1"/>
  <c r="BP342" i="1" s="1"/>
  <c r="CF342" i="1"/>
  <c r="BX342" i="1" s="1"/>
  <c r="CD342" i="1"/>
  <c r="BT342" i="1" s="1"/>
  <c r="BR342" i="1"/>
  <c r="BH342" i="1" s="1"/>
  <c r="AZ343" i="1" s="1"/>
  <c r="BV342" i="1"/>
  <c r="BN342" i="1"/>
  <c r="BD343" i="1" l="1"/>
  <c r="BJ342" i="1"/>
  <c r="BF343" i="1" l="1"/>
  <c r="BB343" i="1"/>
  <c r="CD343" i="1" l="1"/>
  <c r="BR343" i="1" s="1"/>
  <c r="BH343" i="1" s="1"/>
  <c r="CF343" i="1"/>
  <c r="BV343" i="1" s="1"/>
  <c r="CB343" i="1"/>
  <c r="BN343" i="1" s="1"/>
  <c r="BP343" i="1" l="1"/>
  <c r="BX343" i="1"/>
  <c r="BJ343" i="1" s="1"/>
  <c r="AZ344" i="1"/>
  <c r="BD344" i="1"/>
  <c r="BT343" i="1"/>
  <c r="BB344" i="1" l="1"/>
  <c r="BF344" i="1"/>
  <c r="CD344" i="1" l="1"/>
  <c r="CF344" i="1"/>
  <c r="CB344" i="1"/>
  <c r="BN344" i="1" s="1"/>
  <c r="BT344" i="1" l="1"/>
  <c r="BR344" i="1"/>
  <c r="BX344" i="1"/>
  <c r="BV344" i="1"/>
  <c r="BH344" i="1" s="1"/>
  <c r="BP344" i="1"/>
  <c r="BJ344" i="1" s="1"/>
  <c r="AZ345" i="1" l="1"/>
  <c r="BD345" i="1"/>
  <c r="BB345" i="1"/>
  <c r="BF345" i="1"/>
  <c r="CF345" i="1" l="1"/>
  <c r="BX345" i="1" s="1"/>
  <c r="CD345" i="1"/>
  <c r="BT345" i="1" s="1"/>
  <c r="CB345" i="1"/>
  <c r="BP345" i="1" s="1"/>
  <c r="BN345" i="1"/>
  <c r="BV345" i="1"/>
  <c r="BR345" i="1" l="1"/>
  <c r="BH345" i="1" s="1"/>
  <c r="BJ345" i="1"/>
  <c r="AZ346" i="1" l="1"/>
  <c r="BD346" i="1"/>
  <c r="BB346" i="1"/>
  <c r="BF346" i="1"/>
  <c r="CF346" i="1" l="1"/>
  <c r="BX346" i="1" s="1"/>
  <c r="CB346" i="1"/>
  <c r="BN346" i="1" s="1"/>
  <c r="CD346" i="1"/>
  <c r="BT346" i="1" s="1"/>
  <c r="BR346" i="1"/>
  <c r="BV346" i="1" l="1"/>
  <c r="BH346" i="1"/>
  <c r="BP346" i="1"/>
  <c r="BJ346" i="1" s="1"/>
  <c r="BB347" i="1" l="1"/>
  <c r="BF347" i="1"/>
  <c r="AZ347" i="1"/>
  <c r="BD347" i="1"/>
  <c r="CD347" i="1" l="1"/>
  <c r="BT347" i="1" s="1"/>
  <c r="CB347" i="1"/>
  <c r="BP347" i="1" s="1"/>
  <c r="BJ347" i="1" s="1"/>
  <c r="BB348" i="1" s="1"/>
  <c r="CF347" i="1"/>
  <c r="BX347" i="1" s="1"/>
  <c r="BR347" i="1"/>
  <c r="BN347" i="1"/>
  <c r="BF348" i="1" l="1"/>
  <c r="BV347" i="1"/>
  <c r="BH347" i="1" s="1"/>
  <c r="AZ348" i="1" l="1"/>
  <c r="BD348" i="1"/>
  <c r="CF348" i="1" l="1"/>
  <c r="BX348" i="1" s="1"/>
  <c r="CD348" i="1"/>
  <c r="BT348" i="1" s="1"/>
  <c r="CB348" i="1"/>
  <c r="BP348" i="1" s="1"/>
  <c r="BJ348" i="1" s="1"/>
  <c r="BN348" i="1"/>
  <c r="BV348" i="1"/>
  <c r="BB349" i="1" l="1"/>
  <c r="BF349" i="1"/>
  <c r="BR348" i="1"/>
  <c r="BH348" i="1" s="1"/>
  <c r="AZ349" i="1" l="1"/>
  <c r="BD349" i="1"/>
  <c r="CF349" i="1" l="1"/>
  <c r="BX349" i="1" s="1"/>
  <c r="CD349" i="1"/>
  <c r="BT349" i="1" s="1"/>
  <c r="CB349" i="1"/>
  <c r="BP349" i="1" s="1"/>
  <c r="BJ349" i="1" s="1"/>
  <c r="BN349" i="1"/>
  <c r="BH349" i="1" s="1"/>
  <c r="AZ350" i="1" s="1"/>
  <c r="BR349" i="1"/>
  <c r="BV349" i="1"/>
  <c r="BB350" i="1" l="1"/>
  <c r="BF350" i="1"/>
  <c r="CD350" i="1"/>
  <c r="BT350" i="1" s="1"/>
  <c r="CF350" i="1"/>
  <c r="BX350" i="1" s="1"/>
  <c r="CB350" i="1"/>
  <c r="BN350" i="1" s="1"/>
  <c r="BD350" i="1"/>
  <c r="BR350" i="1" l="1"/>
  <c r="BV350" i="1"/>
  <c r="BH350" i="1" s="1"/>
  <c r="BP350" i="1"/>
  <c r="BJ350" i="1" s="1"/>
  <c r="BB351" i="1" s="1"/>
  <c r="AZ351" i="1" l="1"/>
  <c r="BD351" i="1"/>
  <c r="BF351" i="1"/>
  <c r="CF351" i="1" l="1"/>
  <c r="BX351" i="1" s="1"/>
  <c r="CD351" i="1"/>
  <c r="CB351" i="1"/>
  <c r="BP351" i="1" s="1"/>
  <c r="BV351" i="1"/>
  <c r="BR351" i="1" l="1"/>
  <c r="BT351" i="1"/>
  <c r="BN351" i="1"/>
  <c r="BJ351" i="1"/>
  <c r="BH351" i="1" l="1"/>
  <c r="BB352" i="1"/>
  <c r="BF352" i="1"/>
  <c r="AZ352" i="1" l="1"/>
  <c r="BD352" i="1"/>
  <c r="CD352" i="1" l="1"/>
  <c r="BT352" i="1" s="1"/>
  <c r="CB352" i="1"/>
  <c r="BP352" i="1" s="1"/>
  <c r="BJ352" i="1" s="1"/>
  <c r="CF352" i="1"/>
  <c r="BX352" i="1" s="1"/>
  <c r="BN352" i="1"/>
  <c r="BB353" i="1" l="1"/>
  <c r="BF353" i="1"/>
  <c r="BV352" i="1"/>
  <c r="BH352" i="1" s="1"/>
  <c r="BR352" i="1"/>
  <c r="AZ353" i="1" l="1"/>
  <c r="BD353" i="1"/>
  <c r="CD353" i="1" l="1"/>
  <c r="BT353" i="1" s="1"/>
  <c r="CF353" i="1"/>
  <c r="CB353" i="1"/>
  <c r="BN353" i="1" l="1"/>
  <c r="BP353" i="1"/>
  <c r="BJ353" i="1" s="1"/>
  <c r="BV353" i="1"/>
  <c r="BX353" i="1"/>
  <c r="BR353" i="1"/>
  <c r="BB354" i="1" l="1"/>
  <c r="BF354" i="1"/>
  <c r="BH353" i="1"/>
  <c r="AZ354" i="1" l="1"/>
  <c r="BD354" i="1"/>
  <c r="CF354" i="1" l="1"/>
  <c r="BX354" i="1" s="1"/>
  <c r="CD354" i="1"/>
  <c r="BT354" i="1" s="1"/>
  <c r="CB354" i="1"/>
  <c r="BV354" i="1" l="1"/>
  <c r="BN354" i="1"/>
  <c r="BH354" i="1" s="1"/>
  <c r="BP354" i="1"/>
  <c r="BJ354" i="1" s="1"/>
  <c r="BR354" i="1"/>
  <c r="BB355" i="1" l="1"/>
  <c r="BF355" i="1"/>
  <c r="BD355" i="1"/>
  <c r="AZ355" i="1"/>
  <c r="CB355" i="1" l="1"/>
  <c r="BP355" i="1" s="1"/>
  <c r="BJ355" i="1" s="1"/>
  <c r="BB356" i="1" s="1"/>
  <c r="CF355" i="1"/>
  <c r="BX355" i="1" s="1"/>
  <c r="CD355" i="1"/>
  <c r="BR355" i="1" s="1"/>
  <c r="BT355" i="1"/>
  <c r="BN355" i="1" l="1"/>
  <c r="BH355" i="1" s="1"/>
  <c r="BF356" i="1"/>
  <c r="BV355" i="1"/>
  <c r="AZ356" i="1" l="1"/>
  <c r="BD356" i="1"/>
  <c r="CD356" i="1" l="1"/>
  <c r="CB356" i="1"/>
  <c r="BP356" i="1" s="1"/>
  <c r="CF356" i="1"/>
  <c r="BV356" i="1" l="1"/>
  <c r="BX356" i="1"/>
  <c r="BN356" i="1"/>
  <c r="BH356" i="1" s="1"/>
  <c r="BR356" i="1"/>
  <c r="BT356" i="1"/>
  <c r="BJ356" i="1" s="1"/>
  <c r="BB357" i="1" l="1"/>
  <c r="BF357" i="1"/>
  <c r="AZ357" i="1"/>
  <c r="BD357" i="1"/>
  <c r="CB357" i="1" l="1"/>
  <c r="BN357" i="1" s="1"/>
  <c r="CF357" i="1"/>
  <c r="BV357" i="1" s="1"/>
  <c r="CD357" i="1"/>
  <c r="BR357" i="1" s="1"/>
  <c r="BX357" i="1"/>
  <c r="BP357" i="1"/>
  <c r="BT357" i="1" l="1"/>
  <c r="BJ357" i="1" s="1"/>
  <c r="BH357" i="1"/>
  <c r="BB358" i="1" l="1"/>
  <c r="BF358" i="1"/>
  <c r="AZ358" i="1"/>
  <c r="BD358" i="1"/>
  <c r="CF358" i="1" l="1"/>
  <c r="BX358" i="1" s="1"/>
  <c r="CD358" i="1"/>
  <c r="BR358" i="1" s="1"/>
  <c r="CB358" i="1"/>
  <c r="BP358" i="1" s="1"/>
  <c r="BN358" i="1"/>
  <c r="BV358" i="1"/>
  <c r="BH358" i="1" l="1"/>
  <c r="BT358" i="1"/>
  <c r="BJ358" i="1" s="1"/>
  <c r="BB359" i="1" l="1"/>
  <c r="BF359" i="1"/>
  <c r="AZ359" i="1"/>
  <c r="BD359" i="1"/>
  <c r="CF359" i="1" l="1"/>
  <c r="BX359" i="1" s="1"/>
  <c r="CD359" i="1"/>
  <c r="BT359" i="1" s="1"/>
  <c r="BR359" i="1"/>
  <c r="BV359" i="1"/>
  <c r="CB359" i="1"/>
  <c r="BP359" i="1" s="1"/>
  <c r="BJ359" i="1" s="1"/>
  <c r="BB360" i="1" s="1"/>
  <c r="BN359" i="1"/>
  <c r="BF360" i="1"/>
  <c r="BH359" i="1" l="1"/>
  <c r="AZ360" i="1" l="1"/>
  <c r="BD360" i="1"/>
  <c r="CB360" i="1" l="1"/>
  <c r="CF360" i="1"/>
  <c r="CD360" i="1"/>
  <c r="BV360" i="1" l="1"/>
  <c r="BX360" i="1"/>
  <c r="BR360" i="1"/>
  <c r="BT360" i="1"/>
  <c r="BN360" i="1"/>
  <c r="BP360" i="1"/>
  <c r="BJ360" i="1" s="1"/>
  <c r="BB361" i="1" l="1"/>
  <c r="BF361" i="1"/>
  <c r="BH360" i="1"/>
  <c r="AZ361" i="1" l="1"/>
  <c r="BD361" i="1"/>
  <c r="CD361" i="1" l="1"/>
  <c r="BT361" i="1" s="1"/>
  <c r="CB361" i="1"/>
  <c r="BP361" i="1" s="1"/>
  <c r="CF361" i="1"/>
  <c r="BX361" i="1" s="1"/>
  <c r="BR361" i="1"/>
  <c r="BN361" i="1"/>
  <c r="BJ361" i="1" l="1"/>
  <c r="BV361" i="1"/>
  <c r="BH361" i="1" s="1"/>
  <c r="AZ362" i="1" l="1"/>
  <c r="BD362" i="1"/>
  <c r="BB362" i="1"/>
  <c r="BF362" i="1"/>
  <c r="CF362" i="1" l="1"/>
  <c r="BX362" i="1" s="1"/>
  <c r="CD362" i="1"/>
  <c r="BT362" i="1" s="1"/>
  <c r="CB362" i="1"/>
  <c r="BP362" i="1" s="1"/>
  <c r="BN362" i="1"/>
  <c r="BR362" i="1"/>
  <c r="BV362" i="1" l="1"/>
  <c r="BH362" i="1" s="1"/>
  <c r="BJ362" i="1"/>
  <c r="AZ363" i="1" l="1"/>
  <c r="BD363" i="1"/>
  <c r="BB363" i="1"/>
  <c r="BF363" i="1"/>
  <c r="CF363" i="1" l="1"/>
  <c r="BX363" i="1" s="1"/>
  <c r="CD363" i="1"/>
  <c r="BT363" i="1" s="1"/>
  <c r="CB363" i="1"/>
  <c r="BP363" i="1" s="1"/>
  <c r="BV363" i="1"/>
  <c r="BN363" i="1"/>
  <c r="BR363" i="1"/>
  <c r="BH363" i="1" l="1"/>
  <c r="BJ363" i="1"/>
  <c r="BB364" i="1" l="1"/>
  <c r="BF364" i="1"/>
  <c r="AZ364" i="1"/>
  <c r="BD364" i="1"/>
  <c r="CF364" i="1" l="1"/>
  <c r="BX364" i="1" s="1"/>
  <c r="CD364" i="1"/>
  <c r="BT364" i="1" s="1"/>
  <c r="CB364" i="1"/>
  <c r="BP364" i="1" s="1"/>
  <c r="BJ364" i="1" s="1"/>
  <c r="BB365" i="1" s="1"/>
  <c r="BV364" i="1"/>
  <c r="BN364" i="1"/>
  <c r="BR364" i="1"/>
  <c r="BF365" i="1" l="1"/>
  <c r="BH364" i="1"/>
  <c r="AZ365" i="1" l="1"/>
  <c r="BD365" i="1"/>
  <c r="CD365" i="1" l="1"/>
  <c r="BT365" i="1" s="1"/>
  <c r="CB365" i="1"/>
  <c r="BP365" i="1" s="1"/>
  <c r="BJ365" i="1" s="1"/>
  <c r="CF365" i="1"/>
  <c r="BX365" i="1" s="1"/>
  <c r="BB366" i="1" l="1"/>
  <c r="BF366" i="1"/>
  <c r="BV365" i="1"/>
  <c r="BN365" i="1"/>
  <c r="BH365" i="1" s="1"/>
  <c r="BR365" i="1"/>
  <c r="AZ366" i="1" l="1"/>
  <c r="BD366" i="1"/>
  <c r="CF366" i="1" l="1"/>
  <c r="BX366" i="1" s="1"/>
  <c r="CD366" i="1"/>
  <c r="BT366" i="1" s="1"/>
  <c r="CB366" i="1"/>
  <c r="BP366" i="1" s="1"/>
  <c r="BJ366" i="1" s="1"/>
  <c r="BR366" i="1"/>
  <c r="BV366" i="1"/>
  <c r="BB367" i="1" l="1"/>
  <c r="BF367" i="1"/>
  <c r="BN366" i="1"/>
  <c r="BH366" i="1" s="1"/>
  <c r="AZ367" i="1" l="1"/>
  <c r="BD367" i="1"/>
  <c r="CF367" i="1" l="1"/>
  <c r="BX367" i="1" s="1"/>
  <c r="CD367" i="1"/>
  <c r="BT367" i="1" s="1"/>
  <c r="CB367" i="1"/>
  <c r="BR367" i="1"/>
  <c r="BV367" i="1" l="1"/>
  <c r="BN367" i="1"/>
  <c r="BH367" i="1" s="1"/>
  <c r="BP367" i="1"/>
  <c r="BJ367" i="1" s="1"/>
  <c r="BB368" i="1" l="1"/>
  <c r="BF368" i="1"/>
  <c r="AZ368" i="1"/>
  <c r="BD368" i="1"/>
  <c r="CF368" i="1" l="1"/>
  <c r="BX368" i="1" s="1"/>
  <c r="CD368" i="1"/>
  <c r="BT368" i="1" s="1"/>
  <c r="CB368" i="1"/>
  <c r="BN368" i="1" s="1"/>
  <c r="BV368" i="1"/>
  <c r="BP368" i="1"/>
  <c r="BJ368" i="1" s="1"/>
  <c r="BB369" i="1" s="1"/>
  <c r="BF369" i="1" l="1"/>
  <c r="BR368" i="1"/>
  <c r="BH368" i="1" s="1"/>
  <c r="AZ369" i="1" l="1"/>
  <c r="BD369" i="1"/>
  <c r="CF369" i="1" l="1"/>
  <c r="BX369" i="1" s="1"/>
  <c r="CD369" i="1"/>
  <c r="BT369" i="1" s="1"/>
  <c r="CB369" i="1"/>
  <c r="BV369" i="1" l="1"/>
  <c r="BR369" i="1"/>
  <c r="BN369" i="1"/>
  <c r="BH369" i="1" s="1"/>
  <c r="BP369" i="1"/>
  <c r="BJ369" i="1" s="1"/>
  <c r="BB370" i="1" l="1"/>
  <c r="BF370" i="1"/>
  <c r="AZ370" i="1"/>
  <c r="BD370" i="1"/>
  <c r="CF370" i="1" l="1"/>
  <c r="BX370" i="1" s="1"/>
  <c r="CD370" i="1"/>
  <c r="BT370" i="1" s="1"/>
  <c r="CB370" i="1"/>
  <c r="BP370" i="1" s="1"/>
  <c r="BJ370" i="1" s="1"/>
  <c r="BB371" i="1" s="1"/>
  <c r="BF371" i="1" l="1"/>
  <c r="BN370" i="1"/>
  <c r="BV370" i="1"/>
  <c r="BR370" i="1"/>
  <c r="BH370" i="1" l="1"/>
  <c r="AZ371" i="1" l="1"/>
  <c r="BD371" i="1"/>
  <c r="CD371" i="1" l="1"/>
  <c r="BT371" i="1" s="1"/>
  <c r="CF371" i="1"/>
  <c r="BX371" i="1" s="1"/>
  <c r="CB371" i="1"/>
  <c r="BP371" i="1" s="1"/>
  <c r="BN371" i="1"/>
  <c r="BV371" i="1"/>
  <c r="BR371" i="1" l="1"/>
  <c r="BH371" i="1" s="1"/>
  <c r="BJ371" i="1"/>
  <c r="AZ372" i="1" l="1"/>
  <c r="BD372" i="1"/>
  <c r="BB372" i="1"/>
  <c r="BF372" i="1"/>
  <c r="CD372" i="1" l="1"/>
  <c r="BT372" i="1" s="1"/>
  <c r="CF372" i="1"/>
  <c r="BX372" i="1" s="1"/>
  <c r="BV372" i="1"/>
  <c r="CB372" i="1"/>
  <c r="BN372" i="1" s="1"/>
  <c r="BP372" i="1" l="1"/>
  <c r="BJ372" i="1" s="1"/>
  <c r="BR372" i="1"/>
  <c r="BH372" i="1" s="1"/>
  <c r="AZ373" i="1" l="1"/>
  <c r="BD373" i="1"/>
  <c r="BB373" i="1"/>
  <c r="BF373" i="1"/>
  <c r="CD373" i="1" l="1"/>
  <c r="BT373" i="1" s="1"/>
  <c r="CF373" i="1"/>
  <c r="BX373" i="1" s="1"/>
  <c r="CB373" i="1"/>
  <c r="BN373" i="1" s="1"/>
  <c r="BR373" i="1"/>
  <c r="BV373" i="1" l="1"/>
  <c r="BH373" i="1" s="1"/>
  <c r="BP373" i="1"/>
  <c r="BJ373" i="1" s="1"/>
  <c r="AZ374" i="1" l="1"/>
  <c r="BD374" i="1"/>
  <c r="BB374" i="1"/>
  <c r="BF374" i="1"/>
  <c r="CF374" i="1" l="1"/>
  <c r="BV374" i="1" s="1"/>
  <c r="CD374" i="1"/>
  <c r="CB374" i="1"/>
  <c r="BN374" i="1" s="1"/>
  <c r="BR374" i="1"/>
  <c r="BH374" i="1" s="1"/>
  <c r="AZ375" i="1" s="1"/>
  <c r="BT374" i="1"/>
  <c r="BX374" i="1"/>
  <c r="BP374" i="1" l="1"/>
  <c r="BJ374" i="1" s="1"/>
  <c r="BD375" i="1"/>
  <c r="BB375" i="1" l="1"/>
  <c r="BF375" i="1"/>
  <c r="CB375" i="1" l="1"/>
  <c r="BN375" i="1" s="1"/>
  <c r="CF375" i="1"/>
  <c r="BV375" i="1" s="1"/>
  <c r="CD375" i="1"/>
  <c r="BR375" i="1" s="1"/>
  <c r="BP375" i="1" l="1"/>
  <c r="BX375" i="1"/>
  <c r="BH375" i="1"/>
  <c r="BT375" i="1"/>
  <c r="AZ376" i="1" l="1"/>
  <c r="BD376" i="1"/>
  <c r="BJ375" i="1"/>
  <c r="BF376" i="1" l="1"/>
  <c r="BB376" i="1"/>
  <c r="CD376" i="1"/>
  <c r="CF376" i="1"/>
  <c r="BV376" i="1" s="1"/>
  <c r="CB376" i="1"/>
  <c r="BN376" i="1" s="1"/>
  <c r="BR376" i="1"/>
  <c r="BH376" i="1" s="1"/>
  <c r="BD377" i="1" s="1"/>
  <c r="AZ377" i="1" l="1"/>
  <c r="BP376" i="1"/>
  <c r="BJ376" i="1" s="1"/>
  <c r="BB377" i="1" s="1"/>
  <c r="BX376" i="1"/>
  <c r="BT376" i="1"/>
  <c r="BF377" i="1" l="1"/>
  <c r="CB377" i="1"/>
  <c r="BP377" i="1" s="1"/>
  <c r="BJ377" i="1" s="1"/>
  <c r="BB378" i="1" s="1"/>
  <c r="CD377" i="1"/>
  <c r="BT377" i="1" s="1"/>
  <c r="CF377" i="1"/>
  <c r="BX377" i="1" s="1"/>
  <c r="BV377" i="1"/>
  <c r="BR377" i="1" l="1"/>
  <c r="BN377" i="1"/>
  <c r="BH377" i="1" s="1"/>
  <c r="BF378" i="1"/>
  <c r="AZ378" i="1" l="1"/>
  <c r="BD378" i="1"/>
  <c r="CB378" i="1" l="1"/>
  <c r="BP378" i="1" s="1"/>
  <c r="BJ378" i="1" s="1"/>
  <c r="CF378" i="1"/>
  <c r="BX378" i="1" s="1"/>
  <c r="CD378" i="1"/>
  <c r="BT378" i="1" s="1"/>
  <c r="BR378" i="1"/>
  <c r="BV378" i="1" l="1"/>
  <c r="BN378" i="1"/>
  <c r="BH378" i="1" s="1"/>
  <c r="BB379" i="1"/>
  <c r="BF379" i="1"/>
  <c r="AZ379" i="1" l="1"/>
  <c r="BD379" i="1"/>
  <c r="CF379" i="1" l="1"/>
  <c r="BX379" i="1" s="1"/>
  <c r="CD379" i="1"/>
  <c r="BT379" i="1" s="1"/>
  <c r="CB379" i="1"/>
  <c r="BP379" i="1" s="1"/>
  <c r="BJ379" i="1" s="1"/>
  <c r="BV379" i="1"/>
  <c r="BN379" i="1"/>
  <c r="BB380" i="1" l="1"/>
  <c r="BF380" i="1"/>
  <c r="BR379" i="1"/>
  <c r="BH379" i="1" s="1"/>
  <c r="AZ380" i="1" l="1"/>
  <c r="BD380" i="1"/>
  <c r="CB380" i="1" l="1"/>
  <c r="BP380" i="1" s="1"/>
  <c r="CF380" i="1"/>
  <c r="BX380" i="1" s="1"/>
  <c r="CD380" i="1"/>
  <c r="BT380" i="1" s="1"/>
  <c r="BN380" i="1"/>
  <c r="BJ380" i="1" l="1"/>
  <c r="BV380" i="1"/>
  <c r="BR380" i="1"/>
  <c r="BH380" i="1" s="1"/>
  <c r="BD381" i="1" l="1"/>
  <c r="AZ381" i="1"/>
  <c r="BB381" i="1"/>
  <c r="BF381" i="1"/>
  <c r="CD381" i="1" l="1"/>
  <c r="BT381" i="1" s="1"/>
  <c r="CB381" i="1"/>
  <c r="BP381" i="1" s="1"/>
  <c r="BJ381" i="1" s="1"/>
  <c r="BB382" i="1" s="1"/>
  <c r="CF381" i="1"/>
  <c r="BX381" i="1" s="1"/>
  <c r="BN381" i="1" l="1"/>
  <c r="BV381" i="1"/>
  <c r="BR381" i="1"/>
  <c r="BF382" i="1"/>
  <c r="BH381" i="1" l="1"/>
  <c r="AZ382" i="1" l="1"/>
  <c r="BD382" i="1"/>
  <c r="CF382" i="1" l="1"/>
  <c r="BX382" i="1" s="1"/>
  <c r="CD382" i="1"/>
  <c r="BT382" i="1" s="1"/>
  <c r="CB382" i="1"/>
  <c r="BN382" i="1" l="1"/>
  <c r="BP382" i="1"/>
  <c r="BJ382" i="1" s="1"/>
  <c r="BV382" i="1"/>
  <c r="BR382" i="1"/>
  <c r="BB383" i="1" l="1"/>
  <c r="BF383" i="1"/>
  <c r="BH382" i="1"/>
  <c r="AZ383" i="1" l="1"/>
  <c r="BD383" i="1"/>
  <c r="CF383" i="1" l="1"/>
  <c r="BX383" i="1" s="1"/>
  <c r="CD383" i="1"/>
  <c r="BT383" i="1" s="1"/>
  <c r="CB383" i="1"/>
  <c r="BP383" i="1" s="1"/>
  <c r="BJ383" i="1" s="1"/>
  <c r="BV383" i="1"/>
  <c r="BN383" i="1" l="1"/>
  <c r="BR383" i="1"/>
  <c r="BB384" i="1"/>
  <c r="BF384" i="1"/>
  <c r="BH383" i="1" l="1"/>
  <c r="BD384" i="1" l="1"/>
  <c r="AZ384" i="1"/>
  <c r="CD384" i="1" l="1"/>
  <c r="BT384" i="1" s="1"/>
  <c r="CF384" i="1"/>
  <c r="BX384" i="1" s="1"/>
  <c r="BR384" i="1"/>
  <c r="CB384" i="1"/>
  <c r="BV384" i="1" l="1"/>
  <c r="BN384" i="1"/>
  <c r="BH384" i="1" s="1"/>
  <c r="BP384" i="1"/>
  <c r="BJ384" i="1" s="1"/>
  <c r="BB385" i="1" l="1"/>
  <c r="BF385" i="1"/>
  <c r="AZ385" i="1"/>
  <c r="BD385" i="1"/>
  <c r="CD385" i="1" l="1"/>
  <c r="BT385" i="1" s="1"/>
  <c r="CB385" i="1"/>
  <c r="BP385" i="1" s="1"/>
  <c r="BJ385" i="1" s="1"/>
  <c r="BB386" i="1" s="1"/>
  <c r="CF385" i="1"/>
  <c r="BX385" i="1" s="1"/>
  <c r="BN385" i="1"/>
  <c r="BH385" i="1" s="1"/>
  <c r="BD386" i="1" s="1"/>
  <c r="BR385" i="1"/>
  <c r="BV385" i="1"/>
  <c r="BF386" i="1" l="1"/>
  <c r="AZ386" i="1"/>
  <c r="CF386" i="1" l="1"/>
  <c r="BX386" i="1" s="1"/>
  <c r="CB386" i="1"/>
  <c r="BP386" i="1" s="1"/>
  <c r="CD386" i="1"/>
  <c r="BV386" i="1"/>
  <c r="BR386" i="1" l="1"/>
  <c r="BT386" i="1"/>
  <c r="BJ386" i="1" s="1"/>
  <c r="BN386" i="1"/>
  <c r="BH386" i="1" s="1"/>
  <c r="AZ387" i="1" l="1"/>
  <c r="BD387" i="1"/>
  <c r="BB387" i="1"/>
  <c r="BF387" i="1"/>
  <c r="CF387" i="1" l="1"/>
  <c r="BV387" i="1" s="1"/>
  <c r="CD387" i="1"/>
  <c r="BT387" i="1" s="1"/>
  <c r="CB387" i="1"/>
  <c r="BN387" i="1" s="1"/>
  <c r="BR387" i="1" l="1"/>
  <c r="BH387" i="1" s="1"/>
  <c r="BP387" i="1"/>
  <c r="BJ387" i="1" s="1"/>
  <c r="BX387" i="1"/>
  <c r="BB388" i="1" l="1"/>
  <c r="BF388" i="1"/>
  <c r="AZ388" i="1"/>
  <c r="BD388" i="1"/>
  <c r="CD388" i="1" l="1"/>
  <c r="BR388" i="1" s="1"/>
  <c r="CB388" i="1"/>
  <c r="BN388" i="1" s="1"/>
  <c r="BH388" i="1" s="1"/>
  <c r="AZ389" i="1" s="1"/>
  <c r="CF388" i="1"/>
  <c r="BV388" i="1" s="1"/>
  <c r="BT388" i="1" l="1"/>
  <c r="BX388" i="1"/>
  <c r="BP388" i="1"/>
  <c r="BJ388" i="1" s="1"/>
  <c r="BD389" i="1"/>
  <c r="BB389" i="1" l="1"/>
  <c r="BF389" i="1"/>
  <c r="CF389" i="1" l="1"/>
  <c r="BV389" i="1" s="1"/>
  <c r="CD389" i="1"/>
  <c r="BR389" i="1" s="1"/>
  <c r="CB389" i="1"/>
  <c r="BN389" i="1" s="1"/>
  <c r="BH389" i="1" s="1"/>
  <c r="BP389" i="1" l="1"/>
  <c r="AZ390" i="1"/>
  <c r="BD390" i="1"/>
  <c r="BT389" i="1"/>
  <c r="BX389" i="1"/>
  <c r="BJ389" i="1" l="1"/>
  <c r="BB390" i="1" l="1"/>
  <c r="BF390" i="1"/>
  <c r="BT390" i="1" l="1"/>
  <c r="CB390" i="1"/>
  <c r="BN390" i="1" s="1"/>
  <c r="CF390" i="1"/>
  <c r="CD390" i="1"/>
  <c r="BR390" i="1" s="1"/>
  <c r="BP390" i="1" l="1"/>
  <c r="BJ390" i="1" s="1"/>
  <c r="BX390" i="1"/>
  <c r="BV390" i="1"/>
  <c r="BH390" i="1" s="1"/>
  <c r="AZ391" i="1" l="1"/>
  <c r="BD391" i="1"/>
  <c r="BB391" i="1"/>
  <c r="BF391" i="1"/>
  <c r="CD391" i="1" l="1"/>
  <c r="BT391" i="1" s="1"/>
  <c r="CF391" i="1"/>
  <c r="BX391" i="1" s="1"/>
  <c r="BV391" i="1"/>
  <c r="CB391" i="1"/>
  <c r="BN391" i="1" s="1"/>
  <c r="BR391" i="1" l="1"/>
  <c r="BH391" i="1" s="1"/>
  <c r="BP391" i="1"/>
  <c r="BJ391" i="1" s="1"/>
  <c r="AZ392" i="1" l="1"/>
  <c r="BD392" i="1"/>
  <c r="BB392" i="1"/>
  <c r="BF392" i="1"/>
  <c r="CD392" i="1" l="1"/>
  <c r="BT392" i="1" s="1"/>
  <c r="CF392" i="1"/>
  <c r="BX392" i="1" s="1"/>
  <c r="CB392" i="1"/>
  <c r="BN392" i="1" s="1"/>
  <c r="BV392" i="1" l="1"/>
  <c r="BR392" i="1"/>
  <c r="BH392" i="1" s="1"/>
  <c r="BP392" i="1"/>
  <c r="BJ392" i="1" s="1"/>
  <c r="AZ393" i="1" l="1"/>
  <c r="BD393" i="1"/>
  <c r="BB393" i="1"/>
  <c r="BF393" i="1"/>
  <c r="CB393" i="1" l="1"/>
  <c r="BP393" i="1" s="1"/>
  <c r="BJ393" i="1" s="1"/>
  <c r="BB394" i="1" s="1"/>
  <c r="CF393" i="1"/>
  <c r="BX393" i="1" s="1"/>
  <c r="CD393" i="1"/>
  <c r="BT393" i="1" s="1"/>
  <c r="BR393" i="1"/>
  <c r="BV393" i="1"/>
  <c r="BN393" i="1" l="1"/>
  <c r="BH393" i="1" s="1"/>
  <c r="BF394" i="1"/>
  <c r="AZ394" i="1" l="1"/>
  <c r="BD394" i="1"/>
  <c r="CF394" i="1" l="1"/>
  <c r="BX394" i="1" s="1"/>
  <c r="CD394" i="1"/>
  <c r="BT394" i="1" s="1"/>
  <c r="CB394" i="1"/>
  <c r="BP394" i="1" s="1"/>
  <c r="BV394" i="1"/>
  <c r="BJ394" i="1" l="1"/>
  <c r="BR394" i="1"/>
  <c r="BN394" i="1"/>
  <c r="BH394" i="1" s="1"/>
  <c r="AZ395" i="1" l="1"/>
  <c r="BD395" i="1"/>
  <c r="BB395" i="1"/>
  <c r="BF395" i="1"/>
  <c r="CB395" i="1" l="1"/>
  <c r="BP395" i="1" s="1"/>
  <c r="BJ395" i="1" s="1"/>
  <c r="BB396" i="1" s="1"/>
  <c r="CF395" i="1"/>
  <c r="BX395" i="1" s="1"/>
  <c r="CD395" i="1"/>
  <c r="BT395" i="1" s="1"/>
  <c r="BR395" i="1"/>
  <c r="BN395" i="1" l="1"/>
  <c r="BV395" i="1"/>
  <c r="BF396" i="1"/>
  <c r="BH395" i="1" l="1"/>
  <c r="AZ396" i="1" l="1"/>
  <c r="BD396" i="1"/>
  <c r="CF396" i="1" l="1"/>
  <c r="BX396" i="1" s="1"/>
  <c r="CD396" i="1"/>
  <c r="BT396" i="1" s="1"/>
  <c r="CB396" i="1"/>
  <c r="BP396" i="1" s="1"/>
  <c r="BJ396" i="1" s="1"/>
  <c r="BR396" i="1"/>
  <c r="BV396" i="1"/>
  <c r="BF397" i="1" l="1"/>
  <c r="BB397" i="1"/>
  <c r="BN396" i="1"/>
  <c r="BH396" i="1" s="1"/>
  <c r="AZ397" i="1" l="1"/>
  <c r="BD397" i="1"/>
  <c r="CD397" i="1" l="1"/>
  <c r="BT397" i="1" s="1"/>
  <c r="CF397" i="1"/>
  <c r="BX397" i="1" s="1"/>
  <c r="CB397" i="1"/>
  <c r="BR397" i="1"/>
  <c r="BN397" i="1" l="1"/>
  <c r="BP397" i="1"/>
  <c r="BJ397" i="1" s="1"/>
  <c r="BV397" i="1"/>
  <c r="BF398" i="1" l="1"/>
  <c r="BB398" i="1"/>
  <c r="BH397" i="1"/>
  <c r="AZ398" i="1" l="1"/>
  <c r="BD398" i="1"/>
  <c r="CF398" i="1" l="1"/>
  <c r="CD398" i="1"/>
  <c r="BT398" i="1" s="1"/>
  <c r="CB398" i="1"/>
  <c r="BV398" i="1" l="1"/>
  <c r="BX398" i="1"/>
  <c r="BR398" i="1"/>
  <c r="BN398" i="1"/>
  <c r="BP398" i="1"/>
  <c r="BH398" i="1" l="1"/>
  <c r="BJ398" i="1"/>
  <c r="BB399" i="1" l="1"/>
  <c r="BF399" i="1"/>
  <c r="AZ399" i="1"/>
  <c r="BD399" i="1"/>
  <c r="CF399" i="1" l="1"/>
  <c r="BX399" i="1" s="1"/>
  <c r="CB399" i="1"/>
  <c r="BN399" i="1" s="1"/>
  <c r="CD399" i="1"/>
  <c r="BT399" i="1" s="1"/>
  <c r="BP399" i="1" l="1"/>
  <c r="BJ399" i="1" s="1"/>
  <c r="BV399" i="1"/>
  <c r="BR399" i="1"/>
  <c r="BH399" i="1" s="1"/>
  <c r="AZ400" i="1" l="1"/>
  <c r="BD400" i="1"/>
  <c r="BB400" i="1"/>
  <c r="BF400" i="1"/>
  <c r="CB400" i="1" l="1"/>
  <c r="BN400" i="1" s="1"/>
  <c r="CD400" i="1"/>
  <c r="BT400" i="1" s="1"/>
  <c r="CF400" i="1"/>
  <c r="BX400" i="1" s="1"/>
  <c r="BR400" i="1"/>
  <c r="BV400" i="1"/>
  <c r="BH400" i="1" l="1"/>
  <c r="BP400" i="1"/>
  <c r="BJ400" i="1" s="1"/>
  <c r="BB401" i="1" l="1"/>
  <c r="BF401" i="1"/>
  <c r="AZ401" i="1"/>
  <c r="BD401" i="1"/>
  <c r="CF401" i="1" l="1"/>
  <c r="BX401" i="1" s="1"/>
  <c r="CD401" i="1"/>
  <c r="BT401" i="1" s="1"/>
  <c r="CB401" i="1"/>
  <c r="BN401" i="1" s="1"/>
  <c r="BR401" i="1"/>
  <c r="BV401" i="1" l="1"/>
  <c r="BH401" i="1"/>
  <c r="BP401" i="1"/>
  <c r="BJ401" i="1" s="1"/>
  <c r="BB402" i="1" l="1"/>
  <c r="BF402" i="1"/>
  <c r="AZ402" i="1"/>
  <c r="BD402" i="1"/>
  <c r="CF402" i="1" l="1"/>
  <c r="BX402" i="1" s="1"/>
  <c r="CD402" i="1"/>
  <c r="BT402" i="1" s="1"/>
  <c r="CB402" i="1"/>
  <c r="BP402" i="1" s="1"/>
  <c r="BR402" i="1"/>
  <c r="BV402" i="1" l="1"/>
  <c r="BN402" i="1"/>
  <c r="BH402" i="1" s="1"/>
  <c r="BJ402" i="1"/>
  <c r="BF403" i="1" l="1"/>
  <c r="BB403" i="1"/>
  <c r="AZ403" i="1"/>
  <c r="BD403" i="1"/>
  <c r="CD403" i="1" l="1"/>
  <c r="BT403" i="1" s="1"/>
  <c r="CB403" i="1"/>
  <c r="BP403" i="1" s="1"/>
  <c r="BJ403" i="1" s="1"/>
  <c r="BB404" i="1" s="1"/>
  <c r="CF403" i="1"/>
  <c r="BX403" i="1" s="1"/>
  <c r="BR403" i="1"/>
  <c r="BF404" i="1" l="1"/>
  <c r="BN403" i="1"/>
  <c r="BV403" i="1"/>
  <c r="BH403" i="1" l="1"/>
  <c r="AZ404" i="1" l="1"/>
  <c r="BD404" i="1"/>
  <c r="CB404" i="1" l="1"/>
  <c r="BP404" i="1" s="1"/>
  <c r="BJ404" i="1" s="1"/>
  <c r="CD404" i="1"/>
  <c r="BT404" i="1" s="1"/>
  <c r="CF404" i="1"/>
  <c r="BX404" i="1" s="1"/>
  <c r="BV404" i="1"/>
  <c r="BN404" i="1"/>
  <c r="BH404" i="1" s="1"/>
  <c r="AZ405" i="1" s="1"/>
  <c r="BR404" i="1"/>
  <c r="BD405" i="1" l="1"/>
  <c r="BB405" i="1"/>
  <c r="CD405" i="1" s="1"/>
  <c r="BF405" i="1"/>
  <c r="BT405" i="1" l="1"/>
  <c r="BR405" i="1"/>
  <c r="CB405" i="1"/>
  <c r="BN405" i="1" s="1"/>
  <c r="CF405" i="1"/>
  <c r="BP405" i="1" l="1"/>
  <c r="BX405" i="1"/>
  <c r="BV405" i="1"/>
  <c r="BH405" i="1" s="1"/>
  <c r="AZ406" i="1" l="1"/>
  <c r="BD406" i="1"/>
  <c r="BJ405" i="1"/>
  <c r="BB406" i="1" l="1"/>
  <c r="CD406" i="1" s="1"/>
  <c r="BF406" i="1"/>
  <c r="CB406" i="1"/>
  <c r="BN406" i="1" s="1"/>
  <c r="BT406" i="1" l="1"/>
  <c r="BR406" i="1"/>
  <c r="BP406" i="1"/>
  <c r="CF406" i="1"/>
  <c r="BX406" i="1" l="1"/>
  <c r="BJ406" i="1" s="1"/>
  <c r="BV406" i="1"/>
  <c r="BH406" i="1" s="1"/>
  <c r="BB407" i="1" l="1"/>
  <c r="BF407" i="1"/>
  <c r="BD407" i="1"/>
  <c r="AZ407" i="1"/>
  <c r="CB407" i="1" l="1"/>
  <c r="BP407" i="1" s="1"/>
  <c r="CD407" i="1"/>
  <c r="BT407" i="1" s="1"/>
  <c r="CF407" i="1"/>
  <c r="BX407" i="1" s="1"/>
  <c r="BV407" i="1"/>
  <c r="BN407" i="1"/>
  <c r="BR407" i="1" l="1"/>
  <c r="BH407" i="1" s="1"/>
  <c r="BJ407" i="1"/>
  <c r="AZ408" i="1" l="1"/>
  <c r="BD408" i="1"/>
  <c r="BB408" i="1"/>
  <c r="BF408" i="1"/>
  <c r="CD408" i="1" l="1"/>
  <c r="BT408" i="1" s="1"/>
  <c r="CF408" i="1"/>
  <c r="BX408" i="1" s="1"/>
  <c r="CB408" i="1"/>
  <c r="BN408" i="1" s="1"/>
  <c r="BV408" i="1"/>
  <c r="BR408" i="1" l="1"/>
  <c r="BH408" i="1" s="1"/>
  <c r="BP408" i="1"/>
  <c r="BJ408" i="1" s="1"/>
  <c r="AZ409" i="1" l="1"/>
  <c r="BD409" i="1"/>
  <c r="BB409" i="1"/>
  <c r="BF409" i="1"/>
  <c r="CD409" i="1" l="1"/>
  <c r="BT409" i="1" s="1"/>
  <c r="CF409" i="1"/>
  <c r="BX409" i="1" s="1"/>
  <c r="CB409" i="1"/>
  <c r="BP409" i="1" s="1"/>
  <c r="BV409" i="1"/>
  <c r="BN409" i="1"/>
  <c r="BR409" i="1" l="1"/>
  <c r="BH409" i="1" s="1"/>
  <c r="BJ409" i="1"/>
  <c r="AZ410" i="1" l="1"/>
  <c r="BD410" i="1"/>
  <c r="BF410" i="1"/>
  <c r="BB410" i="1"/>
  <c r="CF410" i="1" l="1"/>
  <c r="BX410" i="1" s="1"/>
  <c r="CD410" i="1"/>
  <c r="BT410" i="1" s="1"/>
  <c r="CB410" i="1"/>
  <c r="BN410" i="1" s="1"/>
  <c r="BV410" i="1"/>
  <c r="BR410" i="1"/>
  <c r="BH410" i="1" l="1"/>
  <c r="BP410" i="1"/>
  <c r="BJ410" i="1" s="1"/>
  <c r="BB411" i="1" l="1"/>
  <c r="BF411" i="1"/>
  <c r="AZ411" i="1"/>
  <c r="BD411" i="1"/>
  <c r="CF411" i="1" l="1"/>
  <c r="BX411" i="1" s="1"/>
  <c r="CD411" i="1"/>
  <c r="BT411" i="1" s="1"/>
  <c r="CB411" i="1"/>
  <c r="BP411" i="1" s="1"/>
  <c r="BJ411" i="1" s="1"/>
  <c r="BB412" i="1" s="1"/>
  <c r="BV411" i="1"/>
  <c r="BF412" i="1" l="1"/>
  <c r="BR411" i="1"/>
  <c r="BN411" i="1"/>
  <c r="BH411" i="1" s="1"/>
  <c r="AZ412" i="1" l="1"/>
  <c r="BD412" i="1"/>
  <c r="CB412" i="1" l="1"/>
  <c r="BP412" i="1" s="1"/>
  <c r="CF412" i="1"/>
  <c r="BX412" i="1" s="1"/>
  <c r="CD412" i="1"/>
  <c r="BT412" i="1" s="1"/>
  <c r="BJ412" i="1" l="1"/>
  <c r="BR412" i="1"/>
  <c r="BN412" i="1"/>
  <c r="BH412" i="1" s="1"/>
  <c r="BV412" i="1"/>
  <c r="AZ413" i="1" l="1"/>
  <c r="BD413" i="1"/>
  <c r="BB413" i="1"/>
  <c r="BF413" i="1"/>
  <c r="CF413" i="1" l="1"/>
  <c r="BX413" i="1" s="1"/>
  <c r="CD413" i="1"/>
  <c r="BT413" i="1" s="1"/>
  <c r="CB413" i="1"/>
  <c r="BP413" i="1" s="1"/>
  <c r="BR413" i="1"/>
  <c r="BV413" i="1" l="1"/>
  <c r="BN413" i="1"/>
  <c r="BH413" i="1" s="1"/>
  <c r="BJ413" i="1"/>
  <c r="BB414" i="1" l="1"/>
  <c r="BF414" i="1"/>
  <c r="AZ414" i="1"/>
  <c r="BD414" i="1"/>
  <c r="CF414" i="1" l="1"/>
  <c r="BX414" i="1" s="1"/>
  <c r="CD414" i="1"/>
  <c r="BT414" i="1" s="1"/>
  <c r="CB414" i="1"/>
  <c r="BP414" i="1" s="1"/>
  <c r="BR414" i="1"/>
  <c r="BV414" i="1"/>
  <c r="BJ414" i="1" l="1"/>
  <c r="BN414" i="1"/>
  <c r="BH414" i="1" s="1"/>
  <c r="AZ415" i="1" l="1"/>
  <c r="BD415" i="1"/>
  <c r="BB415" i="1"/>
  <c r="BF415" i="1"/>
  <c r="CF415" i="1" l="1"/>
  <c r="BX415" i="1" s="1"/>
  <c r="CD415" i="1"/>
  <c r="BT415" i="1" s="1"/>
  <c r="CB415" i="1"/>
  <c r="BP415" i="1" s="1"/>
  <c r="BN415" i="1"/>
  <c r="BR415" i="1"/>
  <c r="BV415" i="1"/>
  <c r="BH415" i="1" l="1"/>
  <c r="BJ415" i="1"/>
  <c r="BB416" i="1" l="1"/>
  <c r="BF416" i="1"/>
  <c r="AZ416" i="1"/>
  <c r="BD416" i="1"/>
  <c r="CF416" i="1" l="1"/>
  <c r="BX416" i="1" s="1"/>
  <c r="CD416" i="1"/>
  <c r="BR416" i="1" s="1"/>
  <c r="CB416" i="1"/>
  <c r="BP416" i="1" s="1"/>
  <c r="BV416" i="1" l="1"/>
  <c r="BN416" i="1"/>
  <c r="BT416" i="1"/>
  <c r="BJ416" i="1" s="1"/>
  <c r="BB417" i="1" l="1"/>
  <c r="BF417" i="1"/>
  <c r="BH416" i="1"/>
  <c r="AZ417" i="1" l="1"/>
  <c r="BD417" i="1"/>
  <c r="CF417" i="1" l="1"/>
  <c r="BX417" i="1" s="1"/>
  <c r="CD417" i="1"/>
  <c r="BT417" i="1" s="1"/>
  <c r="CB417" i="1"/>
  <c r="BP417" i="1" s="1"/>
  <c r="BR417" i="1"/>
  <c r="BN417" i="1" l="1"/>
  <c r="BH417" i="1" s="1"/>
  <c r="BJ417" i="1"/>
  <c r="BV417" i="1"/>
  <c r="BB418" i="1" l="1"/>
  <c r="BF418" i="1"/>
  <c r="AZ418" i="1"/>
  <c r="BD418" i="1"/>
  <c r="CD418" i="1" l="1"/>
  <c r="BT418" i="1" s="1"/>
  <c r="CF418" i="1"/>
  <c r="BX418" i="1" s="1"/>
  <c r="BV418" i="1"/>
  <c r="CB418" i="1"/>
  <c r="BN418" i="1" s="1"/>
  <c r="BH418" i="1" s="1"/>
  <c r="AZ419" i="1" s="1"/>
  <c r="BR418" i="1"/>
  <c r="BD419" i="1" l="1"/>
  <c r="BP418" i="1"/>
  <c r="BJ418" i="1" s="1"/>
  <c r="BB419" i="1" l="1"/>
  <c r="BF419" i="1"/>
  <c r="BP419" i="1" l="1"/>
  <c r="CB419" i="1"/>
  <c r="BN419" i="1" s="1"/>
  <c r="CD419" i="1"/>
  <c r="CF419" i="1"/>
  <c r="BX419" i="1" l="1"/>
  <c r="BV419" i="1"/>
  <c r="BT419" i="1"/>
  <c r="BR419" i="1"/>
  <c r="BH419" i="1" s="1"/>
  <c r="BJ419" i="1"/>
  <c r="AZ420" i="1" l="1"/>
  <c r="BD420" i="1"/>
  <c r="BF420" i="1"/>
  <c r="BB420" i="1"/>
  <c r="CF420" i="1" s="1"/>
  <c r="BX420" i="1" s="1"/>
  <c r="CB420" i="1" l="1"/>
  <c r="BP420" i="1" s="1"/>
  <c r="CD420" i="1"/>
  <c r="BT420" i="1" s="1"/>
  <c r="BV420" i="1"/>
  <c r="BR420" i="1" l="1"/>
  <c r="BN420" i="1"/>
  <c r="BH420" i="1" s="1"/>
  <c r="BJ420" i="1"/>
  <c r="AZ421" i="1" l="1"/>
  <c r="BD421" i="1"/>
  <c r="BB421" i="1"/>
  <c r="BF421" i="1"/>
  <c r="CF421" i="1" l="1"/>
  <c r="BX421" i="1" s="1"/>
  <c r="CD421" i="1"/>
  <c r="BT421" i="1" s="1"/>
  <c r="CB421" i="1"/>
  <c r="BN421" i="1" s="1"/>
  <c r="BH421" i="1" s="1"/>
  <c r="AZ422" i="1" s="1"/>
  <c r="BR421" i="1"/>
  <c r="BV421" i="1"/>
  <c r="BP421" i="1" l="1"/>
  <c r="BJ421" i="1" s="1"/>
  <c r="BD422" i="1"/>
  <c r="BB422" i="1" l="1"/>
  <c r="BF422" i="1"/>
  <c r="CB422" i="1" l="1"/>
  <c r="CF422" i="1"/>
  <c r="CD422" i="1"/>
  <c r="BT422" i="1" l="1"/>
  <c r="BR422" i="1"/>
  <c r="BP422" i="1"/>
  <c r="BJ422" i="1" s="1"/>
  <c r="BN422" i="1"/>
  <c r="BH422" i="1" s="1"/>
  <c r="BX422" i="1"/>
  <c r="BV422" i="1"/>
  <c r="AZ423" i="1" l="1"/>
  <c r="BD423" i="1"/>
  <c r="BB423" i="1"/>
  <c r="BF423" i="1"/>
  <c r="BX423" i="1" l="1"/>
  <c r="CB423" i="1"/>
  <c r="BN423" i="1" s="1"/>
  <c r="CD423" i="1"/>
  <c r="BT423" i="1" s="1"/>
  <c r="CF423" i="1"/>
  <c r="BV423" i="1" s="1"/>
  <c r="BP423" i="1" l="1"/>
  <c r="BJ423" i="1" s="1"/>
  <c r="BR423" i="1"/>
  <c r="BH423" i="1" s="1"/>
  <c r="AZ424" i="1" l="1"/>
  <c r="BD424" i="1"/>
  <c r="BF424" i="1"/>
  <c r="BB424" i="1"/>
  <c r="CF424" i="1" l="1"/>
  <c r="BX424" i="1" s="1"/>
  <c r="CB424" i="1"/>
  <c r="BP424" i="1" s="1"/>
  <c r="BJ424" i="1" s="1"/>
  <c r="BB425" i="1" s="1"/>
  <c r="CD424" i="1"/>
  <c r="BT424" i="1" s="1"/>
  <c r="BN424" i="1" l="1"/>
  <c r="BR424" i="1"/>
  <c r="BF425" i="1"/>
  <c r="BV424" i="1"/>
  <c r="BH424" i="1" l="1"/>
  <c r="AZ425" i="1" l="1"/>
  <c r="BD425" i="1"/>
  <c r="CB425" i="1" l="1"/>
  <c r="BP425" i="1" s="1"/>
  <c r="BJ425" i="1" s="1"/>
  <c r="CF425" i="1"/>
  <c r="BX425" i="1" s="1"/>
  <c r="CD425" i="1"/>
  <c r="BT425" i="1" s="1"/>
  <c r="BV425" i="1"/>
  <c r="BB426" i="1" l="1"/>
  <c r="BF426" i="1"/>
  <c r="BR425" i="1"/>
  <c r="BN425" i="1"/>
  <c r="BH425" i="1" s="1"/>
  <c r="AZ426" i="1" l="1"/>
  <c r="BD426" i="1"/>
  <c r="CB426" i="1" l="1"/>
  <c r="BP426" i="1" s="1"/>
  <c r="CF426" i="1"/>
  <c r="BX426" i="1" s="1"/>
  <c r="CD426" i="1"/>
  <c r="BT426" i="1" s="1"/>
  <c r="BV426" i="1"/>
  <c r="BJ426" i="1" l="1"/>
  <c r="BR426" i="1"/>
  <c r="BN426" i="1"/>
  <c r="BH426" i="1" s="1"/>
  <c r="AZ427" i="1" l="1"/>
  <c r="BD427" i="1"/>
  <c r="BB427" i="1"/>
  <c r="BF427" i="1"/>
  <c r="CD427" i="1" l="1"/>
  <c r="BT427" i="1" s="1"/>
  <c r="CB427" i="1"/>
  <c r="BP427" i="1" s="1"/>
  <c r="BJ427" i="1" s="1"/>
  <c r="BB428" i="1" s="1"/>
  <c r="CF427" i="1"/>
  <c r="BX427" i="1" s="1"/>
  <c r="BV427" i="1"/>
  <c r="BR427" i="1" l="1"/>
  <c r="BN427" i="1"/>
  <c r="BH427" i="1" s="1"/>
  <c r="BF428" i="1"/>
  <c r="AZ428" i="1" l="1"/>
  <c r="BD428" i="1"/>
  <c r="CF428" i="1" l="1"/>
  <c r="BX428" i="1" s="1"/>
  <c r="CD428" i="1"/>
  <c r="BT428" i="1" s="1"/>
  <c r="CB428" i="1"/>
  <c r="BN428" i="1" l="1"/>
  <c r="BP428" i="1"/>
  <c r="BJ428" i="1" s="1"/>
  <c r="BV428" i="1"/>
  <c r="BR428" i="1"/>
  <c r="BB429" i="1" l="1"/>
  <c r="BF429" i="1"/>
  <c r="BH428" i="1"/>
  <c r="AZ429" i="1" l="1"/>
  <c r="BD429" i="1"/>
  <c r="CD429" i="1" l="1"/>
  <c r="BT429" i="1" s="1"/>
  <c r="CF429" i="1"/>
  <c r="BX429" i="1" s="1"/>
  <c r="BR429" i="1"/>
  <c r="CB429" i="1"/>
  <c r="BV429" i="1" l="1"/>
  <c r="BN429" i="1"/>
  <c r="BH429" i="1" s="1"/>
  <c r="BP429" i="1"/>
  <c r="BJ429" i="1" s="1"/>
  <c r="AZ430" i="1" l="1"/>
  <c r="BD430" i="1"/>
  <c r="BB430" i="1"/>
  <c r="BF430" i="1"/>
  <c r="CF430" i="1" l="1"/>
  <c r="BX430" i="1" s="1"/>
  <c r="CD430" i="1"/>
  <c r="BT430" i="1" s="1"/>
  <c r="CB430" i="1"/>
  <c r="BN430" i="1" s="1"/>
  <c r="BV430" i="1"/>
  <c r="BR430" i="1"/>
  <c r="BH430" i="1" l="1"/>
  <c r="BP430" i="1"/>
  <c r="BJ430" i="1" s="1"/>
  <c r="BB431" i="1" l="1"/>
  <c r="BF431" i="1"/>
  <c r="AZ431" i="1"/>
  <c r="BD431" i="1"/>
  <c r="CF431" i="1" l="1"/>
  <c r="BX431" i="1" s="1"/>
  <c r="CD431" i="1"/>
  <c r="BT431" i="1" s="1"/>
  <c r="CB431" i="1"/>
  <c r="BN431" i="1" s="1"/>
  <c r="BR431" i="1"/>
  <c r="BP431" i="1"/>
  <c r="BJ431" i="1" s="1"/>
  <c r="BB432" i="1" s="1"/>
  <c r="BF432" i="1" l="1"/>
  <c r="BV431" i="1"/>
  <c r="BH431" i="1" s="1"/>
  <c r="AZ432" i="1" l="1"/>
  <c r="BD432" i="1"/>
  <c r="CF432" i="1" l="1"/>
  <c r="BX432" i="1" s="1"/>
  <c r="CD432" i="1"/>
  <c r="BT432" i="1" s="1"/>
  <c r="CB432" i="1"/>
  <c r="BP432" i="1" s="1"/>
  <c r="BJ432" i="1" s="1"/>
  <c r="BB433" i="1" l="1"/>
  <c r="BF433" i="1"/>
  <c r="BR432" i="1"/>
  <c r="BV432" i="1"/>
  <c r="BN432" i="1"/>
  <c r="BH432" i="1" l="1"/>
  <c r="BD433" i="1" l="1"/>
  <c r="AZ433" i="1"/>
  <c r="CD433" i="1" l="1"/>
  <c r="BT433" i="1" s="1"/>
  <c r="CF433" i="1"/>
  <c r="BX433" i="1" s="1"/>
  <c r="CB433" i="1"/>
  <c r="BR433" i="1"/>
  <c r="BV433" i="1"/>
  <c r="BN433" i="1" l="1"/>
  <c r="BH433" i="1" s="1"/>
  <c r="BP433" i="1"/>
  <c r="BJ433" i="1" s="1"/>
  <c r="BB434" i="1" l="1"/>
  <c r="BF434" i="1"/>
  <c r="AZ434" i="1"/>
  <c r="BD434" i="1"/>
  <c r="CF434" i="1" l="1"/>
  <c r="BX434" i="1" s="1"/>
  <c r="CD434" i="1"/>
  <c r="BT434" i="1" s="1"/>
  <c r="CB434" i="1"/>
  <c r="BP434" i="1" s="1"/>
  <c r="BJ434" i="1" s="1"/>
  <c r="BB435" i="1" s="1"/>
  <c r="BF435" i="1" l="1"/>
  <c r="BR434" i="1"/>
  <c r="BN434" i="1"/>
  <c r="BV434" i="1"/>
  <c r="BH434" i="1" l="1"/>
  <c r="AZ435" i="1" l="1"/>
  <c r="BD435" i="1"/>
  <c r="CF435" i="1" l="1"/>
  <c r="BX435" i="1" s="1"/>
  <c r="CD435" i="1"/>
  <c r="BT435" i="1" s="1"/>
  <c r="CB435" i="1"/>
  <c r="BP435" i="1" s="1"/>
  <c r="BJ435" i="1" s="1"/>
  <c r="BV435" i="1"/>
  <c r="BB436" i="1" l="1"/>
  <c r="BF436" i="1"/>
  <c r="BR435" i="1"/>
  <c r="BN435" i="1"/>
  <c r="BH435" i="1" s="1"/>
  <c r="AZ436" i="1" l="1"/>
  <c r="BD436" i="1"/>
  <c r="CF436" i="1" l="1"/>
  <c r="BX436" i="1" s="1"/>
  <c r="CD436" i="1"/>
  <c r="BT436" i="1" s="1"/>
  <c r="CB436" i="1"/>
  <c r="BP436" i="1" s="1"/>
  <c r="BJ436" i="1" s="1"/>
  <c r="BV436" i="1"/>
  <c r="BB437" i="1" l="1"/>
  <c r="BF437" i="1"/>
  <c r="BR436" i="1"/>
  <c r="BN436" i="1"/>
  <c r="BH436" i="1" s="1"/>
  <c r="AZ437" i="1" l="1"/>
  <c r="BD437" i="1"/>
  <c r="CD437" i="1" l="1"/>
  <c r="CF437" i="1"/>
  <c r="BX437" i="1" s="1"/>
  <c r="CB437" i="1"/>
  <c r="BV437" i="1" l="1"/>
  <c r="BR437" i="1"/>
  <c r="BT437" i="1"/>
  <c r="BN437" i="1"/>
  <c r="BH437" i="1" s="1"/>
  <c r="BP437" i="1"/>
  <c r="AZ438" i="1" l="1"/>
  <c r="BD438" i="1"/>
  <c r="BJ437" i="1"/>
  <c r="BB438" i="1" l="1"/>
  <c r="CB438" i="1" s="1"/>
  <c r="BF438" i="1"/>
  <c r="CD438" i="1"/>
  <c r="BT438" i="1" s="1"/>
  <c r="CF438" i="1"/>
  <c r="BX438" i="1" s="1"/>
  <c r="BV438" i="1"/>
  <c r="BP438" i="1" l="1"/>
  <c r="BJ438" i="1" s="1"/>
  <c r="BB439" i="1" s="1"/>
  <c r="BN438" i="1"/>
  <c r="BF439" i="1"/>
  <c r="BR438" i="1"/>
  <c r="BH438" i="1" l="1"/>
  <c r="AZ439" i="1" l="1"/>
  <c r="BD439" i="1"/>
  <c r="CF439" i="1" l="1"/>
  <c r="CD439" i="1"/>
  <c r="BT439" i="1" s="1"/>
  <c r="CB439" i="1"/>
  <c r="BP439" i="1" s="1"/>
  <c r="BV439" i="1" l="1"/>
  <c r="BX439" i="1"/>
  <c r="BJ439" i="1" s="1"/>
  <c r="BN439" i="1"/>
  <c r="BR439" i="1"/>
  <c r="BB440" i="1" l="1"/>
  <c r="BF440" i="1"/>
  <c r="BH439" i="1"/>
  <c r="AZ440" i="1" l="1"/>
  <c r="BD440" i="1"/>
  <c r="CF440" i="1" l="1"/>
  <c r="BX440" i="1" s="1"/>
  <c r="CD440" i="1"/>
  <c r="BT440" i="1" s="1"/>
  <c r="BR440" i="1"/>
  <c r="BV440" i="1"/>
  <c r="CB440" i="1"/>
  <c r="BN440" i="1" l="1"/>
  <c r="BH440" i="1" s="1"/>
  <c r="BP440" i="1"/>
  <c r="BJ440" i="1" s="1"/>
  <c r="BB441" i="1" l="1"/>
  <c r="BF441" i="1"/>
  <c r="AZ441" i="1"/>
  <c r="BD441" i="1"/>
  <c r="CD441" i="1" l="1"/>
  <c r="BT441" i="1" s="1"/>
  <c r="CF441" i="1"/>
  <c r="BX441" i="1" s="1"/>
  <c r="CB441" i="1"/>
  <c r="BN441" i="1" s="1"/>
  <c r="BP441" i="1" l="1"/>
  <c r="BJ441" i="1" s="1"/>
  <c r="BV441" i="1"/>
  <c r="BR441" i="1"/>
  <c r="BH441" i="1" s="1"/>
  <c r="AZ442" i="1" l="1"/>
  <c r="BD442" i="1"/>
  <c r="BB442" i="1"/>
  <c r="BF442" i="1"/>
  <c r="CF442" i="1" l="1"/>
  <c r="BX442" i="1" s="1"/>
  <c r="CD442" i="1"/>
  <c r="BT442" i="1" s="1"/>
  <c r="CB442" i="1"/>
  <c r="BP442" i="1" s="1"/>
  <c r="BN442" i="1"/>
  <c r="BR442" i="1"/>
  <c r="BJ442" i="1" l="1"/>
  <c r="BV442" i="1"/>
  <c r="BH442" i="1" s="1"/>
  <c r="AZ443" i="1" l="1"/>
  <c r="BD443" i="1"/>
  <c r="BF443" i="1"/>
  <c r="BB443" i="1"/>
  <c r="CF443" i="1" l="1"/>
  <c r="BV443" i="1" s="1"/>
  <c r="CB443" i="1"/>
  <c r="BP443" i="1" s="1"/>
  <c r="CD443" i="1"/>
  <c r="BT443" i="1" s="1"/>
  <c r="BN443" i="1"/>
  <c r="BR443" i="1"/>
  <c r="BH443" i="1" l="1"/>
  <c r="BX443" i="1"/>
  <c r="BJ443" i="1" s="1"/>
  <c r="BB444" i="1" l="1"/>
  <c r="BF444" i="1"/>
  <c r="AZ444" i="1"/>
  <c r="BD444" i="1"/>
  <c r="CB444" i="1" l="1"/>
  <c r="BP444" i="1" s="1"/>
  <c r="CF444" i="1"/>
  <c r="BX444" i="1" s="1"/>
  <c r="CD444" i="1"/>
  <c r="BT444" i="1" s="1"/>
  <c r="BN444" i="1"/>
  <c r="BR444" i="1"/>
  <c r="BV444" i="1"/>
  <c r="BJ444" i="1" l="1"/>
  <c r="BH444" i="1"/>
  <c r="AZ445" i="1" l="1"/>
  <c r="BD445" i="1"/>
  <c r="BB445" i="1"/>
  <c r="BF445" i="1"/>
  <c r="CF445" i="1" l="1"/>
  <c r="BX445" i="1" s="1"/>
  <c r="CB445" i="1"/>
  <c r="BP445" i="1" s="1"/>
  <c r="CD445" i="1"/>
  <c r="BT445" i="1" s="1"/>
  <c r="BR445" i="1"/>
  <c r="BN445" i="1"/>
  <c r="BJ445" i="1" l="1"/>
  <c r="BV445" i="1"/>
  <c r="BH445" i="1" s="1"/>
  <c r="AZ446" i="1" l="1"/>
  <c r="BD446" i="1"/>
  <c r="BB446" i="1"/>
  <c r="BF446" i="1"/>
  <c r="CD446" i="1" l="1"/>
  <c r="BT446" i="1" s="1"/>
  <c r="CF446" i="1"/>
  <c r="BX446" i="1" s="1"/>
  <c r="CB446" i="1"/>
  <c r="BP446" i="1" s="1"/>
  <c r="BJ446" i="1" s="1"/>
  <c r="BF447" i="1" s="1"/>
  <c r="BR446" i="1"/>
  <c r="BV446" i="1"/>
  <c r="BN446" i="1"/>
  <c r="BB447" i="1" l="1"/>
  <c r="BH446" i="1"/>
  <c r="AZ447" i="1" l="1"/>
  <c r="BD447" i="1"/>
  <c r="CB447" i="1" l="1"/>
  <c r="CF447" i="1"/>
  <c r="BX447" i="1" s="1"/>
  <c r="CD447" i="1"/>
  <c r="BT447" i="1" s="1"/>
  <c r="BN447" i="1" l="1"/>
  <c r="BP447" i="1"/>
  <c r="BJ447" i="1" s="1"/>
  <c r="BR447" i="1"/>
  <c r="BV447" i="1"/>
  <c r="BB448" i="1" l="1"/>
  <c r="BF448" i="1"/>
  <c r="BH447" i="1"/>
  <c r="AZ448" i="1" l="1"/>
  <c r="BD448" i="1"/>
  <c r="CF448" i="1" l="1"/>
  <c r="BX448" i="1" s="1"/>
  <c r="CD448" i="1"/>
  <c r="BT448" i="1" s="1"/>
  <c r="CB448" i="1"/>
  <c r="BR448" i="1" l="1"/>
  <c r="BN448" i="1"/>
  <c r="BP448" i="1"/>
  <c r="BJ448" i="1" s="1"/>
  <c r="BV448" i="1"/>
  <c r="BH448" i="1" l="1"/>
  <c r="BF449" i="1"/>
  <c r="BB449" i="1"/>
  <c r="AZ449" i="1" l="1"/>
  <c r="BD449" i="1"/>
  <c r="CF449" i="1" l="1"/>
  <c r="BX449" i="1" s="1"/>
  <c r="CD449" i="1"/>
  <c r="BT449" i="1" s="1"/>
  <c r="CB449" i="1"/>
  <c r="BV449" i="1"/>
  <c r="BR449" i="1" l="1"/>
  <c r="BN449" i="1"/>
  <c r="BH449" i="1" s="1"/>
  <c r="BP449" i="1"/>
  <c r="BJ449" i="1" s="1"/>
  <c r="AZ450" i="1" l="1"/>
  <c r="BD450" i="1"/>
  <c r="BF450" i="1"/>
  <c r="BB450" i="1"/>
  <c r="CF450" i="1" l="1"/>
  <c r="BX450" i="1" s="1"/>
  <c r="CB450" i="1"/>
  <c r="BP450" i="1" s="1"/>
  <c r="CD450" i="1"/>
  <c r="BT450" i="1" s="1"/>
  <c r="BV450" i="1"/>
  <c r="BN450" i="1"/>
  <c r="BH450" i="1" s="1"/>
  <c r="AZ451" i="1" s="1"/>
  <c r="BR450" i="1"/>
  <c r="BD451" i="1" l="1"/>
  <c r="BJ450" i="1"/>
  <c r="BB451" i="1" l="1"/>
  <c r="BF451" i="1"/>
  <c r="CD451" i="1" l="1"/>
  <c r="CF451" i="1"/>
  <c r="CB451" i="1"/>
  <c r="BP451" i="1" l="1"/>
  <c r="BN451" i="1"/>
  <c r="BX451" i="1"/>
  <c r="BV451" i="1"/>
  <c r="BT451" i="1"/>
  <c r="BR451" i="1"/>
  <c r="BH451" i="1" l="1"/>
  <c r="BJ451" i="1"/>
  <c r="BB452" i="1" l="1"/>
  <c r="BF452" i="1"/>
  <c r="AZ452" i="1"/>
  <c r="BD452" i="1"/>
  <c r="CB452" i="1" l="1"/>
  <c r="BP452" i="1" s="1"/>
  <c r="CF452" i="1"/>
  <c r="BX452" i="1" s="1"/>
  <c r="CD452" i="1"/>
  <c r="BT452" i="1" s="1"/>
  <c r="BN452" i="1"/>
  <c r="BJ452" i="1" l="1"/>
  <c r="BV452" i="1"/>
  <c r="BR452" i="1"/>
  <c r="BH452" i="1" s="1"/>
  <c r="AZ453" i="1" l="1"/>
  <c r="BD453" i="1"/>
  <c r="BB453" i="1"/>
  <c r="BF453" i="1"/>
  <c r="CD453" i="1" l="1"/>
  <c r="BT453" i="1" s="1"/>
  <c r="CB453" i="1"/>
  <c r="BP453" i="1" s="1"/>
  <c r="CF453" i="1"/>
  <c r="BX453" i="1" s="1"/>
  <c r="BV453" i="1"/>
  <c r="BR453" i="1" l="1"/>
  <c r="BN453" i="1"/>
  <c r="BH453" i="1" s="1"/>
  <c r="BJ453" i="1"/>
  <c r="BF454" i="1" l="1"/>
  <c r="BB454" i="1"/>
  <c r="AZ454" i="1"/>
  <c r="BD454" i="1"/>
  <c r="CF454" i="1" l="1"/>
  <c r="BV454" i="1" s="1"/>
  <c r="CB454" i="1"/>
  <c r="BN454" i="1" s="1"/>
  <c r="CD454" i="1"/>
  <c r="BR454" i="1" s="1"/>
  <c r="BH454" i="1" s="1"/>
  <c r="BD455" i="1" l="1"/>
  <c r="AZ455" i="1"/>
  <c r="BX454" i="1"/>
  <c r="BT454" i="1"/>
  <c r="BP454" i="1"/>
  <c r="BJ454" i="1" s="1"/>
  <c r="CB455" i="1" l="1"/>
  <c r="BN455" i="1" s="1"/>
  <c r="BF455" i="1"/>
  <c r="BB455" i="1"/>
  <c r="CF455" i="1" l="1"/>
  <c r="BV455" i="1" s="1"/>
  <c r="BP455" i="1"/>
  <c r="CD455" i="1"/>
  <c r="BR455" i="1" s="1"/>
  <c r="BH455" i="1" s="1"/>
  <c r="AZ456" i="1" l="1"/>
  <c r="BD456" i="1"/>
  <c r="BX455" i="1"/>
  <c r="BT455" i="1"/>
  <c r="BJ455" i="1" s="1"/>
  <c r="BB456" i="1" l="1"/>
  <c r="BF456" i="1"/>
  <c r="CB456" i="1"/>
  <c r="BN456" i="1" s="1"/>
  <c r="CD456" i="1"/>
  <c r="BT456" i="1" s="1"/>
  <c r="CF456" i="1"/>
  <c r="BX456" i="1" s="1"/>
  <c r="BR456" i="1"/>
  <c r="BV456" i="1" l="1"/>
  <c r="BH456" i="1" s="1"/>
  <c r="BP456" i="1"/>
  <c r="BJ456" i="1" s="1"/>
  <c r="BB457" i="1" s="1"/>
  <c r="AZ457" i="1" l="1"/>
  <c r="BD457" i="1"/>
  <c r="BF457" i="1"/>
  <c r="CF457" i="1" l="1"/>
  <c r="CD457" i="1"/>
  <c r="CB457" i="1"/>
  <c r="BP457" i="1" s="1"/>
  <c r="BR457" i="1" l="1"/>
  <c r="BT457" i="1"/>
  <c r="BV457" i="1"/>
  <c r="BX457" i="1"/>
  <c r="BJ457" i="1" s="1"/>
  <c r="BN457" i="1"/>
  <c r="BB458" i="1" l="1"/>
  <c r="BF458" i="1"/>
  <c r="BH457" i="1"/>
  <c r="AZ458" i="1" l="1"/>
  <c r="BD458" i="1"/>
  <c r="CB458" i="1" l="1"/>
  <c r="CF458" i="1"/>
  <c r="CD458" i="1"/>
  <c r="BR458" i="1" l="1"/>
  <c r="BT458" i="1"/>
  <c r="BN458" i="1"/>
  <c r="BH458" i="1" s="1"/>
  <c r="BP458" i="1"/>
  <c r="BJ458" i="1" s="1"/>
  <c r="BV458" i="1"/>
  <c r="BX458" i="1"/>
  <c r="BB459" i="1" l="1"/>
  <c r="BF459" i="1"/>
  <c r="BD459" i="1"/>
  <c r="AZ459" i="1"/>
  <c r="CB459" i="1" l="1"/>
  <c r="BP459" i="1" s="1"/>
  <c r="CF459" i="1"/>
  <c r="BX459" i="1" s="1"/>
  <c r="CD459" i="1"/>
  <c r="BT459" i="1" s="1"/>
  <c r="BJ459" i="1" l="1"/>
  <c r="BV459" i="1"/>
  <c r="BR459" i="1"/>
  <c r="BN459" i="1"/>
  <c r="BH459" i="1" s="1"/>
  <c r="AZ460" i="1" l="1"/>
  <c r="BD460" i="1"/>
  <c r="BB460" i="1"/>
  <c r="BF460" i="1"/>
  <c r="CF460" i="1" l="1"/>
  <c r="BX460" i="1" s="1"/>
  <c r="CD460" i="1"/>
  <c r="BT460" i="1" s="1"/>
  <c r="CB460" i="1"/>
  <c r="BP460" i="1" s="1"/>
  <c r="BV460" i="1"/>
  <c r="BN460" i="1"/>
  <c r="BR460" i="1" l="1"/>
  <c r="BH460" i="1"/>
  <c r="BJ460" i="1"/>
  <c r="BB461" i="1" l="1"/>
  <c r="BF461" i="1"/>
  <c r="AZ461" i="1"/>
  <c r="BD461" i="1"/>
  <c r="CB461" i="1" l="1"/>
  <c r="BP461" i="1" s="1"/>
  <c r="CF461" i="1"/>
  <c r="BX461" i="1" s="1"/>
  <c r="CD461" i="1"/>
  <c r="BT461" i="1" s="1"/>
  <c r="BJ461" i="1" l="1"/>
  <c r="BV461" i="1"/>
  <c r="BR461" i="1"/>
  <c r="BN461" i="1"/>
  <c r="BH461" i="1" s="1"/>
  <c r="AZ462" i="1" l="1"/>
  <c r="BD462" i="1"/>
  <c r="BB462" i="1"/>
  <c r="BF462" i="1"/>
  <c r="CD462" i="1" l="1"/>
  <c r="BR462" i="1" s="1"/>
  <c r="CF462" i="1"/>
  <c r="BV462" i="1" s="1"/>
  <c r="CB462" i="1"/>
  <c r="BN462" i="1" s="1"/>
  <c r="BT462" i="1" l="1"/>
  <c r="BX462" i="1"/>
  <c r="BH462" i="1"/>
  <c r="BP462" i="1"/>
  <c r="BJ462" i="1" s="1"/>
  <c r="BF463" i="1" l="1"/>
  <c r="BB463" i="1"/>
  <c r="BD463" i="1"/>
  <c r="AZ463" i="1"/>
  <c r="CF463" i="1" l="1"/>
  <c r="BX463" i="1" s="1"/>
  <c r="CD463" i="1"/>
  <c r="BT463" i="1" s="1"/>
  <c r="CB463" i="1"/>
  <c r="BP463" i="1" s="1"/>
  <c r="BJ463" i="1" s="1"/>
  <c r="BF464" i="1" s="1"/>
  <c r="BV463" i="1"/>
  <c r="BR463" i="1"/>
  <c r="BB464" i="1" l="1"/>
  <c r="BN463" i="1"/>
  <c r="BH463" i="1" s="1"/>
  <c r="AZ464" i="1" l="1"/>
  <c r="BD464" i="1"/>
  <c r="CD464" i="1" l="1"/>
  <c r="BT464" i="1" s="1"/>
  <c r="CF464" i="1"/>
  <c r="BX464" i="1" s="1"/>
  <c r="CB464" i="1"/>
  <c r="BP464" i="1" s="1"/>
  <c r="BJ464" i="1" s="1"/>
  <c r="BV464" i="1"/>
  <c r="BR464" i="1"/>
  <c r="BF465" i="1" l="1"/>
  <c r="BB465" i="1"/>
  <c r="BN464" i="1"/>
  <c r="BH464" i="1" s="1"/>
  <c r="AZ465" i="1" l="1"/>
  <c r="BD465" i="1"/>
  <c r="CB465" i="1" l="1"/>
  <c r="CF465" i="1"/>
  <c r="BX465" i="1" s="1"/>
  <c r="CD465" i="1"/>
  <c r="BT465" i="1" s="1"/>
  <c r="BR465" i="1" l="1"/>
  <c r="BV465" i="1"/>
  <c r="BN465" i="1"/>
  <c r="BH465" i="1" s="1"/>
  <c r="BP465" i="1"/>
  <c r="BJ465" i="1" s="1"/>
  <c r="BB466" i="1" l="1"/>
  <c r="BF466" i="1"/>
  <c r="AZ466" i="1"/>
  <c r="BD466" i="1"/>
  <c r="CF466" i="1" l="1"/>
  <c r="BX466" i="1" s="1"/>
  <c r="CD466" i="1"/>
  <c r="BT466" i="1" s="1"/>
  <c r="CB466" i="1"/>
  <c r="BN466" i="1" s="1"/>
  <c r="BR466" i="1" l="1"/>
  <c r="BP466" i="1"/>
  <c r="BJ466" i="1" s="1"/>
  <c r="BV466" i="1"/>
  <c r="BH466" i="1" s="1"/>
  <c r="BD467" i="1" l="1"/>
  <c r="AZ467" i="1"/>
  <c r="BB467" i="1"/>
  <c r="BF467" i="1"/>
  <c r="CF467" i="1" l="1"/>
  <c r="BX467" i="1" s="1"/>
  <c r="CD467" i="1"/>
  <c r="BT467" i="1" s="1"/>
  <c r="CB467" i="1"/>
  <c r="BP467" i="1" s="1"/>
  <c r="BJ467" i="1" s="1"/>
  <c r="BB468" i="1" s="1"/>
  <c r="BV467" i="1"/>
  <c r="BR467" i="1" l="1"/>
  <c r="BN467" i="1"/>
  <c r="BH467" i="1" s="1"/>
  <c r="BF468" i="1"/>
  <c r="AZ468" i="1" l="1"/>
  <c r="BD468" i="1"/>
  <c r="CD468" i="1" l="1"/>
  <c r="BT468" i="1" s="1"/>
  <c r="CF468" i="1"/>
  <c r="CB468" i="1"/>
  <c r="BV468" i="1" l="1"/>
  <c r="BX468" i="1"/>
  <c r="BN468" i="1"/>
  <c r="BH468" i="1" s="1"/>
  <c r="BP468" i="1"/>
  <c r="BJ468" i="1" s="1"/>
  <c r="BR468" i="1"/>
  <c r="BB469" i="1" l="1"/>
  <c r="BF469" i="1"/>
  <c r="AZ469" i="1"/>
  <c r="BD469" i="1"/>
  <c r="CD469" i="1" l="1"/>
  <c r="BT469" i="1" s="1"/>
  <c r="CF469" i="1"/>
  <c r="BX469" i="1" s="1"/>
  <c r="BR469" i="1"/>
  <c r="BV469" i="1"/>
  <c r="CB469" i="1"/>
  <c r="BN469" i="1" s="1"/>
  <c r="BP469" i="1"/>
  <c r="BJ469" i="1" s="1"/>
  <c r="BB470" i="1" s="1"/>
  <c r="BF470" i="1" l="1"/>
  <c r="BH469" i="1"/>
  <c r="AZ470" i="1" l="1"/>
  <c r="BD470" i="1"/>
  <c r="CF470" i="1" l="1"/>
  <c r="BX470" i="1" s="1"/>
  <c r="CD470" i="1"/>
  <c r="CB470" i="1"/>
  <c r="BR470" i="1" l="1"/>
  <c r="BT470" i="1"/>
  <c r="BN470" i="1"/>
  <c r="BP470" i="1"/>
  <c r="BJ470" i="1" s="1"/>
  <c r="BV470" i="1"/>
  <c r="BB471" i="1" l="1"/>
  <c r="BF471" i="1"/>
  <c r="BH470" i="1"/>
  <c r="AZ471" i="1" l="1"/>
  <c r="BD471" i="1"/>
  <c r="CF471" i="1" l="1"/>
  <c r="BX471" i="1" s="1"/>
  <c r="CD471" i="1"/>
  <c r="CB471" i="1"/>
  <c r="BN471" i="1" l="1"/>
  <c r="BP471" i="1"/>
  <c r="BR471" i="1"/>
  <c r="BT471" i="1"/>
  <c r="BV471" i="1"/>
  <c r="BJ471" i="1" l="1"/>
  <c r="BH471" i="1"/>
  <c r="BD472" i="1" l="1"/>
  <c r="AZ472" i="1"/>
  <c r="BF472" i="1"/>
  <c r="BB472" i="1"/>
  <c r="CF472" i="1" l="1"/>
  <c r="BX472" i="1" s="1"/>
  <c r="CD472" i="1"/>
  <c r="BT472" i="1" s="1"/>
  <c r="CB472" i="1"/>
  <c r="BN472" i="1" s="1"/>
  <c r="BH472" i="1" s="1"/>
  <c r="BD473" i="1" s="1"/>
  <c r="BR472" i="1"/>
  <c r="BV472" i="1"/>
  <c r="BP472" i="1"/>
  <c r="BJ472" i="1" s="1"/>
  <c r="BF473" i="1" s="1"/>
  <c r="BB473" i="1" l="1"/>
  <c r="AZ473" i="1"/>
  <c r="CF473" i="1" l="1"/>
  <c r="BX473" i="1" s="1"/>
  <c r="CD473" i="1"/>
  <c r="BT473" i="1" s="1"/>
  <c r="CB473" i="1"/>
  <c r="BP473" i="1" s="1"/>
  <c r="BJ473" i="1" s="1"/>
  <c r="BF474" i="1" s="1"/>
  <c r="BV473" i="1"/>
  <c r="BR473" i="1" l="1"/>
  <c r="BH473" i="1" s="1"/>
  <c r="BN473" i="1"/>
  <c r="BB474" i="1"/>
  <c r="BD474" i="1" l="1"/>
  <c r="AZ474" i="1"/>
  <c r="CD474" i="1" l="1"/>
  <c r="BT474" i="1" s="1"/>
  <c r="CF474" i="1"/>
  <c r="BX474" i="1" s="1"/>
  <c r="CB474" i="1"/>
  <c r="BV474" i="1"/>
  <c r="BR474" i="1"/>
  <c r="BN474" i="1" l="1"/>
  <c r="BH474" i="1" s="1"/>
  <c r="BP474" i="1"/>
  <c r="BJ474" i="1" s="1"/>
  <c r="BF475" i="1" l="1"/>
  <c r="BB475" i="1"/>
  <c r="AZ475" i="1"/>
  <c r="BD475" i="1"/>
  <c r="CD475" i="1" l="1"/>
  <c r="BT475" i="1" s="1"/>
  <c r="CF475" i="1"/>
  <c r="BX475" i="1" s="1"/>
  <c r="CB475" i="1"/>
  <c r="BP475" i="1" s="1"/>
  <c r="BJ475" i="1" s="1"/>
  <c r="BF476" i="1" s="1"/>
  <c r="BN475" i="1"/>
  <c r="BH475" i="1" s="1"/>
  <c r="BD476" i="1" s="1"/>
  <c r="BV475" i="1"/>
  <c r="BR475" i="1"/>
  <c r="BB476" i="1" l="1"/>
  <c r="AZ476" i="1"/>
  <c r="CB476" i="1" l="1"/>
  <c r="CD476" i="1"/>
  <c r="BR476" i="1" s="1"/>
  <c r="BN476" i="1"/>
  <c r="CF476" i="1"/>
  <c r="BV476" i="1" s="1"/>
  <c r="BP476" i="1"/>
  <c r="BX476" i="1"/>
  <c r="BT476" i="1"/>
  <c r="BJ476" i="1" s="1"/>
  <c r="BH476" i="1" l="1"/>
  <c r="BB477" i="1"/>
  <c r="BF477" i="1"/>
  <c r="BD477" i="1" l="1"/>
  <c r="AZ477" i="1"/>
  <c r="CF477" i="1" l="1"/>
  <c r="BX477" i="1" s="1"/>
  <c r="CD477" i="1"/>
  <c r="BT477" i="1" s="1"/>
  <c r="CB477" i="1"/>
  <c r="BP477" i="1" s="1"/>
  <c r="BJ477" i="1" s="1"/>
  <c r="BV477" i="1"/>
  <c r="BR477" i="1"/>
  <c r="BF478" i="1" l="1"/>
  <c r="BB478" i="1"/>
  <c r="BN477" i="1"/>
  <c r="BH477" i="1" s="1"/>
  <c r="AZ478" i="1" l="1"/>
  <c r="BD478" i="1"/>
  <c r="CF478" i="1" l="1"/>
  <c r="BX478" i="1" s="1"/>
  <c r="CD478" i="1"/>
  <c r="BT478" i="1" s="1"/>
  <c r="CB478" i="1"/>
  <c r="BP478" i="1" s="1"/>
  <c r="BJ478" i="1" s="1"/>
  <c r="BV478" i="1"/>
  <c r="BB479" i="1" l="1"/>
  <c r="BF479" i="1"/>
  <c r="BR478" i="1"/>
  <c r="BN478" i="1"/>
  <c r="BH478" i="1" l="1"/>
  <c r="AZ479" i="1" l="1"/>
  <c r="BD479" i="1"/>
  <c r="CB479" i="1" l="1"/>
  <c r="BP479" i="1" s="1"/>
  <c r="CD479" i="1"/>
  <c r="BT479" i="1" s="1"/>
  <c r="CF479" i="1"/>
  <c r="BV479" i="1" l="1"/>
  <c r="BX479" i="1"/>
  <c r="BJ479" i="1" s="1"/>
  <c r="BR479" i="1"/>
  <c r="BH479" i="1" s="1"/>
  <c r="BN479" i="1"/>
  <c r="AZ480" i="1" l="1"/>
  <c r="BD480" i="1"/>
  <c r="BF480" i="1"/>
  <c r="BB480" i="1"/>
  <c r="CF480" i="1" l="1"/>
  <c r="BV480" i="1" s="1"/>
  <c r="CD480" i="1"/>
  <c r="BR480" i="1" s="1"/>
  <c r="CB480" i="1"/>
  <c r="BN480" i="1" s="1"/>
  <c r="BH480" i="1" s="1"/>
  <c r="AZ481" i="1" s="1"/>
  <c r="BX480" i="1" l="1"/>
  <c r="BJ480" i="1" s="1"/>
  <c r="BP480" i="1"/>
  <c r="BD481" i="1"/>
  <c r="BT480" i="1"/>
  <c r="BF481" i="1" l="1"/>
  <c r="BB481" i="1"/>
  <c r="BP481" i="1" l="1"/>
  <c r="CD481" i="1"/>
  <c r="BR481" i="1" s="1"/>
  <c r="CB481" i="1"/>
  <c r="BN481" i="1" s="1"/>
  <c r="CF481" i="1"/>
  <c r="BV481" i="1" s="1"/>
  <c r="BT481" i="1" l="1"/>
  <c r="BJ481" i="1" s="1"/>
  <c r="BH481" i="1"/>
  <c r="BX481" i="1"/>
  <c r="BB482" i="1" l="1"/>
  <c r="BF482" i="1"/>
  <c r="AZ482" i="1"/>
  <c r="BD482" i="1"/>
  <c r="CB482" i="1" l="1"/>
  <c r="BP482" i="1" s="1"/>
  <c r="CF482" i="1"/>
  <c r="BX482" i="1" s="1"/>
  <c r="BN482" i="1"/>
  <c r="BV482" i="1"/>
  <c r="CD482" i="1"/>
  <c r="BR482" i="1" s="1"/>
  <c r="BT482" i="1"/>
  <c r="BH482" i="1" l="1"/>
  <c r="BJ482" i="1"/>
  <c r="BB483" i="1" l="1"/>
  <c r="BF483" i="1"/>
  <c r="AZ483" i="1"/>
  <c r="BD483" i="1"/>
  <c r="CF483" i="1" l="1"/>
  <c r="BX483" i="1" s="1"/>
  <c r="CD483" i="1"/>
  <c r="BT483" i="1" s="1"/>
  <c r="CB483" i="1"/>
  <c r="BP483" i="1" s="1"/>
  <c r="BJ483" i="1" s="1"/>
  <c r="BB484" i="1" s="1"/>
  <c r="BN483" i="1"/>
  <c r="BV483" i="1"/>
  <c r="BF484" i="1" l="1"/>
  <c r="BR483" i="1"/>
  <c r="BH483" i="1" s="1"/>
  <c r="AZ484" i="1" l="1"/>
  <c r="BD484" i="1"/>
  <c r="CB484" i="1" l="1"/>
  <c r="BP484" i="1" s="1"/>
  <c r="CF484" i="1"/>
  <c r="BX484" i="1" s="1"/>
  <c r="CD484" i="1"/>
  <c r="BT484" i="1" s="1"/>
  <c r="BJ484" i="1" l="1"/>
  <c r="BR484" i="1"/>
  <c r="BN484" i="1"/>
  <c r="BH484" i="1" s="1"/>
  <c r="BV484" i="1"/>
  <c r="AZ485" i="1" l="1"/>
  <c r="BD485" i="1"/>
  <c r="BB485" i="1"/>
  <c r="BF485" i="1"/>
  <c r="CD485" i="1" l="1"/>
  <c r="BR485" i="1" s="1"/>
  <c r="CF485" i="1"/>
  <c r="BV485" i="1" s="1"/>
  <c r="BH485" i="1" s="1"/>
  <c r="CB485" i="1"/>
  <c r="BN485" i="1" s="1"/>
  <c r="AZ486" i="1" l="1"/>
  <c r="BD486" i="1"/>
  <c r="BP485" i="1"/>
  <c r="BX485" i="1"/>
  <c r="BJ485" i="1" s="1"/>
  <c r="BT485" i="1"/>
  <c r="BB486" i="1" l="1"/>
  <c r="CD486" i="1" s="1"/>
  <c r="BF486" i="1"/>
  <c r="CB486" i="1"/>
  <c r="BP486" i="1" s="1"/>
  <c r="BT486" i="1" l="1"/>
  <c r="BR486" i="1"/>
  <c r="BN486" i="1"/>
  <c r="CF486" i="1"/>
  <c r="BX486" i="1" l="1"/>
  <c r="BJ486" i="1" s="1"/>
  <c r="BV486" i="1"/>
  <c r="BH486" i="1" s="1"/>
  <c r="AZ487" i="1" l="1"/>
  <c r="BD487" i="1"/>
  <c r="BB487" i="1"/>
  <c r="BF487" i="1"/>
  <c r="CF487" i="1" l="1"/>
  <c r="BX487" i="1" s="1"/>
  <c r="CB487" i="1"/>
  <c r="BN487" i="1" s="1"/>
  <c r="CD487" i="1"/>
  <c r="BT487" i="1" s="1"/>
  <c r="BR487" i="1" l="1"/>
  <c r="BV487" i="1"/>
  <c r="BH487" i="1" s="1"/>
  <c r="BP487" i="1"/>
  <c r="BJ487" i="1" s="1"/>
  <c r="AZ488" i="1" l="1"/>
  <c r="BD488" i="1"/>
  <c r="BB488" i="1"/>
  <c r="BF488" i="1"/>
  <c r="CD488" i="1" l="1"/>
  <c r="BT488" i="1" s="1"/>
  <c r="CB488" i="1"/>
  <c r="BP488" i="1" s="1"/>
  <c r="BJ488" i="1" s="1"/>
  <c r="BB489" i="1" s="1"/>
  <c r="CF488" i="1"/>
  <c r="BX488" i="1" s="1"/>
  <c r="BV488" i="1"/>
  <c r="BR488" i="1"/>
  <c r="BN488" i="1" l="1"/>
  <c r="BH488" i="1" s="1"/>
  <c r="BF489" i="1"/>
  <c r="AZ489" i="1" l="1"/>
  <c r="BD489" i="1"/>
  <c r="CF489" i="1" l="1"/>
  <c r="BX489" i="1" s="1"/>
  <c r="CD489" i="1"/>
  <c r="BT489" i="1" s="1"/>
  <c r="CB489" i="1"/>
  <c r="BP489" i="1" s="1"/>
  <c r="BJ489" i="1" s="1"/>
  <c r="BR489" i="1"/>
  <c r="BV489" i="1"/>
  <c r="BN489" i="1"/>
  <c r="BB490" i="1" l="1"/>
  <c r="BF490" i="1"/>
  <c r="BH489" i="1"/>
  <c r="AZ490" i="1" l="1"/>
  <c r="BD490" i="1"/>
  <c r="CF490" i="1" l="1"/>
  <c r="BX490" i="1" s="1"/>
  <c r="CD490" i="1"/>
  <c r="BT490" i="1" s="1"/>
  <c r="CB490" i="1"/>
  <c r="BP490" i="1" s="1"/>
  <c r="BJ490" i="1" s="1"/>
  <c r="BV490" i="1"/>
  <c r="BR490" i="1"/>
  <c r="BB491" i="1" l="1"/>
  <c r="BF491" i="1"/>
  <c r="BN490" i="1"/>
  <c r="BH490" i="1" s="1"/>
  <c r="AZ491" i="1" l="1"/>
  <c r="BD491" i="1"/>
  <c r="CF491" i="1" l="1"/>
  <c r="CD491" i="1"/>
  <c r="BT491" i="1" s="1"/>
  <c r="CB491" i="1"/>
  <c r="BP491" i="1" s="1"/>
  <c r="BR491" i="1"/>
  <c r="BN491" i="1" l="1"/>
  <c r="BV491" i="1"/>
  <c r="BX491" i="1"/>
  <c r="BJ491" i="1" s="1"/>
  <c r="BB492" i="1" l="1"/>
  <c r="BF492" i="1"/>
  <c r="BH491" i="1"/>
  <c r="AZ492" i="1" l="1"/>
  <c r="BD492" i="1"/>
  <c r="CB492" i="1" l="1"/>
  <c r="BP492" i="1" s="1"/>
  <c r="CF492" i="1"/>
  <c r="BX492" i="1" s="1"/>
  <c r="CD492" i="1"/>
  <c r="BT492" i="1" s="1"/>
  <c r="BJ492" i="1" s="1"/>
  <c r="BN492" i="1"/>
  <c r="BR492" i="1"/>
  <c r="BB493" i="1" l="1"/>
  <c r="BF493" i="1"/>
  <c r="BV492" i="1"/>
  <c r="BH492" i="1" s="1"/>
  <c r="AZ493" i="1" l="1"/>
  <c r="BD493" i="1"/>
  <c r="CF493" i="1" l="1"/>
  <c r="BX493" i="1" s="1"/>
  <c r="CD493" i="1"/>
  <c r="BT493" i="1" s="1"/>
  <c r="CB493" i="1"/>
  <c r="BP493" i="1" s="1"/>
  <c r="BJ493" i="1" s="1"/>
  <c r="BB494" i="1" l="1"/>
  <c r="BF494" i="1"/>
  <c r="BN493" i="1"/>
  <c r="BV493" i="1"/>
  <c r="BR493" i="1"/>
  <c r="BH493" i="1" l="1"/>
  <c r="BD494" i="1" l="1"/>
  <c r="AZ494" i="1"/>
  <c r="CF494" i="1" l="1"/>
  <c r="BX494" i="1" s="1"/>
  <c r="CB494" i="1"/>
  <c r="BP494" i="1" s="1"/>
  <c r="BJ494" i="1" s="1"/>
  <c r="CD494" i="1"/>
  <c r="BT494" i="1" s="1"/>
  <c r="BR494" i="1"/>
  <c r="BV494" i="1"/>
  <c r="BN494" i="1"/>
  <c r="BF495" i="1" l="1"/>
  <c r="BB495" i="1"/>
  <c r="BH494" i="1"/>
  <c r="AZ495" i="1" l="1"/>
  <c r="BD495" i="1"/>
  <c r="CF495" i="1" l="1"/>
  <c r="CB495" i="1"/>
  <c r="CD495" i="1"/>
  <c r="BT495" i="1" s="1"/>
  <c r="BN495" i="1" l="1"/>
  <c r="BP495" i="1"/>
  <c r="BV495" i="1"/>
  <c r="BX495" i="1"/>
  <c r="BR495" i="1"/>
  <c r="BH495" i="1" s="1"/>
  <c r="BJ495" i="1" l="1"/>
  <c r="BD496" i="1"/>
  <c r="AZ496" i="1"/>
  <c r="BB496" i="1" l="1"/>
  <c r="BF496" i="1"/>
  <c r="CD496" i="1" l="1"/>
  <c r="CF496" i="1"/>
  <c r="CB496" i="1"/>
  <c r="BX496" i="1" l="1"/>
  <c r="BV496" i="1"/>
  <c r="BT496" i="1"/>
  <c r="BR496" i="1"/>
  <c r="BP496" i="1"/>
  <c r="BN496" i="1"/>
  <c r="BH496" i="1" s="1"/>
  <c r="AZ497" i="1" l="1"/>
  <c r="BD497" i="1"/>
  <c r="BJ496" i="1"/>
  <c r="BB497" i="1" l="1"/>
  <c r="BF497" i="1"/>
  <c r="CF497" i="1"/>
  <c r="BV497" i="1" s="1"/>
  <c r="BX497" i="1" l="1"/>
  <c r="CB497" i="1"/>
  <c r="BN497" i="1" s="1"/>
  <c r="CD497" i="1"/>
  <c r="BT497" i="1" l="1"/>
  <c r="BR497" i="1"/>
  <c r="BH497" i="1" s="1"/>
  <c r="BP497" i="1"/>
  <c r="BJ497" i="1" s="1"/>
  <c r="BB498" i="1" l="1"/>
  <c r="BF498" i="1"/>
  <c r="BD498" i="1"/>
  <c r="AZ498" i="1"/>
  <c r="CF498" i="1" l="1"/>
  <c r="BX498" i="1" s="1"/>
  <c r="CD498" i="1"/>
  <c r="BT498" i="1" s="1"/>
  <c r="CB498" i="1"/>
  <c r="BP498" i="1" s="1"/>
  <c r="BJ498" i="1" s="1"/>
  <c r="BB499" i="1" s="1"/>
  <c r="BN498" i="1"/>
  <c r="BH498" i="1" s="1"/>
  <c r="AZ499" i="1" s="1"/>
  <c r="BR498" i="1"/>
  <c r="BV498" i="1"/>
  <c r="BF499" i="1"/>
  <c r="CF499" i="1" l="1"/>
  <c r="BX499" i="1" s="1"/>
  <c r="CB499" i="1"/>
  <c r="BP499" i="1" s="1"/>
  <c r="BJ499" i="1" s="1"/>
  <c r="BB500" i="1" s="1"/>
  <c r="CD499" i="1"/>
  <c r="BT499" i="1" s="1"/>
  <c r="BD499" i="1"/>
  <c r="BN499" i="1" l="1"/>
  <c r="BH499" i="1" s="1"/>
  <c r="AZ500" i="1" s="1"/>
  <c r="BR499" i="1"/>
  <c r="BV499" i="1"/>
  <c r="BF500" i="1"/>
  <c r="BD500" i="1" l="1"/>
  <c r="CD500" i="1"/>
  <c r="BT500" i="1" s="1"/>
  <c r="CB500" i="1"/>
  <c r="BP500" i="1" s="1"/>
  <c r="CF500" i="1"/>
  <c r="BX500" i="1" s="1"/>
  <c r="BN500" i="1"/>
  <c r="BR500" i="1"/>
  <c r="BJ500" i="1" l="1"/>
  <c r="BV500" i="1"/>
  <c r="BH500" i="1" s="1"/>
  <c r="AZ501" i="1" l="1"/>
  <c r="BD501" i="1"/>
  <c r="BB501" i="1"/>
  <c r="BF501" i="1"/>
  <c r="CB501" i="1" l="1"/>
  <c r="BP501" i="1" s="1"/>
  <c r="BJ501" i="1" s="1"/>
  <c r="BF502" i="1" s="1"/>
  <c r="CF501" i="1"/>
  <c r="BX501" i="1" s="1"/>
  <c r="CD501" i="1"/>
  <c r="BT501" i="1" s="1"/>
  <c r="BV501" i="1"/>
  <c r="BN501" i="1"/>
  <c r="BR501" i="1" l="1"/>
  <c r="BB502" i="1"/>
  <c r="BH501" i="1"/>
  <c r="AZ502" i="1" l="1"/>
  <c r="BD502" i="1"/>
  <c r="CB502" i="1" l="1"/>
  <c r="CD502" i="1"/>
  <c r="BT502" i="1" s="1"/>
  <c r="CF502" i="1"/>
  <c r="BX502" i="1" s="1"/>
  <c r="BN502" i="1" l="1"/>
  <c r="BP502" i="1"/>
  <c r="BJ502" i="1" s="1"/>
  <c r="BV502" i="1"/>
  <c r="BR502" i="1"/>
  <c r="BB503" i="1" l="1"/>
  <c r="BF503" i="1"/>
  <c r="BH502" i="1"/>
  <c r="AZ503" i="1" l="1"/>
  <c r="BD503" i="1"/>
  <c r="CD503" i="1" l="1"/>
  <c r="BT503" i="1" s="1"/>
  <c r="CF503" i="1"/>
  <c r="BX503" i="1" s="1"/>
  <c r="CB503" i="1"/>
  <c r="BP503" i="1" s="1"/>
  <c r="BJ503" i="1" s="1"/>
  <c r="BB504" i="1" l="1"/>
  <c r="BF504" i="1"/>
  <c r="BV503" i="1"/>
  <c r="BH503" i="1" s="1"/>
  <c r="BN503" i="1"/>
  <c r="BR503" i="1"/>
  <c r="AZ504" i="1" l="1"/>
  <c r="BD504" i="1"/>
  <c r="CF504" i="1" l="1"/>
  <c r="BX504" i="1" s="1"/>
  <c r="CD504" i="1"/>
  <c r="BT504" i="1" s="1"/>
  <c r="CB504" i="1"/>
  <c r="BP504" i="1" s="1"/>
  <c r="BJ504" i="1" s="1"/>
  <c r="BV504" i="1"/>
  <c r="BB505" i="1" l="1"/>
  <c r="BF505" i="1"/>
  <c r="BR504" i="1"/>
  <c r="BN504" i="1"/>
  <c r="BH504" i="1" s="1"/>
  <c r="AZ505" i="1" l="1"/>
  <c r="BD505" i="1"/>
  <c r="CF505" i="1" l="1"/>
  <c r="BX505" i="1" s="1"/>
  <c r="CD505" i="1"/>
  <c r="BT505" i="1" s="1"/>
  <c r="CB505" i="1"/>
  <c r="BN505" i="1" l="1"/>
  <c r="BP505" i="1"/>
  <c r="BJ505" i="1" s="1"/>
  <c r="BV505" i="1"/>
  <c r="BR505" i="1"/>
  <c r="BB506" i="1" l="1"/>
  <c r="BF506" i="1"/>
  <c r="BH505" i="1"/>
  <c r="AZ506" i="1" l="1"/>
  <c r="BD506" i="1"/>
  <c r="CF506" i="1" l="1"/>
  <c r="BX506" i="1" s="1"/>
  <c r="CD506" i="1"/>
  <c r="BT506" i="1" s="1"/>
  <c r="CB506" i="1"/>
  <c r="BV506" i="1" l="1"/>
  <c r="BR506" i="1"/>
  <c r="BN506" i="1"/>
  <c r="BH506" i="1" s="1"/>
  <c r="BP506" i="1"/>
  <c r="BJ506" i="1" s="1"/>
  <c r="BB507" i="1" l="1"/>
  <c r="BF507" i="1"/>
  <c r="AZ507" i="1"/>
  <c r="BD507" i="1"/>
  <c r="CF507" i="1" l="1"/>
  <c r="BX507" i="1" s="1"/>
  <c r="CD507" i="1"/>
  <c r="BT507" i="1" s="1"/>
  <c r="CB507" i="1"/>
  <c r="BN507" i="1" s="1"/>
  <c r="BP507" i="1" l="1"/>
  <c r="BJ507" i="1" s="1"/>
  <c r="BV507" i="1"/>
  <c r="BR507" i="1"/>
  <c r="BH507" i="1" s="1"/>
  <c r="AZ508" i="1" l="1"/>
  <c r="BD508" i="1"/>
  <c r="BB508" i="1"/>
  <c r="BF508" i="1"/>
  <c r="CF508" i="1" l="1"/>
  <c r="BX508" i="1" s="1"/>
  <c r="CB508" i="1"/>
  <c r="BN508" i="1" s="1"/>
  <c r="CD508" i="1"/>
  <c r="BT508" i="1" s="1"/>
  <c r="BV508" i="1" l="1"/>
  <c r="BR508" i="1"/>
  <c r="BH508" i="1" s="1"/>
  <c r="BP508" i="1"/>
  <c r="BJ508" i="1" s="1"/>
  <c r="AZ509" i="1" l="1"/>
  <c r="BD509" i="1"/>
  <c r="BB509" i="1"/>
  <c r="BF509" i="1"/>
  <c r="CD509" i="1" l="1"/>
  <c r="BR509" i="1" s="1"/>
  <c r="CF509" i="1"/>
  <c r="BV509" i="1" s="1"/>
  <c r="CB509" i="1"/>
  <c r="BP509" i="1" s="1"/>
  <c r="BN509" i="1" l="1"/>
  <c r="BH509" i="1" s="1"/>
  <c r="BX509" i="1"/>
  <c r="BJ509" i="1" s="1"/>
  <c r="BT509" i="1"/>
  <c r="BB510" i="1" l="1"/>
  <c r="BF510" i="1"/>
  <c r="BD510" i="1"/>
  <c r="AZ510" i="1"/>
  <c r="CB510" i="1" l="1"/>
  <c r="BP510" i="1" s="1"/>
  <c r="CF510" i="1"/>
  <c r="BX510" i="1" s="1"/>
  <c r="CD510" i="1"/>
  <c r="BT510" i="1" s="1"/>
  <c r="BN510" i="1"/>
  <c r="BR510" i="1"/>
  <c r="BV510" i="1"/>
  <c r="BH510" i="1" l="1"/>
  <c r="BJ510" i="1"/>
  <c r="BF511" i="1" l="1"/>
  <c r="BB511" i="1"/>
  <c r="AZ511" i="1"/>
  <c r="BD511" i="1"/>
  <c r="CD511" i="1" l="1"/>
  <c r="BT511" i="1" s="1"/>
  <c r="CF511" i="1"/>
  <c r="BV511" i="1" s="1"/>
  <c r="CB511" i="1"/>
  <c r="BP511" i="1" s="1"/>
  <c r="BJ511" i="1" s="1"/>
  <c r="BB512" i="1" s="1"/>
  <c r="BX511" i="1"/>
  <c r="BF512" i="1" l="1"/>
  <c r="BR511" i="1"/>
  <c r="BN511" i="1"/>
  <c r="BH511" i="1" s="1"/>
  <c r="AZ512" i="1" l="1"/>
  <c r="BD512" i="1"/>
  <c r="CB512" i="1" l="1"/>
  <c r="BP512" i="1" s="1"/>
  <c r="CF512" i="1"/>
  <c r="BX512" i="1" s="1"/>
  <c r="CD512" i="1"/>
  <c r="BT512" i="1" s="1"/>
  <c r="BJ512" i="1" l="1"/>
  <c r="BV512" i="1"/>
  <c r="BR512" i="1"/>
  <c r="BN512" i="1"/>
  <c r="BH512" i="1" l="1"/>
  <c r="BB513" i="1"/>
  <c r="BF513" i="1"/>
  <c r="AZ513" i="1" l="1"/>
  <c r="BD513" i="1"/>
  <c r="CF513" i="1" l="1"/>
  <c r="BX513" i="1" s="1"/>
  <c r="CD513" i="1"/>
  <c r="BT513" i="1" s="1"/>
  <c r="CB513" i="1"/>
  <c r="BP513" i="1" s="1"/>
  <c r="BJ513" i="1" s="1"/>
  <c r="BV513" i="1"/>
  <c r="BR513" i="1"/>
  <c r="BN513" i="1" l="1"/>
  <c r="BH513" i="1" s="1"/>
  <c r="BB514" i="1"/>
  <c r="BF514" i="1"/>
  <c r="AZ514" i="1" l="1"/>
  <c r="BD514" i="1"/>
  <c r="CF514" i="1" l="1"/>
  <c r="BX514" i="1" s="1"/>
  <c r="CD514" i="1"/>
  <c r="BT514" i="1" s="1"/>
  <c r="CB514" i="1"/>
  <c r="BP514" i="1" s="1"/>
  <c r="BJ514" i="1" l="1"/>
  <c r="BR514" i="1"/>
  <c r="BN514" i="1"/>
  <c r="BH514" i="1" s="1"/>
  <c r="BV514" i="1"/>
  <c r="AZ515" i="1" l="1"/>
  <c r="BD515" i="1"/>
  <c r="BF515" i="1"/>
  <c r="BB515" i="1"/>
  <c r="CF515" i="1" l="1"/>
  <c r="BX515" i="1" s="1"/>
  <c r="CD515" i="1"/>
  <c r="BR515" i="1" s="1"/>
  <c r="CB515" i="1"/>
  <c r="BN515" i="1" s="1"/>
  <c r="BT515" i="1" l="1"/>
  <c r="BP515" i="1"/>
  <c r="BJ515" i="1" s="1"/>
  <c r="BV515" i="1"/>
  <c r="BH515" i="1" s="1"/>
  <c r="AZ516" i="1" l="1"/>
  <c r="BD516" i="1"/>
  <c r="BB516" i="1"/>
  <c r="BF516" i="1"/>
  <c r="CB516" i="1" l="1"/>
  <c r="BN516" i="1" s="1"/>
  <c r="CD516" i="1"/>
  <c r="BR516" i="1" s="1"/>
  <c r="CF516" i="1"/>
  <c r="BX516" i="1" s="1"/>
  <c r="BV516" i="1" l="1"/>
  <c r="BT516" i="1"/>
  <c r="BP516" i="1"/>
  <c r="BH516" i="1"/>
  <c r="AZ517" i="1" l="1"/>
  <c r="BD517" i="1"/>
  <c r="BJ516" i="1"/>
  <c r="BB517" i="1" l="1"/>
  <c r="BF517" i="1"/>
  <c r="CF517" i="1"/>
  <c r="BX517" i="1" s="1"/>
  <c r="CD517" i="1"/>
  <c r="BT517" i="1" s="1"/>
  <c r="CB517" i="1"/>
  <c r="BP517" i="1" s="1"/>
  <c r="BJ517" i="1" s="1"/>
  <c r="BB518" i="1" s="1"/>
  <c r="BR517" i="1"/>
  <c r="BV517" i="1"/>
  <c r="BF518" i="1" l="1"/>
  <c r="BN517" i="1"/>
  <c r="BH517" i="1" s="1"/>
  <c r="AZ518" i="1" l="1"/>
  <c r="BD518" i="1"/>
  <c r="CD518" i="1" l="1"/>
  <c r="BT518" i="1" s="1"/>
  <c r="CB518" i="1"/>
  <c r="BP518" i="1" s="1"/>
  <c r="BJ518" i="1" s="1"/>
  <c r="CF518" i="1"/>
  <c r="BX518" i="1" s="1"/>
  <c r="BB519" i="1" l="1"/>
  <c r="BF519" i="1"/>
  <c r="BN518" i="1"/>
  <c r="BV518" i="1"/>
  <c r="BR518" i="1"/>
  <c r="BH518" i="1" l="1"/>
  <c r="AZ519" i="1" l="1"/>
  <c r="BD519" i="1"/>
  <c r="CD519" i="1" l="1"/>
  <c r="BT519" i="1" s="1"/>
  <c r="CF519" i="1"/>
  <c r="BX519" i="1" s="1"/>
  <c r="CB519" i="1"/>
  <c r="BP519" i="1" s="1"/>
  <c r="BJ519" i="1" l="1"/>
  <c r="BV519" i="1"/>
  <c r="BR519" i="1"/>
  <c r="BN519" i="1"/>
  <c r="BH519" i="1" l="1"/>
  <c r="BF520" i="1"/>
  <c r="BB520" i="1"/>
  <c r="AZ520" i="1" l="1"/>
  <c r="BD520" i="1"/>
  <c r="CF520" i="1" l="1"/>
  <c r="BX520" i="1" s="1"/>
  <c r="CB520" i="1"/>
  <c r="CD520" i="1"/>
  <c r="BT520" i="1" s="1"/>
  <c r="BV520" i="1"/>
  <c r="BR520" i="1" l="1"/>
  <c r="BN520" i="1"/>
  <c r="BP520" i="1"/>
  <c r="BJ520" i="1" s="1"/>
  <c r="BF521" i="1" l="1"/>
  <c r="BB521" i="1"/>
  <c r="BH520" i="1"/>
  <c r="AZ521" i="1" l="1"/>
  <c r="BD521" i="1"/>
  <c r="CF521" i="1" l="1"/>
  <c r="BX521" i="1" s="1"/>
  <c r="CD521" i="1"/>
  <c r="BT521" i="1" s="1"/>
  <c r="CB521" i="1"/>
  <c r="BV521" i="1"/>
  <c r="BR521" i="1"/>
  <c r="BN521" i="1" l="1"/>
  <c r="BH521" i="1" s="1"/>
  <c r="BP521" i="1"/>
  <c r="BJ521" i="1" s="1"/>
  <c r="BB522" i="1" l="1"/>
  <c r="BF522" i="1"/>
  <c r="AZ522" i="1"/>
  <c r="BD522" i="1"/>
  <c r="CF522" i="1" l="1"/>
  <c r="BX522" i="1" s="1"/>
  <c r="CD522" i="1"/>
  <c r="BT522" i="1" s="1"/>
  <c r="CB522" i="1"/>
  <c r="BN522" i="1" s="1"/>
  <c r="BR522" i="1"/>
  <c r="BP522" i="1"/>
  <c r="BJ522" i="1" s="1"/>
  <c r="BB523" i="1" s="1"/>
  <c r="BV522" i="1" l="1"/>
  <c r="BF523" i="1"/>
  <c r="BH522" i="1"/>
  <c r="AZ523" i="1" l="1"/>
  <c r="BD523" i="1"/>
  <c r="CD523" i="1" l="1"/>
  <c r="BT523" i="1" s="1"/>
  <c r="CB523" i="1"/>
  <c r="BP523" i="1" s="1"/>
  <c r="BJ523" i="1" s="1"/>
  <c r="CF523" i="1"/>
  <c r="BX523" i="1" s="1"/>
  <c r="BB524" i="1" l="1"/>
  <c r="BF524" i="1"/>
  <c r="BN523" i="1"/>
  <c r="BH523" i="1" s="1"/>
  <c r="BV523" i="1"/>
  <c r="BR523" i="1"/>
  <c r="AZ524" i="1" l="1"/>
  <c r="BD524" i="1"/>
  <c r="CD524" i="1" l="1"/>
  <c r="BT524" i="1" s="1"/>
  <c r="CB524" i="1"/>
  <c r="BP524" i="1" s="1"/>
  <c r="BJ524" i="1" s="1"/>
  <c r="CF524" i="1"/>
  <c r="BX524" i="1" s="1"/>
  <c r="BR524" i="1"/>
  <c r="BF525" i="1" l="1"/>
  <c r="BB525" i="1"/>
  <c r="BN524" i="1"/>
  <c r="BH524" i="1" s="1"/>
  <c r="BV524" i="1"/>
  <c r="AZ525" i="1" l="1"/>
  <c r="BD525" i="1"/>
  <c r="CF525" i="1" l="1"/>
  <c r="CB525" i="1"/>
  <c r="CD525" i="1"/>
  <c r="BT525" i="1" s="1"/>
  <c r="BN525" i="1" l="1"/>
  <c r="BP525" i="1"/>
  <c r="BJ525" i="1" s="1"/>
  <c r="BV525" i="1"/>
  <c r="BX525" i="1"/>
  <c r="BR525" i="1"/>
  <c r="BB526" i="1" l="1"/>
  <c r="BF526" i="1"/>
  <c r="BH525" i="1"/>
  <c r="AZ526" i="1" l="1"/>
  <c r="BD526" i="1"/>
  <c r="CF526" i="1" l="1"/>
  <c r="BX526" i="1" s="1"/>
  <c r="CD526" i="1"/>
  <c r="CB526" i="1"/>
  <c r="BV526" i="1" l="1"/>
  <c r="BR526" i="1"/>
  <c r="BT526" i="1"/>
  <c r="BN526" i="1"/>
  <c r="BH526" i="1" s="1"/>
  <c r="BP526" i="1"/>
  <c r="AZ527" i="1" l="1"/>
  <c r="BD527" i="1"/>
  <c r="BJ526" i="1"/>
  <c r="BB527" i="1" l="1"/>
  <c r="BF527" i="1"/>
  <c r="CF527" i="1"/>
  <c r="BX527" i="1" s="1"/>
  <c r="CD527" i="1"/>
  <c r="BT527" i="1" s="1"/>
  <c r="CB527" i="1"/>
  <c r="BN527" i="1" s="1"/>
  <c r="BH527" i="1" s="1"/>
  <c r="AZ528" i="1" s="1"/>
  <c r="BV527" i="1"/>
  <c r="BR527" i="1"/>
  <c r="BD528" i="1" l="1"/>
  <c r="BP527" i="1"/>
  <c r="BJ527" i="1" s="1"/>
  <c r="BB528" i="1" s="1"/>
  <c r="BF528" i="1" l="1"/>
  <c r="CD528" i="1"/>
  <c r="CB528" i="1"/>
  <c r="BN528" i="1" s="1"/>
  <c r="CF528" i="1"/>
  <c r="BT528" i="1" l="1"/>
  <c r="BR528" i="1"/>
  <c r="BX528" i="1"/>
  <c r="BV528" i="1"/>
  <c r="BH528" i="1" s="1"/>
  <c r="BP528" i="1"/>
  <c r="BJ528" i="1" s="1"/>
  <c r="BB529" i="1" s="1"/>
  <c r="AZ529" i="1" l="1"/>
  <c r="BD529" i="1"/>
  <c r="BF529" i="1"/>
  <c r="CD529" i="1" l="1"/>
  <c r="BT529" i="1" s="1"/>
  <c r="CF529" i="1"/>
  <c r="BX529" i="1" s="1"/>
  <c r="CB529" i="1"/>
  <c r="BN529" i="1" l="1"/>
  <c r="BP529" i="1"/>
  <c r="BJ529" i="1" s="1"/>
  <c r="BR529" i="1"/>
  <c r="BV529" i="1"/>
  <c r="BB530" i="1" l="1"/>
  <c r="BF530" i="1"/>
  <c r="BH529" i="1"/>
  <c r="AZ530" i="1" l="1"/>
  <c r="BD530" i="1"/>
  <c r="CF530" i="1" l="1"/>
  <c r="BX530" i="1" s="1"/>
  <c r="CD530" i="1"/>
  <c r="BT530" i="1" s="1"/>
  <c r="CB530" i="1"/>
  <c r="BP530" i="1" s="1"/>
  <c r="BJ530" i="1" s="1"/>
  <c r="BV530" i="1"/>
  <c r="BB531" i="1" l="1"/>
  <c r="BF531" i="1"/>
  <c r="BR530" i="1"/>
  <c r="BN530" i="1"/>
  <c r="BH530" i="1" l="1"/>
  <c r="AZ531" i="1" l="1"/>
  <c r="BD531" i="1"/>
  <c r="CB531" i="1" l="1"/>
  <c r="BP531" i="1" s="1"/>
  <c r="CF531" i="1"/>
  <c r="BX531" i="1" s="1"/>
  <c r="CD531" i="1"/>
  <c r="BT531" i="1" s="1"/>
  <c r="BN531" i="1"/>
  <c r="BJ531" i="1" l="1"/>
  <c r="BV531" i="1"/>
  <c r="BR531" i="1"/>
  <c r="BH531" i="1" s="1"/>
  <c r="AZ532" i="1" l="1"/>
  <c r="BD532" i="1"/>
  <c r="BB532" i="1"/>
  <c r="BF532" i="1"/>
  <c r="CB532" i="1" l="1"/>
  <c r="BP532" i="1" s="1"/>
  <c r="BJ532" i="1" s="1"/>
  <c r="BB533" i="1" s="1"/>
  <c r="CD532" i="1"/>
  <c r="BT532" i="1" s="1"/>
  <c r="CF532" i="1"/>
  <c r="BX532" i="1" s="1"/>
  <c r="BR532" i="1"/>
  <c r="BV532" i="1"/>
  <c r="BN532" i="1" l="1"/>
  <c r="BH532" i="1" s="1"/>
  <c r="BF533" i="1"/>
  <c r="AZ533" i="1" l="1"/>
  <c r="BD533" i="1"/>
  <c r="CB533" i="1" l="1"/>
  <c r="BP533" i="1" s="1"/>
  <c r="CF533" i="1"/>
  <c r="BX533" i="1" s="1"/>
  <c r="CD533" i="1"/>
  <c r="BT533" i="1" s="1"/>
  <c r="BN533" i="1"/>
  <c r="BV533" i="1"/>
  <c r="BR533" i="1"/>
  <c r="BH533" i="1" l="1"/>
  <c r="BJ533" i="1"/>
  <c r="BF534" i="1" l="1"/>
  <c r="BB534" i="1"/>
  <c r="AZ534" i="1"/>
  <c r="BD534" i="1"/>
  <c r="CF534" i="1" l="1"/>
  <c r="BX534" i="1" s="1"/>
  <c r="CB534" i="1"/>
  <c r="BN534" i="1" s="1"/>
  <c r="CD534" i="1"/>
  <c r="BT534" i="1" s="1"/>
  <c r="BP534" i="1" l="1"/>
  <c r="BJ534" i="1" s="1"/>
  <c r="BV534" i="1"/>
  <c r="BR534" i="1"/>
  <c r="BH534" i="1" s="1"/>
  <c r="AZ535" i="1" l="1"/>
  <c r="BD535" i="1"/>
  <c r="BB535" i="1"/>
  <c r="BF535" i="1"/>
  <c r="CF535" i="1" l="1"/>
  <c r="BX535" i="1" s="1"/>
  <c r="CD535" i="1"/>
  <c r="BT535" i="1" s="1"/>
  <c r="CB535" i="1"/>
  <c r="BN535" i="1" s="1"/>
  <c r="BR535" i="1"/>
  <c r="BV535" i="1" l="1"/>
  <c r="BH535" i="1" s="1"/>
  <c r="BP535" i="1"/>
  <c r="BJ535" i="1" s="1"/>
  <c r="AZ536" i="1" l="1"/>
  <c r="BD536" i="1"/>
  <c r="BB536" i="1"/>
  <c r="BF536" i="1"/>
  <c r="CF536" i="1" l="1"/>
  <c r="BX536" i="1" s="1"/>
  <c r="CB536" i="1"/>
  <c r="BP536" i="1" s="1"/>
  <c r="CD536" i="1"/>
  <c r="BT536" i="1" s="1"/>
  <c r="BN536" i="1"/>
  <c r="BR536" i="1"/>
  <c r="BV536" i="1"/>
  <c r="BH536" i="1" l="1"/>
  <c r="BJ536" i="1"/>
  <c r="BF537" i="1" l="1"/>
  <c r="BB537" i="1"/>
  <c r="AZ537" i="1"/>
  <c r="BD537" i="1"/>
  <c r="CB537" i="1" l="1"/>
  <c r="BP537" i="1" s="1"/>
  <c r="CD537" i="1"/>
  <c r="BT537" i="1" s="1"/>
  <c r="CF537" i="1"/>
  <c r="BX537" i="1" s="1"/>
  <c r="BN537" i="1"/>
  <c r="BJ537" i="1" l="1"/>
  <c r="BV537" i="1"/>
  <c r="BR537" i="1"/>
  <c r="BH537" i="1" s="1"/>
  <c r="AZ538" i="1" l="1"/>
  <c r="BD538" i="1"/>
  <c r="BB538" i="1"/>
  <c r="BF538" i="1"/>
  <c r="CB538" i="1" l="1"/>
  <c r="BP538" i="1" s="1"/>
  <c r="BN538" i="1"/>
  <c r="CF538" i="1"/>
  <c r="BV538" i="1" s="1"/>
  <c r="CD538" i="1"/>
  <c r="BT538" i="1" s="1"/>
  <c r="BX538" i="1" l="1"/>
  <c r="BJ538" i="1" s="1"/>
  <c r="BR538" i="1"/>
  <c r="BH538" i="1" s="1"/>
  <c r="AZ539" i="1" l="1"/>
  <c r="BD539" i="1"/>
  <c r="BB539" i="1"/>
  <c r="BF539" i="1"/>
  <c r="CD539" i="1" l="1"/>
  <c r="BT539" i="1" s="1"/>
  <c r="CB539" i="1"/>
  <c r="BP539" i="1" s="1"/>
  <c r="BJ539" i="1" s="1"/>
  <c r="BB540" i="1" s="1"/>
  <c r="CF539" i="1"/>
  <c r="BX539" i="1" s="1"/>
  <c r="BV539" i="1"/>
  <c r="BR539" i="1" l="1"/>
  <c r="BN539" i="1"/>
  <c r="BH539" i="1" s="1"/>
  <c r="BF540" i="1"/>
  <c r="AZ540" i="1" l="1"/>
  <c r="BD540" i="1"/>
  <c r="CB540" i="1" l="1"/>
  <c r="BP540" i="1" s="1"/>
  <c r="CF540" i="1"/>
  <c r="BX540" i="1" s="1"/>
  <c r="CD540" i="1"/>
  <c r="BT540" i="1" s="1"/>
  <c r="BN540" i="1"/>
  <c r="BR540" i="1"/>
  <c r="BV540" i="1"/>
  <c r="BH540" i="1" l="1"/>
  <c r="BJ540" i="1"/>
  <c r="BB541" i="1" l="1"/>
  <c r="BF541" i="1"/>
  <c r="AZ541" i="1"/>
  <c r="BD541" i="1"/>
  <c r="CB541" i="1" l="1"/>
  <c r="BP541" i="1" s="1"/>
  <c r="BJ541" i="1" s="1"/>
  <c r="BB542" i="1" s="1"/>
  <c r="CD541" i="1"/>
  <c r="BT541" i="1" s="1"/>
  <c r="CF541" i="1"/>
  <c r="BX541" i="1" s="1"/>
  <c r="BF542" i="1" l="1"/>
  <c r="BV541" i="1"/>
  <c r="BR541" i="1"/>
  <c r="BN541" i="1"/>
  <c r="BH541" i="1" s="1"/>
  <c r="AZ542" i="1" l="1"/>
  <c r="BD542" i="1"/>
  <c r="CB542" i="1" l="1"/>
  <c r="CF542" i="1"/>
  <c r="BX542" i="1" s="1"/>
  <c r="CD542" i="1"/>
  <c r="BT542" i="1" s="1"/>
  <c r="BN542" i="1" l="1"/>
  <c r="BP542" i="1"/>
  <c r="BJ542" i="1" s="1"/>
  <c r="BR542" i="1"/>
  <c r="BV542" i="1"/>
  <c r="BB543" i="1" l="1"/>
  <c r="BF543" i="1"/>
  <c r="BH542" i="1"/>
  <c r="AZ543" i="1" l="1"/>
  <c r="BD543" i="1"/>
  <c r="CF543" i="1" l="1"/>
  <c r="BX543" i="1" s="1"/>
  <c r="BV543" i="1"/>
  <c r="CB543" i="1"/>
  <c r="CD543" i="1"/>
  <c r="BN543" i="1" l="1"/>
  <c r="BP543" i="1"/>
  <c r="BJ543" i="1" s="1"/>
  <c r="BR543" i="1"/>
  <c r="BT543" i="1"/>
  <c r="BB544" i="1" l="1"/>
  <c r="BF544" i="1"/>
  <c r="BH543" i="1"/>
  <c r="AZ544" i="1" l="1"/>
  <c r="BD544" i="1"/>
  <c r="CB544" i="1" l="1"/>
  <c r="BP544" i="1" s="1"/>
  <c r="CF544" i="1"/>
  <c r="BX544" i="1" s="1"/>
  <c r="CD544" i="1"/>
  <c r="BT544" i="1" s="1"/>
  <c r="BJ544" i="1" l="1"/>
  <c r="BV544" i="1"/>
  <c r="BR544" i="1"/>
  <c r="BN544" i="1"/>
  <c r="BH544" i="1" l="1"/>
  <c r="BB545" i="1"/>
  <c r="BF545" i="1"/>
  <c r="AZ545" i="1" l="1"/>
  <c r="BD545" i="1"/>
  <c r="CB545" i="1" l="1"/>
  <c r="BP545" i="1" s="1"/>
  <c r="CF545" i="1"/>
  <c r="BX545" i="1" s="1"/>
  <c r="CD545" i="1"/>
  <c r="BT545" i="1" s="1"/>
  <c r="BN545" i="1"/>
  <c r="BR545" i="1"/>
  <c r="BV545" i="1"/>
  <c r="BH545" i="1" l="1"/>
  <c r="BJ545" i="1"/>
  <c r="BB546" i="1" l="1"/>
  <c r="BF546" i="1"/>
  <c r="AZ546" i="1"/>
  <c r="BD546" i="1"/>
  <c r="CD546" i="1" l="1"/>
  <c r="BT546" i="1" s="1"/>
  <c r="CF546" i="1"/>
  <c r="BX546" i="1" s="1"/>
  <c r="CB546" i="1"/>
  <c r="BP546" i="1" s="1"/>
  <c r="BJ546" i="1" s="1"/>
  <c r="BB547" i="1" s="1"/>
  <c r="BF547" i="1" l="1"/>
  <c r="BN546" i="1"/>
  <c r="BV546" i="1"/>
  <c r="BR546" i="1"/>
  <c r="BH546" i="1" l="1"/>
  <c r="AZ547" i="1" l="1"/>
  <c r="BD547" i="1"/>
  <c r="CF547" i="1" l="1"/>
  <c r="BX547" i="1" s="1"/>
  <c r="CD547" i="1"/>
  <c r="CB547" i="1"/>
  <c r="BV547" i="1" l="1"/>
  <c r="BR547" i="1"/>
  <c r="BT547" i="1"/>
  <c r="BN547" i="1"/>
  <c r="BH547" i="1" s="1"/>
  <c r="BP547" i="1"/>
  <c r="BD548" i="1" l="1"/>
  <c r="AZ548" i="1"/>
  <c r="BJ547" i="1"/>
  <c r="BB548" i="1" l="1"/>
  <c r="BF548" i="1"/>
  <c r="CD548" i="1"/>
  <c r="BT548" i="1" s="1"/>
  <c r="CB548" i="1"/>
  <c r="BP548" i="1" s="1"/>
  <c r="BJ548" i="1" s="1"/>
  <c r="BB549" i="1" s="1"/>
  <c r="CF548" i="1"/>
  <c r="BX548" i="1" s="1"/>
  <c r="BV548" i="1"/>
  <c r="BR548" i="1"/>
  <c r="BN548" i="1"/>
  <c r="BH548" i="1" s="1"/>
  <c r="AZ549" i="1" s="1"/>
  <c r="CD549" i="1" l="1"/>
  <c r="BT549" i="1" s="1"/>
  <c r="CB549" i="1"/>
  <c r="BP549" i="1" s="1"/>
  <c r="CF549" i="1"/>
  <c r="BX549" i="1" s="1"/>
  <c r="BR549" i="1"/>
  <c r="BV549" i="1"/>
  <c r="BF549" i="1"/>
  <c r="BD549" i="1"/>
  <c r="BN549" i="1" l="1"/>
  <c r="BH549" i="1" s="1"/>
  <c r="AZ550" i="1" s="1"/>
  <c r="BJ549" i="1"/>
  <c r="BB550" i="1" s="1"/>
  <c r="BF550" i="1" l="1"/>
  <c r="CF550" i="1"/>
  <c r="BX550" i="1" s="1"/>
  <c r="CB550" i="1"/>
  <c r="BP550" i="1" s="1"/>
  <c r="BJ550" i="1" s="1"/>
  <c r="BB551" i="1" s="1"/>
  <c r="CD550" i="1"/>
  <c r="BT550" i="1" s="1"/>
  <c r="BV550" i="1"/>
  <c r="BN550" i="1"/>
  <c r="BD550" i="1"/>
  <c r="BR550" i="1" l="1"/>
  <c r="BH550" i="1" s="1"/>
  <c r="BF551" i="1"/>
  <c r="AZ551" i="1" l="1"/>
  <c r="BD551" i="1"/>
  <c r="CD551" i="1" l="1"/>
  <c r="BT551" i="1" s="1"/>
  <c r="CB551" i="1"/>
  <c r="BP551" i="1" s="1"/>
  <c r="BJ551" i="1" s="1"/>
  <c r="CF551" i="1"/>
  <c r="BX551" i="1" s="1"/>
  <c r="BR551" i="1"/>
  <c r="BB552" i="1" l="1"/>
  <c r="BF552" i="1"/>
  <c r="BV551" i="1"/>
  <c r="BN551" i="1"/>
  <c r="BH551" i="1" l="1"/>
  <c r="AZ552" i="1" l="1"/>
  <c r="BD552" i="1"/>
  <c r="CD552" i="1" l="1"/>
  <c r="BT552" i="1" s="1"/>
  <c r="CF552" i="1"/>
  <c r="BX552" i="1" s="1"/>
  <c r="CB552" i="1"/>
  <c r="BR552" i="1" l="1"/>
  <c r="BV552" i="1"/>
  <c r="BN552" i="1"/>
  <c r="BP552" i="1"/>
  <c r="BJ552" i="1" s="1"/>
  <c r="BB553" i="1" l="1"/>
  <c r="BF553" i="1"/>
  <c r="BH552" i="1"/>
  <c r="AZ553" i="1" l="1"/>
  <c r="BD553" i="1"/>
  <c r="CF553" i="1" l="1"/>
  <c r="BX553" i="1" s="1"/>
  <c r="CD553" i="1"/>
  <c r="BT553" i="1" s="1"/>
  <c r="CB553" i="1"/>
  <c r="BR553" i="1" l="1"/>
  <c r="BN553" i="1"/>
  <c r="BH553" i="1" s="1"/>
  <c r="BP553" i="1"/>
  <c r="BJ553" i="1" s="1"/>
  <c r="BV553" i="1"/>
  <c r="BB554" i="1" l="1"/>
  <c r="BF554" i="1"/>
  <c r="AZ554" i="1"/>
  <c r="BD554" i="1"/>
  <c r="CB554" i="1" l="1"/>
  <c r="BP554" i="1" s="1"/>
  <c r="BJ554" i="1" s="1"/>
  <c r="BB555" i="1" s="1"/>
  <c r="CF554" i="1"/>
  <c r="BX554" i="1" s="1"/>
  <c r="CD554" i="1"/>
  <c r="BT554" i="1" s="1"/>
  <c r="BV554" i="1"/>
  <c r="BN554" i="1"/>
  <c r="BF555" i="1" l="1"/>
  <c r="BR554" i="1"/>
  <c r="BH554" i="1" s="1"/>
  <c r="AZ555" i="1" l="1"/>
  <c r="BD555" i="1"/>
  <c r="CD555" i="1" l="1"/>
  <c r="BT555" i="1" s="1"/>
  <c r="CB555" i="1"/>
  <c r="CF555" i="1"/>
  <c r="BX555" i="1" s="1"/>
  <c r="BN555" i="1" l="1"/>
  <c r="BP555" i="1"/>
  <c r="BJ555" i="1" s="1"/>
  <c r="BV555" i="1"/>
  <c r="BR555" i="1"/>
  <c r="BB556" i="1" l="1"/>
  <c r="BF556" i="1"/>
  <c r="BH555" i="1"/>
  <c r="AZ556" i="1" l="1"/>
  <c r="BD556" i="1"/>
  <c r="CF556" i="1" l="1"/>
  <c r="BX556" i="1" s="1"/>
  <c r="CD556" i="1"/>
  <c r="BT556" i="1" s="1"/>
  <c r="CB556" i="1"/>
  <c r="BR556" i="1" l="1"/>
  <c r="BN556" i="1"/>
  <c r="BH556" i="1" s="1"/>
  <c r="BP556" i="1"/>
  <c r="BJ556" i="1" s="1"/>
  <c r="BV556" i="1"/>
  <c r="BB557" i="1" l="1"/>
  <c r="BF557" i="1"/>
  <c r="AZ557" i="1"/>
  <c r="BD557" i="1"/>
  <c r="CF557" i="1" l="1"/>
  <c r="BX557" i="1" s="1"/>
  <c r="CD557" i="1"/>
  <c r="BT557" i="1" s="1"/>
  <c r="BV557" i="1"/>
  <c r="CB557" i="1"/>
  <c r="BN557" i="1" s="1"/>
  <c r="BR557" i="1"/>
  <c r="BP557" i="1"/>
  <c r="BJ557" i="1" s="1"/>
  <c r="BB558" i="1" s="1"/>
  <c r="BF558" i="1" l="1"/>
  <c r="BH557" i="1"/>
  <c r="AZ558" i="1" l="1"/>
  <c r="BD558" i="1"/>
  <c r="CF558" i="1" l="1"/>
  <c r="BX558" i="1" s="1"/>
  <c r="CD558" i="1"/>
  <c r="BT558" i="1" s="1"/>
  <c r="CB558" i="1"/>
  <c r="BP558" i="1" s="1"/>
  <c r="BJ558" i="1" s="1"/>
  <c r="BV558" i="1"/>
  <c r="BH558" i="1" s="1"/>
  <c r="BD559" i="1" s="1"/>
  <c r="BN558" i="1"/>
  <c r="BR558" i="1"/>
  <c r="BB559" i="1" l="1"/>
  <c r="BF559" i="1"/>
  <c r="AZ559" i="1"/>
  <c r="CD559" i="1" l="1"/>
  <c r="BT559" i="1" s="1"/>
  <c r="CF559" i="1"/>
  <c r="BX559" i="1" s="1"/>
  <c r="CB559" i="1"/>
  <c r="BN559" i="1" s="1"/>
  <c r="BV559" i="1"/>
  <c r="BP559" i="1" l="1"/>
  <c r="BJ559" i="1" s="1"/>
  <c r="BR559" i="1"/>
  <c r="BH559" i="1" s="1"/>
  <c r="AZ560" i="1" l="1"/>
  <c r="BD560" i="1"/>
  <c r="BF560" i="1"/>
  <c r="BB560" i="1"/>
  <c r="CF560" i="1" l="1"/>
  <c r="BV560" i="1" s="1"/>
  <c r="CD560" i="1"/>
  <c r="BT560" i="1" s="1"/>
  <c r="CB560" i="1"/>
  <c r="BN560" i="1" s="1"/>
  <c r="BR560" i="1" l="1"/>
  <c r="BH560" i="1" s="1"/>
  <c r="BP560" i="1"/>
  <c r="BX560" i="1"/>
  <c r="AZ561" i="1" l="1"/>
  <c r="BD561" i="1"/>
  <c r="BJ560" i="1"/>
  <c r="CF561" i="1" l="1"/>
  <c r="BX561" i="1" s="1"/>
  <c r="CB561" i="1"/>
  <c r="BN561" i="1" s="1"/>
  <c r="BV561" i="1"/>
  <c r="BB561" i="1"/>
  <c r="BF561" i="1"/>
  <c r="BP561" i="1" l="1"/>
  <c r="CD561" i="1"/>
  <c r="BT561" i="1" l="1"/>
  <c r="BJ561" i="1" s="1"/>
  <c r="BR561" i="1"/>
  <c r="BH561" i="1" s="1"/>
  <c r="BB562" i="1" l="1"/>
  <c r="BF562" i="1"/>
  <c r="AZ562" i="1"/>
  <c r="BD562" i="1"/>
  <c r="BX562" i="1" l="1"/>
  <c r="CB562" i="1"/>
  <c r="BP562" i="1" s="1"/>
  <c r="CD562" i="1"/>
  <c r="BT562" i="1" s="1"/>
  <c r="CF562" i="1"/>
  <c r="BV562" i="1" s="1"/>
  <c r="BR562" i="1"/>
  <c r="BN562" i="1"/>
  <c r="BH562" i="1" l="1"/>
  <c r="BJ562" i="1"/>
  <c r="BD563" i="1" l="1"/>
  <c r="AZ563" i="1"/>
  <c r="BB563" i="1"/>
  <c r="BF563" i="1"/>
  <c r="CF563" i="1" l="1"/>
  <c r="BV563" i="1" s="1"/>
  <c r="CB563" i="1"/>
  <c r="BP563" i="1" s="1"/>
  <c r="BN563" i="1"/>
  <c r="CD563" i="1"/>
  <c r="BT563" i="1" s="1"/>
  <c r="BR563" i="1"/>
  <c r="BH563" i="1" l="1"/>
  <c r="BX563" i="1"/>
  <c r="BJ563" i="1" s="1"/>
  <c r="BB564" i="1" l="1"/>
  <c r="BF564" i="1"/>
  <c r="AZ564" i="1"/>
  <c r="BD564" i="1"/>
  <c r="CB564" i="1" l="1"/>
  <c r="BN564" i="1" s="1"/>
  <c r="CF564" i="1"/>
  <c r="BV564" i="1" s="1"/>
  <c r="CD564" i="1"/>
  <c r="BR564" i="1" s="1"/>
  <c r="BP564" i="1"/>
  <c r="BH564" i="1" l="1"/>
  <c r="BX564" i="1"/>
  <c r="BJ564" i="1" s="1"/>
  <c r="BT564" i="1"/>
  <c r="BB565" i="1" l="1"/>
  <c r="BF565" i="1"/>
  <c r="AZ565" i="1"/>
  <c r="BD565" i="1"/>
  <c r="CF565" i="1" l="1"/>
  <c r="BV565" i="1" s="1"/>
  <c r="CD565" i="1"/>
  <c r="BT565" i="1" s="1"/>
  <c r="CB565" i="1"/>
  <c r="BN565" i="1" s="1"/>
  <c r="BX565" i="1"/>
  <c r="BP565" i="1"/>
  <c r="BJ565" i="1" s="1"/>
  <c r="BB566" i="1" s="1"/>
  <c r="BF566" i="1" l="1"/>
  <c r="BR565" i="1"/>
  <c r="BH565" i="1" s="1"/>
  <c r="AZ566" i="1" l="1"/>
  <c r="BD566" i="1"/>
  <c r="CD566" i="1" l="1"/>
  <c r="BT566" i="1" s="1"/>
  <c r="CB566" i="1"/>
  <c r="BP566" i="1" s="1"/>
  <c r="CF566" i="1"/>
  <c r="BR566" i="1"/>
  <c r="BN566" i="1" l="1"/>
  <c r="BH566" i="1" s="1"/>
  <c r="BV566" i="1"/>
  <c r="BX566" i="1"/>
  <c r="BJ566" i="1" s="1"/>
  <c r="AZ567" i="1" l="1"/>
  <c r="BD567" i="1"/>
  <c r="BB567" i="1"/>
  <c r="BF567" i="1"/>
  <c r="CD567" i="1" l="1"/>
  <c r="BT567" i="1" s="1"/>
  <c r="CF567" i="1"/>
  <c r="BX567" i="1" s="1"/>
  <c r="CB567" i="1"/>
  <c r="BN567" i="1" s="1"/>
  <c r="BR567" i="1"/>
  <c r="BP567" i="1" l="1"/>
  <c r="BJ567" i="1" s="1"/>
  <c r="BV567" i="1"/>
  <c r="BH567" i="1" s="1"/>
  <c r="AZ568" i="1" l="1"/>
  <c r="BD568" i="1"/>
  <c r="BB568" i="1"/>
  <c r="BF568" i="1"/>
  <c r="CD568" i="1" l="1"/>
  <c r="BT568" i="1" s="1"/>
  <c r="CF568" i="1"/>
  <c r="BX568" i="1" s="1"/>
  <c r="CB568" i="1"/>
  <c r="BN568" i="1" s="1"/>
  <c r="BR568" i="1"/>
  <c r="BV568" i="1" l="1"/>
  <c r="BH568" i="1" s="1"/>
  <c r="BP568" i="1"/>
  <c r="BJ568" i="1" s="1"/>
  <c r="AZ569" i="1" l="1"/>
  <c r="BD569" i="1"/>
  <c r="BB569" i="1"/>
  <c r="BF569" i="1"/>
  <c r="CD569" i="1" l="1"/>
  <c r="BT569" i="1" s="1"/>
  <c r="CF569" i="1"/>
  <c r="BX569" i="1" s="1"/>
  <c r="BV569" i="1"/>
  <c r="CB569" i="1"/>
  <c r="BN569" i="1" s="1"/>
  <c r="BP569" i="1" l="1"/>
  <c r="BJ569" i="1" s="1"/>
  <c r="BR569" i="1"/>
  <c r="BH569" i="1" s="1"/>
  <c r="AZ570" i="1" l="1"/>
  <c r="BD570" i="1"/>
  <c r="BB570" i="1"/>
  <c r="BF570" i="1"/>
  <c r="CF570" i="1" l="1"/>
  <c r="BX570" i="1" s="1"/>
  <c r="CD570" i="1"/>
  <c r="BR570" i="1" s="1"/>
  <c r="CB570" i="1"/>
  <c r="BP570" i="1" s="1"/>
  <c r="BN570" i="1"/>
  <c r="BV570" i="1"/>
  <c r="BH570" i="1" l="1"/>
  <c r="BT570" i="1"/>
  <c r="BJ570" i="1" s="1"/>
  <c r="BB571" i="1" l="1"/>
  <c r="BF571" i="1"/>
  <c r="AZ571" i="1"/>
  <c r="BD571" i="1"/>
  <c r="CB571" i="1" l="1"/>
  <c r="BP571" i="1" s="1"/>
  <c r="CF571" i="1"/>
  <c r="BX571" i="1" s="1"/>
  <c r="CD571" i="1"/>
  <c r="BT571" i="1" s="1"/>
  <c r="BN571" i="1"/>
  <c r="BH571" i="1" s="1"/>
  <c r="AZ572" i="1" s="1"/>
  <c r="BR571" i="1"/>
  <c r="BV571" i="1"/>
  <c r="BD572" i="1" l="1"/>
  <c r="BJ571" i="1"/>
  <c r="BF572" i="1" l="1"/>
  <c r="BB572" i="1"/>
  <c r="BP572" i="1" l="1"/>
  <c r="CB572" i="1"/>
  <c r="BN572" i="1" s="1"/>
  <c r="CD572" i="1"/>
  <c r="CF572" i="1"/>
  <c r="BX572" i="1" l="1"/>
  <c r="BV572" i="1"/>
  <c r="BH572" i="1" s="1"/>
  <c r="BT572" i="1"/>
  <c r="BJ572" i="1" s="1"/>
  <c r="BR572" i="1"/>
  <c r="BB573" i="1" l="1"/>
  <c r="BF573" i="1"/>
  <c r="AZ573" i="1"/>
  <c r="BD573" i="1"/>
  <c r="CD573" i="1" l="1"/>
  <c r="BT573" i="1" s="1"/>
  <c r="CF573" i="1"/>
  <c r="BX573" i="1" s="1"/>
  <c r="CB573" i="1"/>
  <c r="BN573" i="1" s="1"/>
  <c r="BV573" i="1"/>
  <c r="BP573" i="1" l="1"/>
  <c r="BJ573" i="1" s="1"/>
  <c r="BR573" i="1"/>
  <c r="BH573" i="1" s="1"/>
  <c r="AZ574" i="1" l="1"/>
  <c r="BD574" i="1"/>
  <c r="BB574" i="1"/>
  <c r="BF574" i="1"/>
  <c r="CF574" i="1" l="1"/>
  <c r="BX574" i="1" s="1"/>
  <c r="CD574" i="1"/>
  <c r="BT574" i="1" s="1"/>
  <c r="CB574" i="1"/>
  <c r="BN574" i="1" s="1"/>
  <c r="BR574" i="1"/>
  <c r="BV574" i="1" l="1"/>
  <c r="BH574" i="1" s="1"/>
  <c r="BP574" i="1"/>
  <c r="BJ574" i="1" s="1"/>
  <c r="AZ575" i="1" l="1"/>
  <c r="BD575" i="1"/>
  <c r="BB575" i="1"/>
  <c r="BF575" i="1"/>
  <c r="CB575" i="1" l="1"/>
  <c r="BP575" i="1" s="1"/>
  <c r="CF575" i="1"/>
  <c r="BX575" i="1" s="1"/>
  <c r="CD575" i="1"/>
  <c r="BT575" i="1" s="1"/>
  <c r="BV575" i="1"/>
  <c r="BR575" i="1" l="1"/>
  <c r="BJ575" i="1"/>
  <c r="BN575" i="1"/>
  <c r="BH575" i="1" l="1"/>
  <c r="BB576" i="1"/>
  <c r="BF576" i="1"/>
  <c r="BD576" i="1" l="1"/>
  <c r="AZ576" i="1"/>
  <c r="CB576" i="1" l="1"/>
  <c r="BP576" i="1" s="1"/>
  <c r="CF576" i="1"/>
  <c r="BX576" i="1" s="1"/>
  <c r="CD576" i="1"/>
  <c r="BT576" i="1" s="1"/>
  <c r="BN576" i="1"/>
  <c r="BV576" i="1"/>
  <c r="BR576" i="1" l="1"/>
  <c r="BH576" i="1" s="1"/>
  <c r="BJ576" i="1"/>
  <c r="AZ577" i="1" l="1"/>
  <c r="BD577" i="1"/>
  <c r="BB577" i="1"/>
  <c r="BF577" i="1"/>
  <c r="CB577" i="1" l="1"/>
  <c r="BP577" i="1" s="1"/>
  <c r="CD577" i="1"/>
  <c r="BT577" i="1" s="1"/>
  <c r="CF577" i="1"/>
  <c r="BX577" i="1" s="1"/>
  <c r="BN577" i="1"/>
  <c r="BV577" i="1"/>
  <c r="BJ577" i="1" l="1"/>
  <c r="BR577" i="1"/>
  <c r="BH577" i="1" s="1"/>
  <c r="AZ578" i="1" l="1"/>
  <c r="BD578" i="1"/>
  <c r="BB578" i="1"/>
  <c r="BF578" i="1"/>
  <c r="CD578" i="1" l="1"/>
  <c r="BT578" i="1" s="1"/>
  <c r="CF578" i="1"/>
  <c r="BX578" i="1" s="1"/>
  <c r="CB578" i="1"/>
  <c r="BN578" i="1" s="1"/>
  <c r="BR578" i="1"/>
  <c r="BV578" i="1"/>
  <c r="BH578" i="1" l="1"/>
  <c r="BP578" i="1"/>
  <c r="BJ578" i="1" s="1"/>
  <c r="BB579" i="1" l="1"/>
  <c r="BF579" i="1"/>
  <c r="AZ579" i="1"/>
  <c r="BD579" i="1"/>
  <c r="CD579" i="1" l="1"/>
  <c r="BT579" i="1" s="1"/>
  <c r="CB579" i="1"/>
  <c r="BP579" i="1" s="1"/>
  <c r="BJ579" i="1" s="1"/>
  <c r="BF580" i="1" s="1"/>
  <c r="CF579" i="1"/>
  <c r="BX579" i="1" s="1"/>
  <c r="BR579" i="1"/>
  <c r="BV579" i="1"/>
  <c r="BB580" i="1" l="1"/>
  <c r="BN579" i="1"/>
  <c r="BH579" i="1" s="1"/>
  <c r="BD580" i="1" l="1"/>
  <c r="AZ580" i="1"/>
  <c r="CD580" i="1" l="1"/>
  <c r="BT580" i="1" s="1"/>
  <c r="CB580" i="1"/>
  <c r="BP580" i="1" s="1"/>
  <c r="CF580" i="1"/>
  <c r="BX580" i="1" s="1"/>
  <c r="BN580" i="1"/>
  <c r="BR580" i="1"/>
  <c r="BJ580" i="1" l="1"/>
  <c r="BV580" i="1"/>
  <c r="BH580" i="1" s="1"/>
  <c r="BD581" i="1" l="1"/>
  <c r="AZ581" i="1"/>
  <c r="BB581" i="1"/>
  <c r="BF581" i="1"/>
  <c r="CB581" i="1" l="1"/>
  <c r="BP581" i="1" s="1"/>
  <c r="CF581" i="1"/>
  <c r="BX581" i="1" s="1"/>
  <c r="CD581" i="1"/>
  <c r="BT581" i="1" s="1"/>
  <c r="BN581" i="1"/>
  <c r="BJ581" i="1" l="1"/>
  <c r="BV581" i="1"/>
  <c r="BR581" i="1"/>
  <c r="BH581" i="1" s="1"/>
  <c r="AZ582" i="1" l="1"/>
  <c r="BD582" i="1"/>
  <c r="BB582" i="1"/>
  <c r="BF582" i="1"/>
  <c r="CB582" i="1" l="1"/>
  <c r="BP582" i="1" s="1"/>
  <c r="BJ582" i="1" s="1"/>
  <c r="BF583" i="1" s="1"/>
  <c r="CD582" i="1"/>
  <c r="BT582" i="1" s="1"/>
  <c r="CF582" i="1"/>
  <c r="BX582" i="1" s="1"/>
  <c r="BR582" i="1"/>
  <c r="BV582" i="1"/>
  <c r="BB583" i="1" l="1"/>
  <c r="BN582" i="1"/>
  <c r="BH582" i="1" s="1"/>
  <c r="AZ583" i="1" l="1"/>
  <c r="BD583" i="1"/>
  <c r="CF583" i="1" l="1"/>
  <c r="BX583" i="1" s="1"/>
  <c r="CD583" i="1"/>
  <c r="BT583" i="1" s="1"/>
  <c r="CB583" i="1"/>
  <c r="BV583" i="1"/>
  <c r="BN583" i="1" l="1"/>
  <c r="BP583" i="1"/>
  <c r="BJ583" i="1" s="1"/>
  <c r="BR583" i="1"/>
  <c r="BB584" i="1" l="1"/>
  <c r="BF584" i="1"/>
  <c r="BH583" i="1"/>
  <c r="AZ584" i="1" l="1"/>
  <c r="BD584" i="1"/>
  <c r="CD584" i="1" l="1"/>
  <c r="BT584" i="1" s="1"/>
  <c r="CF584" i="1"/>
  <c r="BX584" i="1" s="1"/>
  <c r="CB584" i="1"/>
  <c r="BN584" i="1" l="1"/>
  <c r="BP584" i="1"/>
  <c r="BJ584" i="1" s="1"/>
  <c r="BV584" i="1"/>
  <c r="BR584" i="1"/>
  <c r="BB585" i="1" l="1"/>
  <c r="BF585" i="1"/>
  <c r="BH584" i="1"/>
  <c r="AZ585" i="1" l="1"/>
  <c r="BD585" i="1"/>
  <c r="CF585" i="1" l="1"/>
  <c r="BX585" i="1" s="1"/>
  <c r="CD585" i="1"/>
  <c r="BT585" i="1" s="1"/>
  <c r="CB585" i="1"/>
  <c r="BP585" i="1" s="1"/>
  <c r="BJ585" i="1" s="1"/>
  <c r="BV585" i="1"/>
  <c r="BR585" i="1"/>
  <c r="BF586" i="1" l="1"/>
  <c r="BB586" i="1"/>
  <c r="BN585" i="1"/>
  <c r="BH585" i="1" s="1"/>
  <c r="AZ586" i="1" l="1"/>
  <c r="BD586" i="1"/>
  <c r="CD586" i="1" l="1"/>
  <c r="BT586" i="1" s="1"/>
  <c r="CF586" i="1"/>
  <c r="BX586" i="1" s="1"/>
  <c r="CB586" i="1"/>
  <c r="BN586" i="1" l="1"/>
  <c r="BP586" i="1"/>
  <c r="BJ586" i="1"/>
  <c r="BR586" i="1"/>
  <c r="BV586" i="1"/>
  <c r="BF587" i="1" l="1"/>
  <c r="BB587" i="1"/>
  <c r="BH586" i="1"/>
  <c r="AZ587" i="1" l="1"/>
  <c r="BD587" i="1"/>
  <c r="CF587" i="1" l="1"/>
  <c r="CD587" i="1"/>
  <c r="BT587" i="1" s="1"/>
  <c r="CB587" i="1"/>
  <c r="BR587" i="1" l="1"/>
  <c r="BN587" i="1"/>
  <c r="BP587" i="1"/>
  <c r="BJ587" i="1" s="1"/>
  <c r="BV587" i="1"/>
  <c r="BX587" i="1"/>
  <c r="BB588" i="1" l="1"/>
  <c r="BF588" i="1"/>
  <c r="BH587" i="1"/>
  <c r="BD588" i="1" l="1"/>
  <c r="AZ588" i="1"/>
  <c r="CB588" i="1" l="1"/>
  <c r="BP588" i="1" s="1"/>
  <c r="CD588" i="1"/>
  <c r="BT588" i="1" s="1"/>
  <c r="CF588" i="1"/>
  <c r="BX588" i="1" s="1"/>
  <c r="BN588" i="1"/>
  <c r="BR588" i="1"/>
  <c r="BV588" i="1"/>
  <c r="BH588" i="1" l="1"/>
  <c r="BJ588" i="1"/>
  <c r="BB589" i="1" l="1"/>
  <c r="BF589" i="1"/>
  <c r="AZ589" i="1"/>
  <c r="BD589" i="1"/>
  <c r="CD589" i="1" l="1"/>
  <c r="BR589" i="1" s="1"/>
  <c r="CF589" i="1"/>
  <c r="BV589" i="1" s="1"/>
  <c r="CB589" i="1"/>
  <c r="BN589" i="1" s="1"/>
  <c r="BP589" i="1"/>
  <c r="BT589" i="1" l="1"/>
  <c r="BJ589" i="1" s="1"/>
  <c r="BX589" i="1"/>
  <c r="BH589" i="1"/>
  <c r="BB590" i="1" l="1"/>
  <c r="BF590" i="1"/>
  <c r="AZ590" i="1"/>
  <c r="BD590" i="1"/>
  <c r="CD590" i="1" l="1"/>
  <c r="BR590" i="1" s="1"/>
  <c r="BH590" i="1" s="1"/>
  <c r="CB590" i="1"/>
  <c r="BN590" i="1" s="1"/>
  <c r="CF590" i="1"/>
  <c r="BV590" i="1" s="1"/>
  <c r="AZ591" i="1" l="1"/>
  <c r="BD591" i="1"/>
  <c r="BX590" i="1"/>
  <c r="BT590" i="1"/>
  <c r="BP590" i="1"/>
  <c r="BJ590" i="1" l="1"/>
  <c r="BB591" i="1" l="1"/>
  <c r="BF591" i="1"/>
  <c r="CD591" i="1" l="1"/>
  <c r="CF591" i="1"/>
  <c r="CB591" i="1"/>
  <c r="BP591" i="1" l="1"/>
  <c r="BN591" i="1"/>
  <c r="BX591" i="1"/>
  <c r="BV591" i="1"/>
  <c r="BH591" i="1" s="1"/>
  <c r="BT591" i="1"/>
  <c r="BR591" i="1"/>
  <c r="AZ592" i="1" l="1"/>
  <c r="BD592" i="1"/>
  <c r="BJ591" i="1"/>
  <c r="BB592" i="1" l="1"/>
  <c r="BF592" i="1"/>
  <c r="CD592" i="1"/>
  <c r="BT592" i="1" s="1"/>
  <c r="CF592" i="1"/>
  <c r="BX592" i="1" s="1"/>
  <c r="CB592" i="1"/>
  <c r="BP592" i="1" s="1"/>
  <c r="BJ592" i="1" s="1"/>
  <c r="BB593" i="1" s="1"/>
  <c r="BV592" i="1"/>
  <c r="BN592" i="1"/>
  <c r="BH592" i="1" s="1"/>
  <c r="AZ593" i="1" s="1"/>
  <c r="BR592" i="1"/>
  <c r="CF593" i="1" l="1"/>
  <c r="BX593" i="1" s="1"/>
  <c r="CD593" i="1"/>
  <c r="BT593" i="1" s="1"/>
  <c r="BV593" i="1"/>
  <c r="CB593" i="1"/>
  <c r="BN593" i="1" s="1"/>
  <c r="BD593" i="1"/>
  <c r="BP593" i="1"/>
  <c r="BJ593" i="1" s="1"/>
  <c r="BB594" i="1" s="1"/>
  <c r="BF593" i="1"/>
  <c r="BF594" i="1" l="1"/>
  <c r="BR593" i="1"/>
  <c r="BH593" i="1" s="1"/>
  <c r="AZ594" i="1" l="1"/>
  <c r="BD594" i="1"/>
  <c r="CD594" i="1" l="1"/>
  <c r="BT594" i="1" s="1"/>
  <c r="CF594" i="1"/>
  <c r="BX594" i="1" s="1"/>
  <c r="CB594" i="1"/>
  <c r="BR594" i="1"/>
  <c r="BN594" i="1" l="1"/>
  <c r="BP594" i="1"/>
  <c r="BJ594" i="1" s="1"/>
  <c r="BV594" i="1"/>
  <c r="BB595" i="1" l="1"/>
  <c r="BF595" i="1"/>
  <c r="BH594" i="1"/>
  <c r="AZ595" i="1" l="1"/>
  <c r="BD595" i="1"/>
  <c r="CD595" i="1" l="1"/>
  <c r="CB595" i="1"/>
  <c r="BP595" i="1" s="1"/>
  <c r="CF595" i="1"/>
  <c r="BX595" i="1" s="1"/>
  <c r="BV595" i="1" l="1"/>
  <c r="BN595" i="1"/>
  <c r="BR595" i="1"/>
  <c r="BT595" i="1"/>
  <c r="BJ595" i="1" s="1"/>
  <c r="BB596" i="1" l="1"/>
  <c r="BF596" i="1"/>
  <c r="BH595" i="1"/>
  <c r="AZ596" i="1" l="1"/>
  <c r="BD596" i="1"/>
  <c r="CB596" i="1" l="1"/>
  <c r="BP596" i="1" s="1"/>
  <c r="CD596" i="1"/>
  <c r="BT596" i="1" s="1"/>
  <c r="CF596" i="1"/>
  <c r="BX596" i="1" s="1"/>
  <c r="BV596" i="1"/>
  <c r="BJ596" i="1" l="1"/>
  <c r="BR596" i="1"/>
  <c r="BN596" i="1"/>
  <c r="BH596" i="1" s="1"/>
  <c r="AZ597" i="1" l="1"/>
  <c r="BD597" i="1"/>
  <c r="BF597" i="1"/>
  <c r="BB597" i="1"/>
  <c r="CB597" i="1" l="1"/>
  <c r="BP597" i="1" s="1"/>
  <c r="CD597" i="1"/>
  <c r="BT597" i="1" s="1"/>
  <c r="CF597" i="1"/>
  <c r="BV597" i="1" s="1"/>
  <c r="BN597" i="1"/>
  <c r="BH597" i="1" s="1"/>
  <c r="AZ598" i="1" s="1"/>
  <c r="BR597" i="1"/>
  <c r="BD598" i="1" l="1"/>
  <c r="BX597" i="1"/>
  <c r="BJ597" i="1" s="1"/>
  <c r="BB598" i="1" l="1"/>
  <c r="BF598" i="1"/>
  <c r="CF598" i="1" l="1"/>
  <c r="CD598" i="1"/>
  <c r="CB598" i="1"/>
  <c r="BN598" i="1" s="1"/>
  <c r="BT598" i="1" l="1"/>
  <c r="BR598" i="1"/>
  <c r="BX598" i="1"/>
  <c r="BV598" i="1"/>
  <c r="BH598" i="1" s="1"/>
  <c r="BP598" i="1"/>
  <c r="AZ599" i="1" l="1"/>
  <c r="BD599" i="1"/>
  <c r="BJ598" i="1"/>
  <c r="BB599" i="1" l="1"/>
  <c r="BF599" i="1"/>
  <c r="CF599" i="1"/>
  <c r="BX599" i="1" s="1"/>
  <c r="CB599" i="1"/>
  <c r="BP599" i="1" s="1"/>
  <c r="BV599" i="1"/>
  <c r="BN599" i="1" l="1"/>
  <c r="CD599" i="1"/>
  <c r="BR599" i="1" s="1"/>
  <c r="BT599" i="1" l="1"/>
  <c r="BJ599" i="1" s="1"/>
  <c r="BH599" i="1"/>
  <c r="BD600" i="1" l="1"/>
  <c r="AZ600" i="1"/>
  <c r="BB600" i="1"/>
  <c r="BF600" i="1"/>
  <c r="CB600" i="1" l="1"/>
  <c r="BP600" i="1" s="1"/>
  <c r="CF600" i="1"/>
  <c r="BX600" i="1" s="1"/>
  <c r="CD600" i="1"/>
  <c r="BT600" i="1" s="1"/>
  <c r="BN600" i="1"/>
  <c r="BJ600" i="1" l="1"/>
  <c r="BV600" i="1"/>
  <c r="BR600" i="1"/>
  <c r="BH600" i="1" s="1"/>
  <c r="AZ601" i="1" l="1"/>
  <c r="BD601" i="1"/>
  <c r="BB601" i="1"/>
  <c r="BF601" i="1"/>
  <c r="CF601" i="1" l="1"/>
  <c r="BX601" i="1" s="1"/>
  <c r="CD601" i="1"/>
  <c r="BT601" i="1" s="1"/>
  <c r="CB601" i="1"/>
  <c r="BN601" i="1" s="1"/>
  <c r="BR601" i="1"/>
  <c r="BV601" i="1" l="1"/>
  <c r="BH601" i="1" s="1"/>
  <c r="BP601" i="1"/>
  <c r="BJ601" i="1" s="1"/>
  <c r="AZ602" i="1" l="1"/>
  <c r="BD602" i="1"/>
  <c r="BB602" i="1"/>
  <c r="BF602" i="1"/>
  <c r="CD602" i="1" l="1"/>
  <c r="BT602" i="1" s="1"/>
  <c r="CF602" i="1"/>
  <c r="BX602" i="1" s="1"/>
  <c r="BR602" i="1"/>
  <c r="BV602" i="1"/>
  <c r="CB602" i="1"/>
  <c r="BN602" i="1" s="1"/>
  <c r="BH602" i="1" l="1"/>
  <c r="BP602" i="1"/>
  <c r="BJ602" i="1" s="1"/>
  <c r="BB603" i="1" l="1"/>
  <c r="BF603" i="1"/>
  <c r="AZ603" i="1"/>
  <c r="BD603" i="1"/>
  <c r="CF603" i="1" l="1"/>
  <c r="BX603" i="1" s="1"/>
  <c r="CB603" i="1"/>
  <c r="BN603" i="1" s="1"/>
  <c r="CD603" i="1"/>
  <c r="BR603" i="1" s="1"/>
  <c r="BV603" i="1"/>
  <c r="BT603" i="1"/>
  <c r="BH603" i="1" l="1"/>
  <c r="BP603" i="1"/>
  <c r="BJ603" i="1" s="1"/>
  <c r="BB604" i="1" l="1"/>
  <c r="BF604" i="1"/>
  <c r="AZ604" i="1"/>
  <c r="BD604" i="1"/>
  <c r="CD604" i="1" l="1"/>
  <c r="BT604" i="1" s="1"/>
  <c r="CF604" i="1"/>
  <c r="BX604" i="1" s="1"/>
  <c r="CB604" i="1"/>
  <c r="BN604" i="1" s="1"/>
  <c r="BP604" i="1"/>
  <c r="BJ604" i="1" l="1"/>
  <c r="BV604" i="1"/>
  <c r="BR604" i="1"/>
  <c r="BH604" i="1" s="1"/>
  <c r="BD605" i="1" l="1"/>
  <c r="AZ605" i="1"/>
  <c r="BB605" i="1"/>
  <c r="BF605" i="1"/>
  <c r="CF605" i="1" l="1"/>
  <c r="BX605" i="1" s="1"/>
  <c r="CB605" i="1"/>
  <c r="BN605" i="1" s="1"/>
  <c r="CD605" i="1"/>
  <c r="BT605" i="1" s="1"/>
  <c r="BR605" i="1"/>
  <c r="BV605" i="1"/>
  <c r="BP605" i="1" l="1"/>
  <c r="BJ605" i="1" s="1"/>
  <c r="BH605" i="1"/>
  <c r="AZ606" i="1" l="1"/>
  <c r="BD606" i="1"/>
  <c r="BF606" i="1"/>
  <c r="BB606" i="1"/>
  <c r="CD606" i="1" l="1"/>
  <c r="BT606" i="1" s="1"/>
  <c r="CB606" i="1"/>
  <c r="BP606" i="1" s="1"/>
  <c r="BJ606" i="1" s="1"/>
  <c r="BF607" i="1" s="1"/>
  <c r="CF606" i="1"/>
  <c r="BX606" i="1" s="1"/>
  <c r="BV606" i="1"/>
  <c r="BR606" i="1" l="1"/>
  <c r="BN606" i="1"/>
  <c r="BH606" i="1" s="1"/>
  <c r="BB607" i="1"/>
  <c r="AZ607" i="1" l="1"/>
  <c r="BD607" i="1"/>
  <c r="CF607" i="1" l="1"/>
  <c r="BX607" i="1" s="1"/>
  <c r="CD607" i="1"/>
  <c r="BT607" i="1" s="1"/>
  <c r="CB607" i="1"/>
  <c r="BP607" i="1" s="1"/>
  <c r="BJ607" i="1" s="1"/>
  <c r="BV607" i="1"/>
  <c r="BR607" i="1"/>
  <c r="BN607" i="1" l="1"/>
  <c r="BH607" i="1" s="1"/>
  <c r="BF608" i="1"/>
  <c r="BB608" i="1"/>
  <c r="BD608" i="1" l="1"/>
  <c r="AZ608" i="1"/>
  <c r="CF608" i="1" l="1"/>
  <c r="BX608" i="1" s="1"/>
  <c r="CD608" i="1"/>
  <c r="BT608" i="1" s="1"/>
  <c r="CB608" i="1"/>
  <c r="BP608" i="1" s="1"/>
  <c r="BJ608" i="1" s="1"/>
  <c r="BB609" i="1" l="1"/>
  <c r="BF609" i="1"/>
  <c r="BR608" i="1"/>
  <c r="BN608" i="1"/>
  <c r="BV608" i="1"/>
  <c r="BH608" i="1" l="1"/>
  <c r="AZ609" i="1" l="1"/>
  <c r="BD609" i="1"/>
  <c r="CF609" i="1" l="1"/>
  <c r="BX609" i="1" s="1"/>
  <c r="CD609" i="1"/>
  <c r="BT609" i="1" s="1"/>
  <c r="CB609" i="1"/>
  <c r="BP609" i="1" s="1"/>
  <c r="BJ609" i="1" s="1"/>
  <c r="BV609" i="1"/>
  <c r="BR609" i="1"/>
  <c r="BF610" i="1" l="1"/>
  <c r="BB610" i="1"/>
  <c r="BN609" i="1"/>
  <c r="BH609" i="1" s="1"/>
  <c r="BD610" i="1" l="1"/>
  <c r="AZ610" i="1"/>
  <c r="CD610" i="1" l="1"/>
  <c r="BT610" i="1" s="1"/>
  <c r="CB610" i="1"/>
  <c r="BP610" i="1" s="1"/>
  <c r="CF610" i="1"/>
  <c r="BN610" i="1"/>
  <c r="BR610" i="1"/>
  <c r="BV610" i="1" l="1"/>
  <c r="BH610" i="1" s="1"/>
  <c r="BX610" i="1"/>
  <c r="BJ610" i="1" s="1"/>
  <c r="AZ611" i="1" l="1"/>
  <c r="BD611" i="1"/>
  <c r="BF611" i="1"/>
  <c r="BB611" i="1"/>
  <c r="CD611" i="1" l="1"/>
  <c r="BT611" i="1" s="1"/>
  <c r="CB611" i="1"/>
  <c r="BP611" i="1" s="1"/>
  <c r="CF611" i="1"/>
  <c r="BX611" i="1" s="1"/>
  <c r="BV611" i="1"/>
  <c r="BN611" i="1"/>
  <c r="BJ611" i="1" l="1"/>
  <c r="BR611" i="1"/>
  <c r="BH611" i="1" s="1"/>
  <c r="AZ612" i="1" l="1"/>
  <c r="BD612" i="1"/>
  <c r="BB612" i="1"/>
  <c r="BF612" i="1"/>
  <c r="CB612" i="1" l="1"/>
  <c r="BP612" i="1" s="1"/>
  <c r="BJ612" i="1" s="1"/>
  <c r="BF613" i="1" s="1"/>
  <c r="CD612" i="1"/>
  <c r="BT612" i="1" s="1"/>
  <c r="CF612" i="1"/>
  <c r="BX612" i="1" s="1"/>
  <c r="BN612" i="1"/>
  <c r="BH612" i="1" s="1"/>
  <c r="BD613" i="1" s="1"/>
  <c r="BR612" i="1"/>
  <c r="BV612" i="1"/>
  <c r="BB613" i="1" l="1"/>
  <c r="AZ613" i="1"/>
  <c r="CF613" i="1" l="1"/>
  <c r="BX613" i="1" s="1"/>
  <c r="CD613" i="1"/>
  <c r="BT613" i="1" s="1"/>
  <c r="CB613" i="1"/>
  <c r="BP613" i="1" s="1"/>
  <c r="BJ613" i="1" s="1"/>
  <c r="BF614" i="1" s="1"/>
  <c r="BN613" i="1" l="1"/>
  <c r="BV613" i="1"/>
  <c r="BR613" i="1"/>
  <c r="BB614" i="1"/>
  <c r="BH613" i="1" l="1"/>
  <c r="BD614" i="1" l="1"/>
  <c r="AZ614" i="1"/>
  <c r="CB614" i="1" l="1"/>
  <c r="BP614" i="1" s="1"/>
  <c r="CF614" i="1"/>
  <c r="BX614" i="1" s="1"/>
  <c r="CD614" i="1"/>
  <c r="BT614" i="1" s="1"/>
  <c r="BV614" i="1"/>
  <c r="BN614" i="1"/>
  <c r="BR614" i="1" l="1"/>
  <c r="BH614" i="1" s="1"/>
  <c r="BJ614" i="1"/>
  <c r="AZ615" i="1" l="1"/>
  <c r="BD615" i="1"/>
  <c r="BF615" i="1"/>
  <c r="BB615" i="1"/>
  <c r="CF615" i="1" l="1"/>
  <c r="BX615" i="1" s="1"/>
  <c r="CB615" i="1"/>
  <c r="BP615" i="1" s="1"/>
  <c r="CD615" i="1"/>
  <c r="BR615" i="1" s="1"/>
  <c r="BV615" i="1"/>
  <c r="BN615" i="1"/>
  <c r="BH615" i="1" s="1"/>
  <c r="AZ616" i="1" s="1"/>
  <c r="BD616" i="1" l="1"/>
  <c r="BT615" i="1"/>
  <c r="BJ615" i="1" s="1"/>
  <c r="BB616" i="1" l="1"/>
  <c r="BF616" i="1"/>
  <c r="CB616" i="1" l="1"/>
  <c r="CF616" i="1"/>
  <c r="CD616" i="1"/>
  <c r="BT616" i="1" l="1"/>
  <c r="BR616" i="1"/>
  <c r="BP616" i="1"/>
  <c r="BJ616" i="1" s="1"/>
  <c r="BN616" i="1"/>
  <c r="BH616" i="1" s="1"/>
  <c r="BX616" i="1"/>
  <c r="BV616" i="1"/>
  <c r="BD617" i="1" l="1"/>
  <c r="AZ617" i="1"/>
  <c r="BB617" i="1"/>
  <c r="BF617" i="1"/>
  <c r="CF617" i="1" l="1"/>
  <c r="BX617" i="1" s="1"/>
  <c r="CB617" i="1"/>
  <c r="BP617" i="1" s="1"/>
  <c r="BJ617" i="1" s="1"/>
  <c r="BB618" i="1" s="1"/>
  <c r="CD617" i="1"/>
  <c r="BT617" i="1" s="1"/>
  <c r="BV617" i="1"/>
  <c r="BN617" i="1" l="1"/>
  <c r="BR617" i="1"/>
  <c r="BF618" i="1"/>
  <c r="BH617" i="1" l="1"/>
  <c r="BD618" i="1" l="1"/>
  <c r="AZ618" i="1"/>
  <c r="CB618" i="1" l="1"/>
  <c r="BP618" i="1" s="1"/>
  <c r="CF618" i="1"/>
  <c r="BX618" i="1" s="1"/>
  <c r="CD618" i="1"/>
  <c r="BT618" i="1" s="1"/>
  <c r="BV618" i="1"/>
  <c r="BN618" i="1"/>
  <c r="BR618" i="1" l="1"/>
  <c r="BH618" i="1" s="1"/>
  <c r="BJ618" i="1"/>
  <c r="BD619" i="1" l="1"/>
  <c r="AZ619" i="1"/>
  <c r="BF619" i="1"/>
  <c r="BB619" i="1"/>
  <c r="CB619" i="1" l="1"/>
  <c r="BP619" i="1" s="1"/>
  <c r="CF619" i="1"/>
  <c r="BX619" i="1" s="1"/>
  <c r="CD619" i="1"/>
  <c r="BT619" i="1" s="1"/>
  <c r="BR619" i="1"/>
  <c r="BJ619" i="1" l="1"/>
  <c r="BN619" i="1"/>
  <c r="BV619" i="1"/>
  <c r="BH619" i="1" l="1"/>
  <c r="BB620" i="1"/>
  <c r="BF620" i="1"/>
  <c r="BD620" i="1" l="1"/>
  <c r="AZ620" i="1"/>
  <c r="CF620" i="1" l="1"/>
  <c r="BX620" i="1" s="1"/>
  <c r="CD620" i="1"/>
  <c r="BT620" i="1" s="1"/>
  <c r="CB620" i="1"/>
  <c r="BP620" i="1" s="1"/>
  <c r="BJ620" i="1" s="1"/>
  <c r="BR620" i="1"/>
  <c r="BV620" i="1"/>
  <c r="BN620" i="1" l="1"/>
  <c r="BH620" i="1" s="1"/>
  <c r="BB621" i="1"/>
  <c r="BF621" i="1"/>
  <c r="BD621" i="1" l="1"/>
  <c r="AZ621" i="1"/>
  <c r="CF621" i="1" l="1"/>
  <c r="BX621" i="1" s="1"/>
  <c r="CD621" i="1"/>
  <c r="BT621" i="1" s="1"/>
  <c r="CB621" i="1"/>
  <c r="BP621" i="1" s="1"/>
  <c r="BJ621" i="1" s="1"/>
  <c r="BV621" i="1"/>
  <c r="BR621" i="1"/>
  <c r="BB622" i="1" l="1"/>
  <c r="BF622" i="1"/>
  <c r="BN621" i="1"/>
  <c r="BH621" i="1" s="1"/>
  <c r="AZ622" i="1" l="1"/>
  <c r="BD622" i="1"/>
  <c r="CB622" i="1" l="1"/>
  <c r="CD622" i="1"/>
  <c r="BT622" i="1" s="1"/>
  <c r="CF622" i="1"/>
  <c r="BX622" i="1" s="1"/>
  <c r="BR622" i="1"/>
  <c r="BV622" i="1" l="1"/>
  <c r="BN622" i="1"/>
  <c r="BH622" i="1" s="1"/>
  <c r="BP622" i="1"/>
  <c r="BJ622" i="1" s="1"/>
  <c r="AZ623" i="1" l="1"/>
  <c r="BD623" i="1"/>
  <c r="BF623" i="1"/>
  <c r="BB623" i="1"/>
  <c r="CF623" i="1" l="1"/>
  <c r="BX623" i="1" s="1"/>
  <c r="CB623" i="1"/>
  <c r="BP623" i="1" s="1"/>
  <c r="BJ623" i="1" s="1"/>
  <c r="BB624" i="1" s="1"/>
  <c r="CD623" i="1"/>
  <c r="BT623" i="1" s="1"/>
  <c r="BR623" i="1"/>
  <c r="BV623" i="1" l="1"/>
  <c r="BN623" i="1"/>
  <c r="BH623" i="1" s="1"/>
  <c r="BF624" i="1"/>
  <c r="BD624" i="1" l="1"/>
  <c r="AZ624" i="1"/>
  <c r="CF624" i="1" l="1"/>
  <c r="BX624" i="1" s="1"/>
  <c r="CD624" i="1"/>
  <c r="CB624" i="1"/>
  <c r="BP624" i="1" s="1"/>
  <c r="BR624" i="1" l="1"/>
  <c r="BT624" i="1"/>
  <c r="BJ624" i="1" s="1"/>
  <c r="BN624" i="1"/>
  <c r="BV624" i="1"/>
  <c r="BH624" i="1" l="1"/>
  <c r="BF625" i="1"/>
  <c r="BB625" i="1"/>
  <c r="BD625" i="1" l="1"/>
  <c r="AZ625" i="1"/>
  <c r="CD625" i="1" l="1"/>
  <c r="CB625" i="1"/>
  <c r="BP625" i="1" s="1"/>
  <c r="CF625" i="1"/>
  <c r="BX625" i="1" s="1"/>
  <c r="BN625" i="1"/>
  <c r="BJ625" i="1" l="1"/>
  <c r="BV625" i="1"/>
  <c r="BR625" i="1"/>
  <c r="BH625" i="1" s="1"/>
  <c r="BT625" i="1"/>
  <c r="AZ626" i="1" l="1"/>
  <c r="BD626" i="1"/>
  <c r="BB626" i="1"/>
  <c r="BF626" i="1"/>
  <c r="CF626" i="1" l="1"/>
  <c r="BX626" i="1" s="1"/>
  <c r="CD626" i="1"/>
  <c r="BT626" i="1" s="1"/>
  <c r="CB626" i="1"/>
  <c r="BP626" i="1" s="1"/>
  <c r="BN626" i="1"/>
  <c r="BR626" i="1"/>
  <c r="BV626" i="1" l="1"/>
  <c r="BH626" i="1" s="1"/>
  <c r="BJ626" i="1"/>
  <c r="BD627" i="1" l="1"/>
  <c r="AZ627" i="1"/>
  <c r="BF627" i="1"/>
  <c r="BB627" i="1"/>
  <c r="CF627" i="1" l="1"/>
  <c r="BV627" i="1" s="1"/>
  <c r="CB627" i="1"/>
  <c r="BP627" i="1" s="1"/>
  <c r="CD627" i="1"/>
  <c r="BT627" i="1" s="1"/>
  <c r="BR627" i="1"/>
  <c r="BN627" i="1" l="1"/>
  <c r="BH627" i="1" s="1"/>
  <c r="BX627" i="1"/>
  <c r="BJ627" i="1" s="1"/>
  <c r="BD628" i="1" l="1"/>
  <c r="AZ628" i="1"/>
  <c r="BF628" i="1"/>
  <c r="BB628" i="1"/>
  <c r="CF628" i="1" l="1"/>
  <c r="BX628" i="1" s="1"/>
  <c r="CD628" i="1"/>
  <c r="BT628" i="1" s="1"/>
  <c r="CB628" i="1"/>
  <c r="BP628" i="1" s="1"/>
  <c r="BJ628" i="1" s="1"/>
  <c r="BB629" i="1" s="1"/>
  <c r="BR628" i="1"/>
  <c r="BV628" i="1"/>
  <c r="BF629" i="1" l="1"/>
  <c r="BN628" i="1"/>
  <c r="BH628" i="1" s="1"/>
  <c r="BD629" i="1" l="1"/>
  <c r="AZ629" i="1"/>
  <c r="CD629" i="1" l="1"/>
  <c r="BT629" i="1" s="1"/>
  <c r="CB629" i="1"/>
  <c r="BP629" i="1" s="1"/>
  <c r="BJ629" i="1" s="1"/>
  <c r="CF629" i="1"/>
  <c r="BX629" i="1" s="1"/>
  <c r="BB630" i="1" l="1"/>
  <c r="BF630" i="1"/>
  <c r="BV629" i="1"/>
  <c r="BR629" i="1"/>
  <c r="BN629" i="1"/>
  <c r="BH629" i="1" l="1"/>
  <c r="BD630" i="1" l="1"/>
  <c r="AZ630" i="1"/>
  <c r="CD630" i="1" l="1"/>
  <c r="BT630" i="1" s="1"/>
  <c r="CF630" i="1"/>
  <c r="BX630" i="1" s="1"/>
  <c r="CB630" i="1"/>
  <c r="BP630" i="1" s="1"/>
  <c r="BJ630" i="1" s="1"/>
  <c r="BV630" i="1"/>
  <c r="BR630" i="1"/>
  <c r="BB631" i="1" l="1"/>
  <c r="BF631" i="1"/>
  <c r="BN630" i="1"/>
  <c r="BH630" i="1" s="1"/>
  <c r="AZ631" i="1" l="1"/>
  <c r="BD631" i="1"/>
  <c r="CD631" i="1" l="1"/>
  <c r="BT631" i="1" s="1"/>
  <c r="CB631" i="1"/>
  <c r="BP631" i="1" s="1"/>
  <c r="BJ631" i="1" s="1"/>
  <c r="CF631" i="1"/>
  <c r="BX631" i="1" s="1"/>
  <c r="BN631" i="1"/>
  <c r="BB632" i="1" l="1"/>
  <c r="BF632" i="1"/>
  <c r="BV631" i="1"/>
  <c r="BH631" i="1" s="1"/>
  <c r="BR631" i="1"/>
  <c r="BD632" i="1" l="1"/>
  <c r="AZ632" i="1"/>
  <c r="CB632" i="1" l="1"/>
  <c r="BP632" i="1" s="1"/>
  <c r="CF632" i="1"/>
  <c r="BX632" i="1" s="1"/>
  <c r="CD632" i="1"/>
  <c r="BT632" i="1" s="1"/>
  <c r="BR632" i="1"/>
  <c r="BN632" i="1"/>
  <c r="BV632" i="1" l="1"/>
  <c r="BH632" i="1" s="1"/>
  <c r="BJ632" i="1"/>
  <c r="BD633" i="1" l="1"/>
  <c r="AZ633" i="1"/>
  <c r="BB633" i="1"/>
  <c r="BF633" i="1"/>
  <c r="CD633" i="1" l="1"/>
  <c r="BT633" i="1" s="1"/>
  <c r="CB633" i="1"/>
  <c r="BP633" i="1" s="1"/>
  <c r="BJ633" i="1" s="1"/>
  <c r="BB634" i="1" s="1"/>
  <c r="CF633" i="1"/>
  <c r="BX633" i="1" s="1"/>
  <c r="BN633" i="1" l="1"/>
  <c r="BV633" i="1"/>
  <c r="BR633" i="1"/>
  <c r="BF634" i="1"/>
  <c r="BH633" i="1" l="1"/>
  <c r="BD634" i="1" l="1"/>
  <c r="AZ634" i="1"/>
  <c r="CF634" i="1" l="1"/>
  <c r="BX634" i="1" s="1"/>
  <c r="CD634" i="1"/>
  <c r="BT634" i="1" s="1"/>
  <c r="CB634" i="1"/>
  <c r="BP634" i="1" s="1"/>
  <c r="BJ634" i="1" s="1"/>
  <c r="BV634" i="1"/>
  <c r="BN634" i="1"/>
  <c r="BF635" i="1" l="1"/>
  <c r="BB635" i="1"/>
  <c r="BR634" i="1"/>
  <c r="BH634" i="1" s="1"/>
  <c r="BD635" i="1" l="1"/>
  <c r="AZ635" i="1"/>
  <c r="CF635" i="1" l="1"/>
  <c r="BX635" i="1" s="1"/>
  <c r="CB635" i="1"/>
  <c r="BP635" i="1" s="1"/>
  <c r="CD635" i="1"/>
  <c r="BT635" i="1" s="1"/>
  <c r="BJ635" i="1" s="1"/>
  <c r="BV635" i="1"/>
  <c r="BF636" i="1" l="1"/>
  <c r="BB636" i="1"/>
  <c r="BR635" i="1"/>
  <c r="BN635" i="1"/>
  <c r="BH635" i="1" l="1"/>
  <c r="AZ636" i="1" l="1"/>
  <c r="BD636" i="1"/>
  <c r="CB636" i="1" l="1"/>
  <c r="BP636" i="1" s="1"/>
  <c r="CD636" i="1"/>
  <c r="BT636" i="1" s="1"/>
  <c r="CF636" i="1"/>
  <c r="BV636" i="1" l="1"/>
  <c r="BX636" i="1"/>
  <c r="BJ636" i="1" s="1"/>
  <c r="BR636" i="1"/>
  <c r="BN636" i="1"/>
  <c r="BF637" i="1" l="1"/>
  <c r="BB637" i="1"/>
  <c r="BH636" i="1"/>
  <c r="BD637" i="1" l="1"/>
  <c r="AZ637" i="1"/>
  <c r="CD637" i="1" l="1"/>
  <c r="BT637" i="1" s="1"/>
  <c r="CF637" i="1"/>
  <c r="BX637" i="1" s="1"/>
  <c r="CB637" i="1"/>
  <c r="BP637" i="1" s="1"/>
  <c r="BJ637" i="1" s="1"/>
  <c r="BN637" i="1"/>
  <c r="BH637" i="1" s="1"/>
  <c r="AZ638" i="1" s="1"/>
  <c r="BV637" i="1"/>
  <c r="BR637" i="1"/>
  <c r="BB638" i="1" l="1"/>
  <c r="BF638" i="1"/>
  <c r="BD638" i="1"/>
  <c r="CB638" i="1"/>
  <c r="BP638" i="1" s="1"/>
  <c r="BJ638" i="1" s="1"/>
  <c r="CF638" i="1"/>
  <c r="BX638" i="1" s="1"/>
  <c r="CD638" i="1"/>
  <c r="BT638" i="1" s="1"/>
  <c r="BR638" i="1"/>
  <c r="BV638" i="1"/>
  <c r="BF639" i="1" l="1"/>
  <c r="BN638" i="1"/>
  <c r="BH638" i="1" s="1"/>
  <c r="AZ639" i="1" s="1"/>
  <c r="BB639" i="1"/>
  <c r="CF639" i="1" l="1"/>
  <c r="BX639" i="1" s="1"/>
  <c r="CD639" i="1"/>
  <c r="BT639" i="1" s="1"/>
  <c r="CB639" i="1"/>
  <c r="BP639" i="1" s="1"/>
  <c r="BV639" i="1"/>
  <c r="BD639" i="1"/>
  <c r="BR639" i="1" l="1"/>
  <c r="BN639" i="1"/>
  <c r="BH639" i="1" s="1"/>
  <c r="AZ640" i="1" s="1"/>
  <c r="BJ639" i="1"/>
  <c r="CD640" i="1" l="1"/>
  <c r="BT640" i="1" s="1"/>
  <c r="BD640" i="1"/>
  <c r="BB640" i="1"/>
  <c r="CB640" i="1" s="1"/>
  <c r="BF640" i="1"/>
  <c r="BP640" i="1" l="1"/>
  <c r="BN640" i="1"/>
  <c r="BR640" i="1"/>
  <c r="CF640" i="1"/>
  <c r="BX640" i="1" l="1"/>
  <c r="BV640" i="1"/>
  <c r="BH640" i="1" s="1"/>
  <c r="BJ640" i="1"/>
  <c r="BD641" i="1" l="1"/>
  <c r="AZ641" i="1"/>
  <c r="BF641" i="1"/>
  <c r="BB641" i="1"/>
  <c r="CB641" i="1" l="1"/>
  <c r="BP641" i="1" s="1"/>
  <c r="BR641" i="1"/>
  <c r="CD641" i="1"/>
  <c r="BT641" i="1" s="1"/>
  <c r="CF641" i="1"/>
  <c r="BV641" i="1" s="1"/>
  <c r="BN641" i="1"/>
  <c r="BX641" i="1" l="1"/>
  <c r="BJ641" i="1" s="1"/>
  <c r="BH641" i="1"/>
  <c r="BF642" i="1" l="1"/>
  <c r="BB642" i="1"/>
  <c r="BD642" i="1"/>
  <c r="AZ642" i="1"/>
  <c r="CF642" i="1" l="1"/>
  <c r="BX642" i="1" s="1"/>
  <c r="CD642" i="1"/>
  <c r="BT642" i="1" s="1"/>
  <c r="CB642" i="1"/>
  <c r="BN642" i="1" s="1"/>
  <c r="BP642" i="1" l="1"/>
  <c r="BJ642" i="1" s="1"/>
  <c r="BR642" i="1"/>
  <c r="BH642" i="1" s="1"/>
  <c r="BV642" i="1"/>
  <c r="AZ643" i="1" l="1"/>
  <c r="BD643" i="1"/>
  <c r="BF643" i="1"/>
  <c r="BB643" i="1"/>
  <c r="BX643" i="1" l="1"/>
  <c r="CF643" i="1"/>
  <c r="BV643" i="1" s="1"/>
  <c r="CD643" i="1"/>
  <c r="BT643" i="1" s="1"/>
  <c r="CB643" i="1"/>
  <c r="BP643" i="1" s="1"/>
  <c r="BN643" i="1"/>
  <c r="BH643" i="1" s="1"/>
  <c r="AZ644" i="1" s="1"/>
  <c r="BR643" i="1"/>
  <c r="BJ643" i="1" l="1"/>
  <c r="BD644" i="1"/>
  <c r="BF644" i="1" l="1"/>
  <c r="BB644" i="1"/>
  <c r="CF644" i="1" l="1"/>
  <c r="CD644" i="1"/>
  <c r="CB644" i="1"/>
  <c r="BX644" i="1" l="1"/>
  <c r="BV644" i="1"/>
  <c r="BT644" i="1"/>
  <c r="BR644" i="1"/>
  <c r="BP644" i="1"/>
  <c r="BN644" i="1"/>
  <c r="BH644" i="1" l="1"/>
  <c r="BJ644" i="1"/>
  <c r="BF645" i="1" l="1"/>
  <c r="BB645" i="1"/>
  <c r="AZ645" i="1"/>
  <c r="BD645" i="1"/>
  <c r="CF645" i="1" l="1"/>
  <c r="BX645" i="1" s="1"/>
  <c r="CD645" i="1"/>
  <c r="BT645" i="1" s="1"/>
  <c r="CB645" i="1"/>
  <c r="BN645" i="1" s="1"/>
  <c r="BR645" i="1"/>
  <c r="BV645" i="1"/>
  <c r="BP645" i="1"/>
  <c r="BJ645" i="1" s="1"/>
  <c r="BB646" i="1" s="1"/>
  <c r="BH645" i="1" l="1"/>
  <c r="BF646" i="1"/>
  <c r="AZ646" i="1" l="1"/>
  <c r="BD646" i="1"/>
  <c r="CB646" i="1" l="1"/>
  <c r="BP646" i="1" s="1"/>
  <c r="CF646" i="1"/>
  <c r="BX646" i="1" s="1"/>
  <c r="CD646" i="1"/>
  <c r="BT646" i="1" s="1"/>
  <c r="BV646" i="1"/>
  <c r="BR646" i="1" l="1"/>
  <c r="BJ646" i="1"/>
  <c r="BN646" i="1"/>
  <c r="BH646" i="1" s="1"/>
  <c r="AZ647" i="1" l="1"/>
  <c r="BD647" i="1"/>
  <c r="BF647" i="1"/>
  <c r="BB647" i="1"/>
  <c r="CB647" i="1" l="1"/>
  <c r="BP647" i="1" s="1"/>
  <c r="BJ647" i="1" s="1"/>
  <c r="BF648" i="1" s="1"/>
  <c r="CF647" i="1"/>
  <c r="BX647" i="1" s="1"/>
  <c r="CD647" i="1"/>
  <c r="BT647" i="1" s="1"/>
  <c r="BR647" i="1"/>
  <c r="BV647" i="1" l="1"/>
  <c r="BB648" i="1"/>
  <c r="BN647" i="1"/>
  <c r="BH647" i="1" s="1"/>
  <c r="AZ648" i="1" l="1"/>
  <c r="BD648" i="1"/>
  <c r="CB648" i="1" l="1"/>
  <c r="BP648" i="1" s="1"/>
  <c r="CF648" i="1"/>
  <c r="BX648" i="1" s="1"/>
  <c r="CD648" i="1"/>
  <c r="BT648" i="1" s="1"/>
  <c r="BJ648" i="1" l="1"/>
  <c r="BN648" i="1"/>
  <c r="BR648" i="1"/>
  <c r="BV648" i="1"/>
  <c r="BH648" i="1" l="1"/>
  <c r="BB649" i="1"/>
  <c r="BF649" i="1"/>
  <c r="BD649" i="1" l="1"/>
  <c r="AZ649" i="1"/>
  <c r="CF649" i="1" l="1"/>
  <c r="BX649" i="1" s="1"/>
  <c r="CD649" i="1"/>
  <c r="BT649" i="1" s="1"/>
  <c r="CB649" i="1"/>
  <c r="BP649" i="1" s="1"/>
  <c r="BJ649" i="1" s="1"/>
  <c r="BV649" i="1"/>
  <c r="BN649" i="1"/>
  <c r="BR649" i="1" l="1"/>
  <c r="BB650" i="1"/>
  <c r="BF650" i="1"/>
  <c r="BH649" i="1"/>
  <c r="BD650" i="1" l="1"/>
  <c r="AZ650" i="1"/>
  <c r="CD650" i="1" l="1"/>
  <c r="CB650" i="1"/>
  <c r="CF650" i="1"/>
  <c r="BX650" i="1" s="1"/>
  <c r="BV650" i="1" l="1"/>
  <c r="BN650" i="1"/>
  <c r="BP650" i="1"/>
  <c r="BJ650" i="1" s="1"/>
  <c r="BR650" i="1"/>
  <c r="BT650" i="1"/>
  <c r="BB651" i="1" l="1"/>
  <c r="BF651" i="1"/>
  <c r="BH650" i="1"/>
  <c r="AZ651" i="1" l="1"/>
  <c r="BD651" i="1"/>
  <c r="CF651" i="1" l="1"/>
  <c r="BX651" i="1" s="1"/>
  <c r="CD651" i="1"/>
  <c r="BT651" i="1" s="1"/>
  <c r="CB651" i="1"/>
  <c r="BN651" i="1" l="1"/>
  <c r="BP651" i="1"/>
  <c r="BJ651" i="1" s="1"/>
  <c r="BV651" i="1"/>
  <c r="BR651" i="1"/>
  <c r="BB652" i="1" l="1"/>
  <c r="BF652" i="1"/>
  <c r="BH651" i="1"/>
  <c r="BD652" i="1" l="1"/>
  <c r="AZ652" i="1"/>
  <c r="CD652" i="1" l="1"/>
  <c r="BT652" i="1" s="1"/>
  <c r="CF652" i="1"/>
  <c r="BX652" i="1" s="1"/>
  <c r="CB652" i="1"/>
  <c r="BP652" i="1" s="1"/>
  <c r="BJ652" i="1" s="1"/>
  <c r="BR652" i="1"/>
  <c r="BV652" i="1"/>
  <c r="BN652" i="1" l="1"/>
  <c r="BH652" i="1" s="1"/>
  <c r="BB653" i="1"/>
  <c r="BF653" i="1"/>
  <c r="BD653" i="1" l="1"/>
  <c r="AZ653" i="1"/>
  <c r="CF653" i="1" l="1"/>
  <c r="BX653" i="1" s="1"/>
  <c r="CB653" i="1"/>
  <c r="BP653" i="1" s="1"/>
  <c r="CD653" i="1"/>
  <c r="BT653" i="1" s="1"/>
  <c r="BV653" i="1"/>
  <c r="BN653" i="1" l="1"/>
  <c r="BJ653" i="1"/>
  <c r="BR653" i="1"/>
  <c r="BF654" i="1" l="1"/>
  <c r="BB654" i="1"/>
  <c r="BH653" i="1"/>
  <c r="AZ654" i="1" l="1"/>
  <c r="BD654" i="1"/>
  <c r="CF654" i="1" l="1"/>
  <c r="BX654" i="1" s="1"/>
  <c r="CD654" i="1"/>
  <c r="BT654" i="1" s="1"/>
  <c r="CB654" i="1"/>
  <c r="BP654" i="1" s="1"/>
  <c r="BV654" i="1"/>
  <c r="BJ654" i="1" l="1"/>
  <c r="BR654" i="1"/>
  <c r="BN654" i="1"/>
  <c r="BH654" i="1" s="1"/>
  <c r="AZ655" i="1" l="1"/>
  <c r="BD655" i="1"/>
  <c r="BF655" i="1"/>
  <c r="BB655" i="1"/>
  <c r="CB655" i="1" l="1"/>
  <c r="BP655" i="1" s="1"/>
  <c r="CD655" i="1"/>
  <c r="BT655" i="1" s="1"/>
  <c r="CF655" i="1"/>
  <c r="BX655" i="1" s="1"/>
  <c r="BV655" i="1"/>
  <c r="BN655" i="1"/>
  <c r="BJ655" i="1" l="1"/>
  <c r="BR655" i="1"/>
  <c r="BH655" i="1" s="1"/>
  <c r="BD656" i="1" l="1"/>
  <c r="AZ656" i="1"/>
  <c r="BB656" i="1"/>
  <c r="BF656" i="1"/>
  <c r="CD656" i="1" l="1"/>
  <c r="BT656" i="1" s="1"/>
  <c r="CF656" i="1"/>
  <c r="BX656" i="1" s="1"/>
  <c r="CB656" i="1"/>
  <c r="BP656" i="1" s="1"/>
  <c r="BN656" i="1"/>
  <c r="BH656" i="1" l="1"/>
  <c r="BV656" i="1"/>
  <c r="BR656" i="1"/>
  <c r="BJ656" i="1"/>
  <c r="AZ657" i="1" l="1"/>
  <c r="BD657" i="1"/>
  <c r="BF657" i="1"/>
  <c r="BB657" i="1"/>
  <c r="CB657" i="1" l="1"/>
  <c r="BP657" i="1" s="1"/>
  <c r="CF657" i="1"/>
  <c r="BX657" i="1" s="1"/>
  <c r="CD657" i="1"/>
  <c r="BT657" i="1" s="1"/>
  <c r="BV657" i="1"/>
  <c r="BJ657" i="1" l="1"/>
  <c r="BR657" i="1"/>
  <c r="BN657" i="1"/>
  <c r="BH657" i="1" s="1"/>
  <c r="AZ658" i="1" l="1"/>
  <c r="BD658" i="1"/>
  <c r="BB658" i="1"/>
  <c r="BF658" i="1"/>
  <c r="CF658" i="1" l="1"/>
  <c r="BX658" i="1" s="1"/>
  <c r="CB658" i="1"/>
  <c r="BP658" i="1" s="1"/>
  <c r="CD658" i="1"/>
  <c r="BT658" i="1" s="1"/>
  <c r="BN658" i="1"/>
  <c r="BV658" i="1" l="1"/>
  <c r="BR658" i="1"/>
  <c r="BH658" i="1" s="1"/>
  <c r="BJ658" i="1"/>
  <c r="BF659" i="1" l="1"/>
  <c r="BB659" i="1"/>
  <c r="BD659" i="1"/>
  <c r="AZ659" i="1"/>
  <c r="CF659" i="1" l="1"/>
  <c r="BX659" i="1" s="1"/>
  <c r="CB659" i="1"/>
  <c r="BN659" i="1" s="1"/>
  <c r="CD659" i="1"/>
  <c r="BR659" i="1" s="1"/>
  <c r="BV659" i="1"/>
  <c r="BT659" i="1"/>
  <c r="BP659" i="1"/>
  <c r="BJ659" i="1" s="1"/>
  <c r="BB660" i="1" s="1"/>
  <c r="BH659" i="1" l="1"/>
  <c r="BF660" i="1"/>
  <c r="AZ660" i="1" l="1"/>
  <c r="BD660" i="1"/>
  <c r="CD660" i="1" l="1"/>
  <c r="CF660" i="1"/>
  <c r="CB660" i="1"/>
  <c r="BP660" i="1" s="1"/>
  <c r="BN660" i="1" l="1"/>
  <c r="BV660" i="1"/>
  <c r="BX660" i="1"/>
  <c r="BJ660" i="1" s="1"/>
  <c r="BR660" i="1"/>
  <c r="BT660" i="1"/>
  <c r="BB661" i="1" l="1"/>
  <c r="BF661" i="1"/>
  <c r="BH660" i="1"/>
  <c r="AZ661" i="1" l="1"/>
  <c r="BD661" i="1"/>
  <c r="CB661" i="1" l="1"/>
  <c r="BP661" i="1" s="1"/>
  <c r="CD661" i="1"/>
  <c r="BT661" i="1" s="1"/>
  <c r="CF661" i="1"/>
  <c r="BX661" i="1" s="1"/>
  <c r="BV661" i="1"/>
  <c r="BN661" i="1"/>
  <c r="BJ661" i="1" l="1"/>
  <c r="BR661" i="1"/>
  <c r="BH661" i="1" s="1"/>
  <c r="BD662" i="1" l="1"/>
  <c r="AZ662" i="1"/>
  <c r="BF662" i="1"/>
  <c r="BB662" i="1"/>
  <c r="CB662" i="1" l="1"/>
  <c r="BP662" i="1" s="1"/>
  <c r="BJ662" i="1" s="1"/>
  <c r="BB663" i="1" s="1"/>
  <c r="CF662" i="1"/>
  <c r="BX662" i="1" s="1"/>
  <c r="CD662" i="1"/>
  <c r="BT662" i="1" s="1"/>
  <c r="BR662" i="1"/>
  <c r="BV662" i="1"/>
  <c r="BN662" i="1" l="1"/>
  <c r="BH662" i="1" s="1"/>
  <c r="BF663" i="1"/>
  <c r="AZ663" i="1" l="1"/>
  <c r="BD663" i="1"/>
  <c r="CD663" i="1" l="1"/>
  <c r="BT663" i="1" s="1"/>
  <c r="CB663" i="1"/>
  <c r="BP663" i="1" s="1"/>
  <c r="BJ663" i="1" s="1"/>
  <c r="CF663" i="1"/>
  <c r="BX663" i="1" s="1"/>
  <c r="BN663" i="1"/>
  <c r="BR663" i="1"/>
  <c r="BV663" i="1"/>
  <c r="BF664" i="1" l="1"/>
  <c r="BB664" i="1"/>
  <c r="BH663" i="1"/>
  <c r="BD664" i="1" l="1"/>
  <c r="AZ664" i="1"/>
  <c r="CF664" i="1" l="1"/>
  <c r="BX664" i="1" s="1"/>
  <c r="CD664" i="1"/>
  <c r="BT664" i="1" s="1"/>
  <c r="CB664" i="1"/>
  <c r="BP664" i="1" s="1"/>
  <c r="BJ664" i="1" s="1"/>
  <c r="BV664" i="1"/>
  <c r="BR664" i="1"/>
  <c r="BB665" i="1" l="1"/>
  <c r="BF665" i="1"/>
  <c r="BN664" i="1"/>
  <c r="BH664" i="1" s="1"/>
  <c r="AZ665" i="1" l="1"/>
  <c r="BD665" i="1"/>
  <c r="CD665" i="1" l="1"/>
  <c r="BT665" i="1" s="1"/>
  <c r="CB665" i="1"/>
  <c r="BP665" i="1" s="1"/>
  <c r="BJ665" i="1" s="1"/>
  <c r="CF665" i="1"/>
  <c r="BX665" i="1" s="1"/>
  <c r="BF666" i="1" l="1"/>
  <c r="BB666" i="1"/>
  <c r="BN665" i="1"/>
  <c r="BH665" i="1" s="1"/>
  <c r="BV665" i="1"/>
  <c r="BR665" i="1"/>
  <c r="BD666" i="1" l="1"/>
  <c r="AZ666" i="1"/>
  <c r="CF666" i="1" l="1"/>
  <c r="BX666" i="1" s="1"/>
  <c r="CD666" i="1"/>
  <c r="BT666" i="1" s="1"/>
  <c r="CB666" i="1"/>
  <c r="BP666" i="1" s="1"/>
  <c r="BJ666" i="1" s="1"/>
  <c r="BV666" i="1"/>
  <c r="BR666" i="1"/>
  <c r="BF667" i="1" l="1"/>
  <c r="BB667" i="1"/>
  <c r="BN666" i="1"/>
  <c r="BH666" i="1" s="1"/>
  <c r="BD667" i="1" l="1"/>
  <c r="AZ667" i="1"/>
  <c r="CF667" i="1" l="1"/>
  <c r="BX667" i="1" s="1"/>
  <c r="CD667" i="1"/>
  <c r="BT667" i="1" s="1"/>
  <c r="CB667" i="1"/>
  <c r="BP667" i="1" s="1"/>
  <c r="BJ667" i="1" s="1"/>
  <c r="BV667" i="1"/>
  <c r="BR667" i="1"/>
  <c r="BN667" i="1" l="1"/>
  <c r="BH667" i="1" s="1"/>
  <c r="BB668" i="1"/>
  <c r="BF668" i="1"/>
  <c r="AZ668" i="1" l="1"/>
  <c r="BD668" i="1"/>
  <c r="CF668" i="1" l="1"/>
  <c r="BX668" i="1" s="1"/>
  <c r="CD668" i="1"/>
  <c r="BT668" i="1" s="1"/>
  <c r="CB668" i="1"/>
  <c r="BP668" i="1" s="1"/>
  <c r="BJ668" i="1" s="1"/>
  <c r="BB669" i="1" l="1"/>
  <c r="BF669" i="1"/>
  <c r="BR668" i="1"/>
  <c r="BV668" i="1"/>
  <c r="BN668" i="1"/>
  <c r="BH668" i="1" l="1"/>
  <c r="BD669" i="1" l="1"/>
  <c r="AZ669" i="1"/>
  <c r="CF669" i="1" l="1"/>
  <c r="BX669" i="1" s="1"/>
  <c r="CD669" i="1"/>
  <c r="BT669" i="1" s="1"/>
  <c r="CB669" i="1"/>
  <c r="BP669" i="1" s="1"/>
  <c r="BJ669" i="1" s="1"/>
  <c r="BV669" i="1"/>
  <c r="BR669" i="1" l="1"/>
  <c r="BF670" i="1"/>
  <c r="BB670" i="1"/>
  <c r="BN669" i="1"/>
  <c r="BH669" i="1" s="1"/>
  <c r="AZ670" i="1" l="1"/>
  <c r="BD670" i="1"/>
  <c r="CF670" i="1" l="1"/>
  <c r="BX670" i="1" s="1"/>
  <c r="CD670" i="1"/>
  <c r="BT670" i="1" s="1"/>
  <c r="CB670" i="1"/>
  <c r="BP670" i="1" s="1"/>
  <c r="BJ670" i="1" s="1"/>
  <c r="BN670" i="1"/>
  <c r="BH670" i="1" s="1"/>
  <c r="BD671" i="1" s="1"/>
  <c r="BV670" i="1"/>
  <c r="BR670" i="1"/>
  <c r="AZ671" i="1" l="1"/>
  <c r="BF671" i="1"/>
  <c r="BB671" i="1"/>
  <c r="CF671" i="1" l="1"/>
  <c r="BX671" i="1" s="1"/>
  <c r="CD671" i="1"/>
  <c r="BT671" i="1" s="1"/>
  <c r="CB671" i="1"/>
  <c r="BP671" i="1" s="1"/>
  <c r="BR671" i="1"/>
  <c r="BN671" i="1"/>
  <c r="BV671" i="1"/>
  <c r="BH671" i="1" l="1"/>
  <c r="BJ671" i="1"/>
  <c r="BB672" i="1" l="1"/>
  <c r="BF672" i="1"/>
  <c r="BD672" i="1"/>
  <c r="AZ672" i="1"/>
  <c r="CB672" i="1" l="1"/>
  <c r="BP672" i="1" s="1"/>
  <c r="CD672" i="1"/>
  <c r="BT672" i="1" s="1"/>
  <c r="CF672" i="1"/>
  <c r="BX672" i="1" s="1"/>
  <c r="BR672" i="1"/>
  <c r="BV672" i="1"/>
  <c r="BN672" i="1" l="1"/>
  <c r="BH672" i="1" s="1"/>
  <c r="BJ672" i="1"/>
  <c r="BB673" i="1" l="1"/>
  <c r="BF673" i="1"/>
  <c r="AZ673" i="1"/>
  <c r="BD673" i="1"/>
  <c r="CF673" i="1" l="1"/>
  <c r="BX673" i="1" s="1"/>
  <c r="CB673" i="1"/>
  <c r="BP673" i="1" s="1"/>
  <c r="BJ673" i="1" s="1"/>
  <c r="BB674" i="1" s="1"/>
  <c r="CD673" i="1"/>
  <c r="BT673" i="1" s="1"/>
  <c r="BN673" i="1"/>
  <c r="BV673" i="1" l="1"/>
  <c r="BF674" i="1"/>
  <c r="BR673" i="1"/>
  <c r="BH673" i="1" s="1"/>
  <c r="BD674" i="1" l="1"/>
  <c r="AZ674" i="1"/>
  <c r="CF674" i="1" l="1"/>
  <c r="BX674" i="1" s="1"/>
  <c r="CD674" i="1"/>
  <c r="BT674" i="1" s="1"/>
  <c r="CB674" i="1"/>
  <c r="BP674" i="1" s="1"/>
  <c r="BJ674" i="1" s="1"/>
  <c r="BV674" i="1"/>
  <c r="BR674" i="1"/>
  <c r="BB675" i="1" l="1"/>
  <c r="BF675" i="1"/>
  <c r="BN674" i="1"/>
  <c r="BH674" i="1" s="1"/>
  <c r="AZ675" i="1" l="1"/>
  <c r="BD675" i="1"/>
  <c r="CD675" i="1" l="1"/>
  <c r="BT675" i="1" s="1"/>
  <c r="CF675" i="1"/>
  <c r="BX675" i="1" s="1"/>
  <c r="CB675" i="1"/>
  <c r="BP675" i="1" s="1"/>
  <c r="BR675" i="1"/>
  <c r="BJ675" i="1" l="1"/>
  <c r="BV675" i="1"/>
  <c r="BN675" i="1"/>
  <c r="BH675" i="1" s="1"/>
  <c r="BD676" i="1" l="1"/>
  <c r="AZ676" i="1"/>
  <c r="BF676" i="1"/>
  <c r="BB676" i="1"/>
  <c r="CF676" i="1" l="1"/>
  <c r="BX676" i="1" s="1"/>
  <c r="CD676" i="1"/>
  <c r="BT676" i="1" s="1"/>
  <c r="CB676" i="1"/>
  <c r="BP676" i="1" s="1"/>
  <c r="BN676" i="1"/>
  <c r="BR676" i="1"/>
  <c r="BV676" i="1" l="1"/>
  <c r="BH676" i="1" s="1"/>
  <c r="BJ676" i="1"/>
  <c r="AZ677" i="1" l="1"/>
  <c r="BD677" i="1"/>
  <c r="BB677" i="1"/>
  <c r="BF677" i="1"/>
  <c r="CD677" i="1" l="1"/>
  <c r="BT677" i="1" s="1"/>
  <c r="CF677" i="1"/>
  <c r="BX677" i="1" s="1"/>
  <c r="CB677" i="1"/>
  <c r="BP677" i="1" s="1"/>
  <c r="BJ677" i="1" s="1"/>
  <c r="BB678" i="1" s="1"/>
  <c r="BV677" i="1" l="1"/>
  <c r="BR677" i="1"/>
  <c r="BN677" i="1"/>
  <c r="BH677" i="1" s="1"/>
  <c r="BF678" i="1"/>
  <c r="BD678" i="1" l="1"/>
  <c r="AZ678" i="1"/>
  <c r="CF678" i="1" l="1"/>
  <c r="BX678" i="1" s="1"/>
  <c r="CD678" i="1"/>
  <c r="BT678" i="1" s="1"/>
  <c r="CB678" i="1"/>
  <c r="BP678" i="1" s="1"/>
  <c r="BJ678" i="1" s="1"/>
  <c r="BB679" i="1" l="1"/>
  <c r="BF679" i="1"/>
  <c r="BV678" i="1"/>
  <c r="BR678" i="1"/>
  <c r="BH678" i="1" s="1"/>
  <c r="BN678" i="1"/>
  <c r="BD679" i="1" l="1"/>
  <c r="AZ679" i="1"/>
  <c r="CB679" i="1" l="1"/>
  <c r="BP679" i="1" s="1"/>
  <c r="CF679" i="1"/>
  <c r="BX679" i="1" s="1"/>
  <c r="CD679" i="1"/>
  <c r="BT679" i="1" s="1"/>
  <c r="BV679" i="1"/>
  <c r="BN679" i="1"/>
  <c r="BR679" i="1" l="1"/>
  <c r="BH679" i="1" s="1"/>
  <c r="BJ679" i="1"/>
  <c r="BD680" i="1" l="1"/>
  <c r="AZ680" i="1"/>
  <c r="BF680" i="1"/>
  <c r="BB680" i="1"/>
  <c r="CF680" i="1" l="1"/>
  <c r="BX680" i="1" s="1"/>
  <c r="CD680" i="1"/>
  <c r="BR680" i="1" s="1"/>
  <c r="CB680" i="1"/>
  <c r="BP680" i="1" s="1"/>
  <c r="BN680" i="1"/>
  <c r="BH680" i="1" s="1"/>
  <c r="AZ681" i="1" s="1"/>
  <c r="BV680" i="1"/>
  <c r="BD681" i="1" l="1"/>
  <c r="BT680" i="1"/>
  <c r="BJ680" i="1" s="1"/>
  <c r="BB681" i="1" l="1"/>
  <c r="BF681" i="1"/>
  <c r="CB681" i="1" l="1"/>
  <c r="CD681" i="1"/>
  <c r="CF681" i="1"/>
  <c r="BT681" i="1" l="1"/>
  <c r="BR681" i="1"/>
  <c r="BP681" i="1"/>
  <c r="BJ681" i="1" s="1"/>
  <c r="BN681" i="1"/>
  <c r="BX681" i="1"/>
  <c r="BV681" i="1"/>
  <c r="BF682" i="1" l="1"/>
  <c r="BB682" i="1"/>
  <c r="BH681" i="1"/>
  <c r="AZ682" i="1" l="1"/>
  <c r="BD682" i="1"/>
  <c r="CF682" i="1" l="1"/>
  <c r="BX682" i="1" s="1"/>
  <c r="CB682" i="1"/>
  <c r="BP682" i="1" s="1"/>
  <c r="CD682" i="1"/>
  <c r="BT682" i="1" s="1"/>
  <c r="BV682" i="1"/>
  <c r="BN682" i="1" l="1"/>
  <c r="BJ682" i="1"/>
  <c r="BR682" i="1"/>
  <c r="BB683" i="1" l="1"/>
  <c r="BF683" i="1"/>
  <c r="BH682" i="1"/>
  <c r="BD683" i="1" l="1"/>
  <c r="AZ683" i="1"/>
  <c r="CD683" i="1" l="1"/>
  <c r="BT683" i="1" s="1"/>
  <c r="CF683" i="1"/>
  <c r="BX683" i="1" s="1"/>
  <c r="CB683" i="1"/>
  <c r="BP683" i="1" s="1"/>
  <c r="BN683" i="1"/>
  <c r="BJ683" i="1" l="1"/>
  <c r="BV683" i="1"/>
  <c r="BR683" i="1"/>
  <c r="BH683" i="1" s="1"/>
  <c r="BD684" i="1" l="1"/>
  <c r="AZ684" i="1"/>
  <c r="BF684" i="1"/>
  <c r="BB684" i="1"/>
  <c r="CD684" i="1" l="1"/>
  <c r="BT684" i="1" s="1"/>
  <c r="CF684" i="1"/>
  <c r="BX684" i="1" s="1"/>
  <c r="CB684" i="1"/>
  <c r="BN684" i="1" s="1"/>
  <c r="BR684" i="1" l="1"/>
  <c r="BH684" i="1" s="1"/>
  <c r="BV684" i="1"/>
  <c r="BP684" i="1"/>
  <c r="BJ684" i="1" s="1"/>
  <c r="BD685" i="1" l="1"/>
  <c r="AZ685" i="1"/>
  <c r="BB685" i="1"/>
  <c r="BF685" i="1"/>
  <c r="CB685" i="1" l="1"/>
  <c r="BP685" i="1" s="1"/>
  <c r="CF685" i="1"/>
  <c r="BX685" i="1" s="1"/>
  <c r="CD685" i="1"/>
  <c r="BT685" i="1" s="1"/>
  <c r="BV685" i="1"/>
  <c r="BJ685" i="1" l="1"/>
  <c r="BN685" i="1"/>
  <c r="BR685" i="1"/>
  <c r="BH685" i="1" l="1"/>
  <c r="BF686" i="1"/>
  <c r="BB686" i="1"/>
  <c r="BD686" i="1" l="1"/>
  <c r="AZ686" i="1"/>
  <c r="CF686" i="1" l="1"/>
  <c r="BX686" i="1" s="1"/>
  <c r="CD686" i="1"/>
  <c r="BT686" i="1" s="1"/>
  <c r="CB686" i="1"/>
  <c r="BP686" i="1" s="1"/>
  <c r="BJ686" i="1" s="1"/>
  <c r="BN686" i="1"/>
  <c r="BV686" i="1"/>
  <c r="BB687" i="1" l="1"/>
  <c r="BF687" i="1"/>
  <c r="BR686" i="1"/>
  <c r="BH686" i="1" s="1"/>
  <c r="BD687" i="1" l="1"/>
  <c r="AZ687" i="1"/>
  <c r="CB687" i="1" l="1"/>
  <c r="CF687" i="1"/>
  <c r="BX687" i="1" s="1"/>
  <c r="CD687" i="1"/>
  <c r="BT687" i="1" s="1"/>
  <c r="BR687" i="1" l="1"/>
  <c r="BV687" i="1"/>
  <c r="BN687" i="1"/>
  <c r="BH687" i="1" s="1"/>
  <c r="BP687" i="1"/>
  <c r="BJ687" i="1" s="1"/>
  <c r="BB688" i="1" l="1"/>
  <c r="BF688" i="1"/>
  <c r="AZ688" i="1"/>
  <c r="BD688" i="1"/>
  <c r="CF688" i="1" l="1"/>
  <c r="BX688" i="1" s="1"/>
  <c r="CD688" i="1"/>
  <c r="BT688" i="1" s="1"/>
  <c r="CB688" i="1"/>
  <c r="BP688" i="1" s="1"/>
  <c r="BJ688" i="1" s="1"/>
  <c r="BB689" i="1" s="1"/>
  <c r="BN688" i="1" l="1"/>
  <c r="BV688" i="1"/>
  <c r="BF689" i="1"/>
  <c r="BR688" i="1"/>
  <c r="BH688" i="1" l="1"/>
  <c r="BD689" i="1" l="1"/>
  <c r="AZ689" i="1"/>
  <c r="CD689" i="1" l="1"/>
  <c r="BT689" i="1" s="1"/>
  <c r="CB689" i="1"/>
  <c r="BP689" i="1" s="1"/>
  <c r="BJ689" i="1" s="1"/>
  <c r="CF689" i="1"/>
  <c r="BX689" i="1" s="1"/>
  <c r="BF690" i="1" l="1"/>
  <c r="BB690" i="1"/>
  <c r="BN689" i="1"/>
  <c r="BH689" i="1" s="1"/>
  <c r="BV689" i="1"/>
  <c r="BR689" i="1"/>
  <c r="BD690" i="1" l="1"/>
  <c r="AZ690" i="1"/>
  <c r="CD690" i="1" l="1"/>
  <c r="BT690" i="1" s="1"/>
  <c r="CF690" i="1"/>
  <c r="BX690" i="1" s="1"/>
  <c r="CB690" i="1"/>
  <c r="BP690" i="1" s="1"/>
  <c r="BJ690" i="1" s="1"/>
  <c r="BR690" i="1"/>
  <c r="BV690" i="1"/>
  <c r="BB691" i="1" l="1"/>
  <c r="BF691" i="1"/>
  <c r="BN690" i="1"/>
  <c r="BH690" i="1" s="1"/>
  <c r="BD691" i="1" l="1"/>
  <c r="AZ691" i="1"/>
  <c r="CD691" i="1" l="1"/>
  <c r="BT691" i="1" s="1"/>
  <c r="CF691" i="1"/>
  <c r="BX691" i="1" s="1"/>
  <c r="CB691" i="1"/>
  <c r="BP691" i="1" s="1"/>
  <c r="BJ691" i="1" s="1"/>
  <c r="BR691" i="1"/>
  <c r="BV691" i="1"/>
  <c r="BN691" i="1" l="1"/>
  <c r="BH691" i="1" s="1"/>
  <c r="BB692" i="1"/>
  <c r="BF692" i="1"/>
  <c r="AZ692" i="1" l="1"/>
  <c r="BD692" i="1"/>
  <c r="CD692" i="1" l="1"/>
  <c r="BT692" i="1" s="1"/>
  <c r="CB692" i="1"/>
  <c r="BP692" i="1" s="1"/>
  <c r="BJ692" i="1" s="1"/>
  <c r="CF692" i="1"/>
  <c r="BX692" i="1" s="1"/>
  <c r="BV692" i="1" l="1"/>
  <c r="BF693" i="1"/>
  <c r="BB693" i="1"/>
  <c r="BR692" i="1"/>
  <c r="BN692" i="1"/>
  <c r="BH692" i="1" s="1"/>
  <c r="BD693" i="1" l="1"/>
  <c r="AZ693" i="1"/>
  <c r="CF693" i="1" l="1"/>
  <c r="BX693" i="1" s="1"/>
  <c r="CD693" i="1"/>
  <c r="BT693" i="1" s="1"/>
  <c r="CB693" i="1"/>
  <c r="BP693" i="1" s="1"/>
  <c r="BJ693" i="1" s="1"/>
  <c r="BV693" i="1"/>
  <c r="BR693" i="1" l="1"/>
  <c r="BB694" i="1"/>
  <c r="BF694" i="1"/>
  <c r="BN693" i="1"/>
  <c r="BH693" i="1" s="1"/>
  <c r="AZ694" i="1" l="1"/>
  <c r="BD694" i="1"/>
  <c r="CD694" i="1" l="1"/>
  <c r="CB694" i="1"/>
  <c r="CF694" i="1"/>
  <c r="BX694" i="1" s="1"/>
  <c r="BN694" i="1" l="1"/>
  <c r="BP694" i="1"/>
  <c r="BJ694" i="1" s="1"/>
  <c r="BR694" i="1"/>
  <c r="BT694" i="1"/>
  <c r="BV694" i="1"/>
  <c r="BB695" i="1" l="1"/>
  <c r="BF695" i="1"/>
  <c r="BH694" i="1"/>
  <c r="BD695" i="1" l="1"/>
  <c r="AZ695" i="1"/>
  <c r="CD695" i="1" l="1"/>
  <c r="BT695" i="1" s="1"/>
  <c r="CB695" i="1"/>
  <c r="BP695" i="1" s="1"/>
  <c r="CF695" i="1"/>
  <c r="BX695" i="1" s="1"/>
  <c r="BR695" i="1"/>
  <c r="BV695" i="1"/>
  <c r="BN695" i="1" l="1"/>
  <c r="BH695" i="1" s="1"/>
  <c r="BJ695" i="1"/>
  <c r="BF696" i="1" l="1"/>
  <c r="BB696" i="1"/>
  <c r="AZ696" i="1"/>
  <c r="BD696" i="1"/>
  <c r="CF696" i="1" l="1"/>
  <c r="BX696" i="1" s="1"/>
  <c r="CB696" i="1"/>
  <c r="BP696" i="1" s="1"/>
  <c r="CD696" i="1"/>
  <c r="BR696" i="1" s="1"/>
  <c r="BV696" i="1"/>
  <c r="BT696" i="1"/>
  <c r="BN696" i="1" l="1"/>
  <c r="BH696" i="1" s="1"/>
  <c r="BJ696" i="1"/>
  <c r="BF697" i="1" l="1"/>
  <c r="BB697" i="1"/>
  <c r="BD697" i="1"/>
  <c r="AZ697" i="1"/>
  <c r="CD697" i="1" l="1"/>
  <c r="BT697" i="1" s="1"/>
  <c r="CF697" i="1"/>
  <c r="BX697" i="1" s="1"/>
  <c r="CB697" i="1"/>
  <c r="BP697" i="1" s="1"/>
  <c r="BJ697" i="1" s="1"/>
  <c r="BF698" i="1" s="1"/>
  <c r="BR697" i="1"/>
  <c r="BN697" i="1" l="1"/>
  <c r="BH697" i="1" s="1"/>
  <c r="BB698" i="1"/>
  <c r="BV697" i="1"/>
  <c r="AZ698" i="1" l="1"/>
  <c r="BD698" i="1"/>
  <c r="CF698" i="1" l="1"/>
  <c r="CB698" i="1"/>
  <c r="CD698" i="1"/>
  <c r="BT698" i="1" s="1"/>
  <c r="BN698" i="1" l="1"/>
  <c r="BP698" i="1"/>
  <c r="BJ698" i="1" s="1"/>
  <c r="BV698" i="1"/>
  <c r="BX698" i="1"/>
  <c r="BR698" i="1"/>
  <c r="BB699" i="1" l="1"/>
  <c r="BF699" i="1"/>
  <c r="BH698" i="1"/>
  <c r="BD699" i="1" l="1"/>
  <c r="AZ699" i="1"/>
  <c r="CB699" i="1" l="1"/>
  <c r="BP699" i="1" s="1"/>
  <c r="CF699" i="1"/>
  <c r="BX699" i="1" s="1"/>
  <c r="CD699" i="1"/>
  <c r="BT699" i="1" s="1"/>
  <c r="BN699" i="1"/>
  <c r="BR699" i="1"/>
  <c r="BV699" i="1"/>
  <c r="BH699" i="1" l="1"/>
  <c r="BJ699" i="1"/>
  <c r="BF700" i="1" l="1"/>
  <c r="BB700" i="1"/>
  <c r="BD700" i="1"/>
  <c r="AZ700" i="1"/>
  <c r="CB700" i="1" l="1"/>
  <c r="BP700" i="1" s="1"/>
  <c r="CF700" i="1"/>
  <c r="BX700" i="1" s="1"/>
  <c r="CD700" i="1"/>
  <c r="BT700" i="1" s="1"/>
  <c r="BN700" i="1"/>
  <c r="BR700" i="1"/>
  <c r="BV700" i="1"/>
  <c r="BH700" i="1" l="1"/>
  <c r="BJ700" i="1"/>
  <c r="BB701" i="1" l="1"/>
  <c r="BF701" i="1"/>
  <c r="AZ701" i="1"/>
  <c r="BD701" i="1"/>
  <c r="CF701" i="1" l="1"/>
  <c r="BX701" i="1" s="1"/>
  <c r="CD701" i="1"/>
  <c r="BT701" i="1" s="1"/>
  <c r="CB701" i="1"/>
  <c r="BP701" i="1" s="1"/>
  <c r="BJ701" i="1" s="1"/>
  <c r="BF702" i="1" s="1"/>
  <c r="BN701" i="1"/>
  <c r="BB702" i="1" l="1"/>
  <c r="BR701" i="1"/>
  <c r="BH701" i="1" s="1"/>
  <c r="BV701" i="1"/>
  <c r="BD702" i="1" l="1"/>
  <c r="AZ702" i="1"/>
  <c r="CD702" i="1" l="1"/>
  <c r="BT702" i="1" s="1"/>
  <c r="CB702" i="1"/>
  <c r="BP702" i="1" s="1"/>
  <c r="CF702" i="1"/>
  <c r="BX702" i="1" s="1"/>
  <c r="BR702" i="1"/>
  <c r="BN702" i="1"/>
  <c r="BJ702" i="1" l="1"/>
  <c r="BV702" i="1"/>
  <c r="BH702" i="1" s="1"/>
  <c r="AZ703" i="1" l="1"/>
  <c r="BD703" i="1"/>
  <c r="BF703" i="1"/>
  <c r="BB703" i="1"/>
  <c r="CF703" i="1" l="1"/>
  <c r="BX703" i="1" s="1"/>
  <c r="CD703" i="1"/>
  <c r="BT703" i="1" s="1"/>
  <c r="CB703" i="1"/>
  <c r="BP703" i="1" s="1"/>
  <c r="BN703" i="1"/>
  <c r="BV703" i="1"/>
  <c r="BR703" i="1" l="1"/>
  <c r="BH703" i="1" s="1"/>
  <c r="BJ703" i="1"/>
  <c r="AZ704" i="1" l="1"/>
  <c r="BD704" i="1"/>
  <c r="BB704" i="1"/>
  <c r="BF704" i="1"/>
  <c r="CF704" i="1" l="1"/>
  <c r="BX704" i="1" s="1"/>
  <c r="CD704" i="1"/>
  <c r="BT704" i="1" s="1"/>
  <c r="CB704" i="1"/>
  <c r="BP704" i="1" s="1"/>
  <c r="BJ704" i="1" s="1"/>
  <c r="BF705" i="1" s="1"/>
  <c r="BN704" i="1"/>
  <c r="BR704" i="1"/>
  <c r="BV704" i="1" l="1"/>
  <c r="BH704" i="1" s="1"/>
  <c r="BB705" i="1"/>
  <c r="AZ705" i="1" l="1"/>
  <c r="BD705" i="1"/>
  <c r="CF705" i="1" l="1"/>
  <c r="BX705" i="1" s="1"/>
  <c r="CB705" i="1"/>
  <c r="BP705" i="1" s="1"/>
  <c r="CD705" i="1"/>
  <c r="BT705" i="1" s="1"/>
  <c r="BN705" i="1"/>
  <c r="BV705" i="1"/>
  <c r="BJ705" i="1" l="1"/>
  <c r="BR705" i="1"/>
  <c r="BH705" i="1" s="1"/>
  <c r="AZ706" i="1" l="1"/>
  <c r="BD706" i="1"/>
  <c r="BB706" i="1"/>
  <c r="BF706" i="1"/>
  <c r="CF706" i="1" l="1"/>
  <c r="BX706" i="1" s="1"/>
  <c r="CD706" i="1"/>
  <c r="BT706" i="1" s="1"/>
  <c r="CB706" i="1"/>
  <c r="BP706" i="1" s="1"/>
  <c r="BN706" i="1"/>
  <c r="BR706" i="1"/>
  <c r="BV706" i="1"/>
  <c r="BH706" i="1" l="1"/>
  <c r="BJ706" i="1"/>
  <c r="BB707" i="1" l="1"/>
  <c r="BF707" i="1"/>
  <c r="AZ707" i="1"/>
  <c r="BD707" i="1"/>
  <c r="CF707" i="1" l="1"/>
  <c r="BX707" i="1" s="1"/>
  <c r="CD707" i="1"/>
  <c r="BT707" i="1" s="1"/>
  <c r="CB707" i="1"/>
  <c r="BP707" i="1" s="1"/>
  <c r="BV707" i="1"/>
  <c r="BN707" i="1"/>
  <c r="BR707" i="1"/>
  <c r="BJ707" i="1" l="1"/>
  <c r="BH707" i="1"/>
  <c r="BD708" i="1" l="1"/>
  <c r="AZ708" i="1"/>
  <c r="BB708" i="1"/>
  <c r="BF708" i="1"/>
  <c r="CB708" i="1" l="1"/>
  <c r="BP708" i="1" s="1"/>
  <c r="CF708" i="1"/>
  <c r="BX708" i="1" s="1"/>
  <c r="CD708" i="1"/>
  <c r="BT708" i="1" s="1"/>
  <c r="BV708" i="1" l="1"/>
  <c r="BR708" i="1"/>
  <c r="BJ708" i="1"/>
  <c r="BN708" i="1"/>
  <c r="BH708" i="1" l="1"/>
  <c r="BB709" i="1"/>
  <c r="BF709" i="1"/>
  <c r="BD709" i="1" l="1"/>
  <c r="AZ709" i="1"/>
  <c r="CB709" i="1" l="1"/>
  <c r="BP709" i="1" s="1"/>
  <c r="BJ709" i="1" s="1"/>
  <c r="CD709" i="1"/>
  <c r="BT709" i="1" s="1"/>
  <c r="CF709" i="1"/>
  <c r="BX709" i="1" s="1"/>
  <c r="BV709" i="1"/>
  <c r="BR709" i="1"/>
  <c r="BB710" i="1" l="1"/>
  <c r="BF710" i="1"/>
  <c r="BN709" i="1"/>
  <c r="BH709" i="1" s="1"/>
  <c r="AZ710" i="1" l="1"/>
  <c r="BD710" i="1"/>
  <c r="CF710" i="1" l="1"/>
  <c r="BX710" i="1" s="1"/>
  <c r="CB710" i="1"/>
  <c r="BP710" i="1" s="1"/>
  <c r="CD710" i="1"/>
  <c r="BT710" i="1" s="1"/>
  <c r="BV710" i="1"/>
  <c r="BR710" i="1"/>
  <c r="BN710" i="1"/>
  <c r="BJ710" i="1" l="1"/>
  <c r="BH710" i="1"/>
  <c r="BD711" i="1" l="1"/>
  <c r="AZ711" i="1"/>
  <c r="BB711" i="1"/>
  <c r="BF711" i="1"/>
  <c r="CF711" i="1" l="1"/>
  <c r="BX711" i="1" s="1"/>
  <c r="CD711" i="1"/>
  <c r="BT711" i="1" s="1"/>
  <c r="CB711" i="1"/>
  <c r="BP711" i="1" s="1"/>
  <c r="BJ711" i="1" s="1"/>
  <c r="BF712" i="1" s="1"/>
  <c r="BR711" i="1"/>
  <c r="BV711" i="1"/>
  <c r="BN711" i="1" l="1"/>
  <c r="BH711" i="1" s="1"/>
  <c r="BB712" i="1"/>
  <c r="BD712" i="1" l="1"/>
  <c r="AZ712" i="1"/>
  <c r="CF712" i="1" l="1"/>
  <c r="BX712" i="1" s="1"/>
  <c r="CB712" i="1"/>
  <c r="CD712" i="1"/>
  <c r="BT712" i="1" s="1"/>
  <c r="BN712" i="1" l="1"/>
  <c r="BP712" i="1"/>
  <c r="BJ712" i="1" s="1"/>
  <c r="BV712" i="1"/>
  <c r="BR712" i="1"/>
  <c r="BF713" i="1" l="1"/>
  <c r="BB713" i="1"/>
  <c r="BH712" i="1"/>
  <c r="BD713" i="1" l="1"/>
  <c r="AZ713" i="1"/>
  <c r="CD713" i="1" l="1"/>
  <c r="BT713" i="1" s="1"/>
  <c r="CB713" i="1"/>
  <c r="BP713" i="1" s="1"/>
  <c r="CF713" i="1"/>
  <c r="BX713" i="1" s="1"/>
  <c r="BV713" i="1"/>
  <c r="BN713" i="1"/>
  <c r="BR713" i="1" l="1"/>
  <c r="BH713" i="1" s="1"/>
  <c r="BJ713" i="1"/>
  <c r="AZ714" i="1" l="1"/>
  <c r="BD714" i="1"/>
  <c r="BB714" i="1"/>
  <c r="BF714" i="1"/>
  <c r="CF714" i="1" l="1"/>
  <c r="BX714" i="1" s="1"/>
  <c r="CD714" i="1"/>
  <c r="BT714" i="1" s="1"/>
  <c r="CB714" i="1"/>
  <c r="BP714" i="1" s="1"/>
  <c r="BJ714" i="1" s="1"/>
  <c r="BB715" i="1" s="1"/>
  <c r="BR714" i="1" l="1"/>
  <c r="BV714" i="1"/>
  <c r="BN714" i="1"/>
  <c r="BF715" i="1"/>
  <c r="BH714" i="1" l="1"/>
  <c r="BD715" i="1" l="1"/>
  <c r="AZ715" i="1"/>
  <c r="CB715" i="1" l="1"/>
  <c r="BP715" i="1" s="1"/>
  <c r="CF715" i="1"/>
  <c r="BX715" i="1" s="1"/>
  <c r="BR715" i="1"/>
  <c r="CD715" i="1"/>
  <c r="BT715" i="1" s="1"/>
  <c r="BV715" i="1"/>
  <c r="BN715" i="1"/>
  <c r="BH715" i="1" s="1"/>
  <c r="AZ716" i="1" s="1"/>
  <c r="BD716" i="1" l="1"/>
  <c r="BJ715" i="1"/>
  <c r="BF716" i="1" l="1"/>
  <c r="BB716" i="1"/>
  <c r="CB716" i="1" l="1"/>
  <c r="CF716" i="1"/>
  <c r="CD716" i="1"/>
  <c r="BT716" i="1" l="1"/>
  <c r="BR716" i="1"/>
  <c r="BP716" i="1"/>
  <c r="BJ716" i="1" s="1"/>
  <c r="BN716" i="1"/>
  <c r="BX716" i="1"/>
  <c r="BV716" i="1"/>
  <c r="BB717" i="1" l="1"/>
  <c r="BF717" i="1"/>
  <c r="BH716" i="1"/>
  <c r="AZ717" i="1" l="1"/>
  <c r="BD717" i="1"/>
  <c r="CB717" i="1" l="1"/>
  <c r="BP717" i="1" s="1"/>
  <c r="CF717" i="1"/>
  <c r="BX717" i="1" s="1"/>
  <c r="CD717" i="1"/>
  <c r="BT717" i="1" s="1"/>
  <c r="BV717" i="1" l="1"/>
  <c r="BJ717" i="1"/>
  <c r="BR717" i="1"/>
  <c r="BN717" i="1"/>
  <c r="BF718" i="1" l="1"/>
  <c r="BB718" i="1"/>
  <c r="BH717" i="1"/>
  <c r="BD718" i="1" l="1"/>
  <c r="AZ718" i="1"/>
  <c r="CD718" i="1" l="1"/>
  <c r="BT718" i="1" s="1"/>
  <c r="CF718" i="1"/>
  <c r="BX718" i="1" s="1"/>
  <c r="CB718" i="1"/>
  <c r="BP718" i="1" s="1"/>
  <c r="BJ718" i="1" s="1"/>
  <c r="BV718" i="1"/>
  <c r="BR718" i="1"/>
  <c r="BB719" i="1" l="1"/>
  <c r="BF719" i="1"/>
  <c r="BN718" i="1"/>
  <c r="BH718" i="1" s="1"/>
  <c r="BD719" i="1" l="1"/>
  <c r="AZ719" i="1"/>
  <c r="CF719" i="1" l="1"/>
  <c r="BX719" i="1" s="1"/>
  <c r="CB719" i="1"/>
  <c r="BP719" i="1" s="1"/>
  <c r="CD719" i="1"/>
  <c r="BT719" i="1" s="1"/>
  <c r="BV719" i="1"/>
  <c r="BN719" i="1"/>
  <c r="BJ719" i="1" l="1"/>
  <c r="BR719" i="1"/>
  <c r="BH719" i="1" s="1"/>
  <c r="AZ720" i="1" l="1"/>
  <c r="BD720" i="1"/>
  <c r="BF720" i="1"/>
  <c r="BB720" i="1"/>
  <c r="CB720" i="1" l="1"/>
  <c r="BP720" i="1" s="1"/>
  <c r="BJ720" i="1" s="1"/>
  <c r="BB721" i="1" s="1"/>
  <c r="CD720" i="1"/>
  <c r="BT720" i="1" s="1"/>
  <c r="CF720" i="1"/>
  <c r="BX720" i="1" s="1"/>
  <c r="BV720" i="1"/>
  <c r="BN720" i="1"/>
  <c r="BR720" i="1"/>
  <c r="BF721" i="1" l="1"/>
  <c r="BH720" i="1"/>
  <c r="AZ721" i="1" l="1"/>
  <c r="BD721" i="1"/>
  <c r="CD721" i="1" l="1"/>
  <c r="CB721" i="1"/>
  <c r="BP721" i="1" s="1"/>
  <c r="CF721" i="1"/>
  <c r="BX721" i="1" s="1"/>
  <c r="BN721" i="1"/>
  <c r="BV721" i="1" l="1"/>
  <c r="BR721" i="1"/>
  <c r="BT721" i="1"/>
  <c r="BJ721" i="1" s="1"/>
  <c r="BF722" i="1" l="1"/>
  <c r="BB722" i="1"/>
  <c r="BH721" i="1"/>
  <c r="AZ722" i="1" l="1"/>
  <c r="BD722" i="1"/>
  <c r="CD722" i="1" l="1"/>
  <c r="BT722" i="1" s="1"/>
  <c r="CB722" i="1"/>
  <c r="BP722" i="1" s="1"/>
  <c r="CF722" i="1"/>
  <c r="BX722" i="1" s="1"/>
  <c r="BN722" i="1"/>
  <c r="BR722" i="1"/>
  <c r="BJ722" i="1" l="1"/>
  <c r="BV722" i="1"/>
  <c r="BH722" i="1" s="1"/>
  <c r="AZ723" i="1" l="1"/>
  <c r="BD723" i="1"/>
  <c r="BB723" i="1"/>
  <c r="BF723" i="1"/>
  <c r="BP723" i="1" l="1"/>
  <c r="BJ723" i="1" s="1"/>
  <c r="BF724" i="1" s="1"/>
  <c r="CD723" i="1"/>
  <c r="BT723" i="1" s="1"/>
  <c r="CB723" i="1"/>
  <c r="BN723" i="1" s="1"/>
  <c r="CF723" i="1"/>
  <c r="BX723" i="1" s="1"/>
  <c r="BR723" i="1"/>
  <c r="BB724" i="1" l="1"/>
  <c r="BV723" i="1"/>
  <c r="BH723" i="1" s="1"/>
  <c r="AZ724" i="1" l="1"/>
  <c r="BD724" i="1"/>
  <c r="CF724" i="1" l="1"/>
  <c r="BX724" i="1" s="1"/>
  <c r="CB724" i="1"/>
  <c r="BP724" i="1" s="1"/>
  <c r="BJ724" i="1" s="1"/>
  <c r="CD724" i="1"/>
  <c r="BT724" i="1" s="1"/>
  <c r="BV724" i="1"/>
  <c r="BF725" i="1" l="1"/>
  <c r="BB725" i="1"/>
  <c r="BR724" i="1"/>
  <c r="BN724" i="1"/>
  <c r="BH724" i="1" s="1"/>
  <c r="AZ725" i="1" l="1"/>
  <c r="BD725" i="1"/>
  <c r="CD725" i="1" l="1"/>
  <c r="CF725" i="1"/>
  <c r="BX725" i="1" s="1"/>
  <c r="CB725" i="1"/>
  <c r="BP725" i="1" s="1"/>
  <c r="BR725" i="1" l="1"/>
  <c r="BT725" i="1"/>
  <c r="BJ725" i="1" s="1"/>
  <c r="BN725" i="1"/>
  <c r="BV725" i="1"/>
  <c r="BH725" i="1" s="1"/>
  <c r="BD726" i="1" l="1"/>
  <c r="AZ726" i="1"/>
  <c r="BB726" i="1"/>
  <c r="BF726" i="1"/>
  <c r="CF726" i="1" l="1"/>
  <c r="BX726" i="1" s="1"/>
  <c r="CD726" i="1"/>
  <c r="BT726" i="1" s="1"/>
  <c r="CB726" i="1"/>
  <c r="BP726" i="1" s="1"/>
  <c r="BV726" i="1"/>
  <c r="BN726" i="1"/>
  <c r="BJ726" i="1" l="1"/>
  <c r="BR726" i="1"/>
  <c r="BH726" i="1" s="1"/>
  <c r="BD727" i="1" l="1"/>
  <c r="AZ727" i="1"/>
  <c r="BF727" i="1"/>
  <c r="BB727" i="1"/>
  <c r="CD727" i="1" l="1"/>
  <c r="BT727" i="1" s="1"/>
  <c r="CB727" i="1"/>
  <c r="BP727" i="1" s="1"/>
  <c r="CF727" i="1"/>
  <c r="BX727" i="1" s="1"/>
  <c r="BV727" i="1"/>
  <c r="BJ727" i="1" l="1"/>
  <c r="BR727" i="1"/>
  <c r="BN727" i="1"/>
  <c r="BH727" i="1" s="1"/>
  <c r="AZ728" i="1" l="1"/>
  <c r="BD728" i="1"/>
  <c r="BB728" i="1"/>
  <c r="BF728" i="1"/>
  <c r="CD728" i="1" l="1"/>
  <c r="BT728" i="1" s="1"/>
  <c r="CB728" i="1"/>
  <c r="BP728" i="1" s="1"/>
  <c r="CF728" i="1"/>
  <c r="BX728" i="1" s="1"/>
  <c r="BR728" i="1"/>
  <c r="BV728" i="1"/>
  <c r="BN728" i="1"/>
  <c r="BH728" i="1" l="1"/>
  <c r="BJ728" i="1"/>
  <c r="BF729" i="1" l="1"/>
  <c r="BB729" i="1"/>
  <c r="AZ729" i="1"/>
  <c r="BD729" i="1"/>
  <c r="CD729" i="1" l="1"/>
  <c r="BT729" i="1" s="1"/>
  <c r="CF729" i="1"/>
  <c r="BX729" i="1" s="1"/>
  <c r="CB729" i="1"/>
  <c r="BP729" i="1" s="1"/>
  <c r="BV729" i="1"/>
  <c r="BN729" i="1"/>
  <c r="BR729" i="1" l="1"/>
  <c r="BH729" i="1" s="1"/>
  <c r="BJ729" i="1"/>
  <c r="BD730" i="1" l="1"/>
  <c r="AZ730" i="1"/>
  <c r="BB730" i="1"/>
  <c r="BF730" i="1"/>
  <c r="CB730" i="1" l="1"/>
  <c r="BP730" i="1" s="1"/>
  <c r="CF730" i="1"/>
  <c r="BX730" i="1" s="1"/>
  <c r="CD730" i="1"/>
  <c r="BT730" i="1" s="1"/>
  <c r="BN730" i="1"/>
  <c r="BJ730" i="1" l="1"/>
  <c r="BV730" i="1"/>
  <c r="BR730" i="1"/>
  <c r="BH730" i="1" s="1"/>
  <c r="BD731" i="1" l="1"/>
  <c r="AZ731" i="1"/>
  <c r="BF731" i="1"/>
  <c r="BB731" i="1"/>
  <c r="CD731" i="1" l="1"/>
  <c r="BR731" i="1" s="1"/>
  <c r="CB731" i="1"/>
  <c r="BN731" i="1" s="1"/>
  <c r="CF731" i="1"/>
  <c r="BX731" i="1" s="1"/>
  <c r="BV731" i="1" l="1"/>
  <c r="BH731" i="1" s="1"/>
  <c r="BT731" i="1"/>
  <c r="BP731" i="1"/>
  <c r="BJ731" i="1" s="1"/>
  <c r="BB732" i="1" l="1"/>
  <c r="BF732" i="1"/>
  <c r="BD732" i="1"/>
  <c r="AZ732" i="1"/>
  <c r="CD732" i="1" l="1"/>
  <c r="BT732" i="1" s="1"/>
  <c r="CB732" i="1"/>
  <c r="BP732" i="1" s="1"/>
  <c r="CF732" i="1"/>
  <c r="BX732" i="1" s="1"/>
  <c r="BN732" i="1"/>
  <c r="BR732" i="1"/>
  <c r="BV732" i="1" l="1"/>
  <c r="BJ732" i="1"/>
  <c r="BH732" i="1"/>
  <c r="BB733" i="1" l="1"/>
  <c r="BF733" i="1"/>
  <c r="AZ733" i="1"/>
  <c r="BD733" i="1"/>
  <c r="CD733" i="1" l="1"/>
  <c r="BT733" i="1" s="1"/>
  <c r="CB733" i="1"/>
  <c r="BP733" i="1" s="1"/>
  <c r="CF733" i="1"/>
  <c r="BX733" i="1" s="1"/>
  <c r="BV733" i="1"/>
  <c r="BJ733" i="1" l="1"/>
  <c r="BR733" i="1"/>
  <c r="BN733" i="1"/>
  <c r="BH733" i="1" s="1"/>
  <c r="BD734" i="1" l="1"/>
  <c r="AZ734" i="1"/>
  <c r="BF734" i="1"/>
  <c r="BB734" i="1"/>
  <c r="CF734" i="1" l="1"/>
  <c r="BX734" i="1" s="1"/>
  <c r="CD734" i="1"/>
  <c r="BT734" i="1" s="1"/>
  <c r="CB734" i="1"/>
  <c r="BP734" i="1" s="1"/>
  <c r="BJ734" i="1" s="1"/>
  <c r="BB735" i="1" s="1"/>
  <c r="BV734" i="1"/>
  <c r="BR734" i="1" l="1"/>
  <c r="BF735" i="1"/>
  <c r="BN734" i="1"/>
  <c r="BH734" i="1" s="1"/>
  <c r="BD735" i="1" l="1"/>
  <c r="AZ735" i="1"/>
  <c r="CB735" i="1" l="1"/>
  <c r="BP735" i="1" s="1"/>
  <c r="CF735" i="1"/>
  <c r="BX735" i="1" s="1"/>
  <c r="CD735" i="1"/>
  <c r="BT735" i="1" s="1"/>
  <c r="BV735" i="1"/>
  <c r="BN735" i="1"/>
  <c r="BR735" i="1" l="1"/>
  <c r="BH735" i="1" s="1"/>
  <c r="BJ735" i="1"/>
  <c r="BD736" i="1" l="1"/>
  <c r="AZ736" i="1"/>
  <c r="BF736" i="1"/>
  <c r="BB736" i="1"/>
  <c r="CF736" i="1" l="1"/>
  <c r="BX736" i="1" s="1"/>
  <c r="CB736" i="1"/>
  <c r="BP736" i="1" s="1"/>
  <c r="CD736" i="1"/>
  <c r="BR736" i="1" s="1"/>
  <c r="BN736" i="1" l="1"/>
  <c r="BV736" i="1"/>
  <c r="BT736" i="1"/>
  <c r="BJ736" i="1" s="1"/>
  <c r="BF737" i="1" l="1"/>
  <c r="BB737" i="1"/>
  <c r="BH736" i="1"/>
  <c r="BD737" i="1" l="1"/>
  <c r="AZ737" i="1"/>
  <c r="CF737" i="1" l="1"/>
  <c r="BX737" i="1" s="1"/>
  <c r="CD737" i="1"/>
  <c r="BT737" i="1" s="1"/>
  <c r="CB737" i="1"/>
  <c r="BP737" i="1" s="1"/>
  <c r="BJ737" i="1" s="1"/>
  <c r="BR737" i="1"/>
  <c r="BB738" i="1" l="1"/>
  <c r="BF738" i="1"/>
  <c r="BV737" i="1"/>
  <c r="BN737" i="1"/>
  <c r="BH737" i="1" s="1"/>
  <c r="BD738" i="1" l="1"/>
  <c r="AZ738" i="1"/>
  <c r="CF738" i="1" l="1"/>
  <c r="BX738" i="1" s="1"/>
  <c r="CD738" i="1"/>
  <c r="CB738" i="1"/>
  <c r="BP738" i="1" s="1"/>
  <c r="BV738" i="1"/>
  <c r="BN738" i="1" l="1"/>
  <c r="BR738" i="1"/>
  <c r="BT738" i="1"/>
  <c r="BJ738" i="1" s="1"/>
  <c r="BB739" i="1" l="1"/>
  <c r="BF739" i="1"/>
  <c r="BH738" i="1"/>
  <c r="AZ739" i="1" l="1"/>
  <c r="BD739" i="1"/>
  <c r="CF739" i="1" l="1"/>
  <c r="BX739" i="1" s="1"/>
  <c r="CD739" i="1"/>
  <c r="BT739" i="1" s="1"/>
  <c r="CB739" i="1"/>
  <c r="BP739" i="1" s="1"/>
  <c r="BJ739" i="1" s="1"/>
  <c r="BR739" i="1"/>
  <c r="BV739" i="1"/>
  <c r="BN739" i="1" l="1"/>
  <c r="BH739" i="1" s="1"/>
  <c r="BF740" i="1"/>
  <c r="BB740" i="1"/>
  <c r="AZ740" i="1" l="1"/>
  <c r="BD740" i="1"/>
  <c r="CD740" i="1" l="1"/>
  <c r="BT740" i="1" s="1"/>
  <c r="CB740" i="1"/>
  <c r="BP740" i="1" s="1"/>
  <c r="BJ740" i="1" s="1"/>
  <c r="CF740" i="1"/>
  <c r="BX740" i="1" s="1"/>
  <c r="BV740" i="1"/>
  <c r="BB741" i="1" l="1"/>
  <c r="BF741" i="1"/>
  <c r="BR740" i="1"/>
  <c r="BN740" i="1"/>
  <c r="BH740" i="1" s="1"/>
  <c r="BD741" i="1" l="1"/>
  <c r="AZ741" i="1"/>
  <c r="CF741" i="1" l="1"/>
  <c r="BX741" i="1" s="1"/>
  <c r="CB741" i="1"/>
  <c r="BP741" i="1" s="1"/>
  <c r="CD741" i="1"/>
  <c r="BT741" i="1" s="1"/>
  <c r="BV741" i="1"/>
  <c r="BN741" i="1"/>
  <c r="BR741" i="1" l="1"/>
  <c r="BH741" i="1" s="1"/>
  <c r="BJ741" i="1"/>
  <c r="AZ742" i="1" l="1"/>
  <c r="BD742" i="1"/>
  <c r="BF742" i="1"/>
  <c r="BB742" i="1"/>
  <c r="CD742" i="1" l="1"/>
  <c r="BR742" i="1" s="1"/>
  <c r="CF742" i="1"/>
  <c r="BX742" i="1" s="1"/>
  <c r="CB742" i="1"/>
  <c r="BP742" i="1" s="1"/>
  <c r="BV742" i="1"/>
  <c r="BN742" i="1" l="1"/>
  <c r="BH742" i="1"/>
  <c r="BT742" i="1"/>
  <c r="BJ742" i="1" s="1"/>
  <c r="BB743" i="1" l="1"/>
  <c r="BF743" i="1"/>
  <c r="BD743" i="1"/>
  <c r="AZ743" i="1"/>
  <c r="CF743" i="1" l="1"/>
  <c r="BX743" i="1" s="1"/>
  <c r="CB743" i="1"/>
  <c r="BP743" i="1" s="1"/>
  <c r="CD743" i="1"/>
  <c r="BR743" i="1" s="1"/>
  <c r="BV743" i="1"/>
  <c r="BN743" i="1"/>
  <c r="BT743" i="1" l="1"/>
  <c r="BJ743" i="1"/>
  <c r="BH743" i="1"/>
  <c r="BB744" i="1" l="1"/>
  <c r="BF744" i="1"/>
  <c r="BD744" i="1"/>
  <c r="AZ744" i="1"/>
  <c r="CF744" i="1" l="1"/>
  <c r="BX744" i="1" s="1"/>
  <c r="CD744" i="1"/>
  <c r="BT744" i="1" s="1"/>
  <c r="CB744" i="1"/>
  <c r="BP744" i="1" s="1"/>
  <c r="BJ744" i="1" s="1"/>
  <c r="BF745" i="1" s="1"/>
  <c r="BR744" i="1"/>
  <c r="BV744" i="1"/>
  <c r="BN744" i="1" l="1"/>
  <c r="BH744" i="1" s="1"/>
  <c r="BB745" i="1"/>
  <c r="AZ745" i="1" l="1"/>
  <c r="BD745" i="1"/>
  <c r="CF745" i="1" l="1"/>
  <c r="BX745" i="1" s="1"/>
  <c r="CB745" i="1"/>
  <c r="BP745" i="1" s="1"/>
  <c r="BJ745" i="1" s="1"/>
  <c r="CD745" i="1"/>
  <c r="BT745" i="1" s="1"/>
  <c r="BV745" i="1"/>
  <c r="BF746" i="1" l="1"/>
  <c r="BB746" i="1"/>
  <c r="BN745" i="1"/>
  <c r="BR745" i="1"/>
  <c r="BH745" i="1" l="1"/>
  <c r="BD746" i="1" l="1"/>
  <c r="AZ746" i="1"/>
  <c r="CB746" i="1" l="1"/>
  <c r="BP746" i="1" s="1"/>
  <c r="CF746" i="1"/>
  <c r="BX746" i="1" s="1"/>
  <c r="CD746" i="1"/>
  <c r="BT746" i="1" s="1"/>
  <c r="BV746" i="1"/>
  <c r="BN746" i="1"/>
  <c r="BR746" i="1" l="1"/>
  <c r="BH746" i="1" s="1"/>
  <c r="BJ746" i="1"/>
  <c r="BD747" i="1" l="1"/>
  <c r="AZ747" i="1"/>
  <c r="BF747" i="1"/>
  <c r="BB747" i="1"/>
  <c r="CD747" i="1" l="1"/>
  <c r="BT747" i="1" s="1"/>
  <c r="CB747" i="1"/>
  <c r="BP747" i="1" s="1"/>
  <c r="CF747" i="1"/>
  <c r="BV747" i="1" s="1"/>
  <c r="BN747" i="1" l="1"/>
  <c r="BR747" i="1"/>
  <c r="BH747" i="1" s="1"/>
  <c r="BX747" i="1"/>
  <c r="BJ747" i="1" s="1"/>
  <c r="BF748" i="1" l="1"/>
  <c r="BB748" i="1"/>
  <c r="BD748" i="1"/>
  <c r="AZ748" i="1"/>
  <c r="CF748" i="1" l="1"/>
  <c r="BX748" i="1" s="1"/>
  <c r="CD748" i="1"/>
  <c r="BT748" i="1" s="1"/>
  <c r="CB748" i="1"/>
  <c r="BP748" i="1" s="1"/>
  <c r="BJ748" i="1" s="1"/>
  <c r="BF749" i="1" s="1"/>
  <c r="BV748" i="1"/>
  <c r="BB749" i="1" l="1"/>
  <c r="BR748" i="1"/>
  <c r="BN748" i="1"/>
  <c r="BH748" i="1" s="1"/>
  <c r="BD749" i="1" l="1"/>
  <c r="AZ749" i="1"/>
  <c r="CF749" i="1" l="1"/>
  <c r="BX749" i="1" s="1"/>
  <c r="CB749" i="1"/>
  <c r="BP749" i="1" s="1"/>
  <c r="CD749" i="1"/>
  <c r="BV749" i="1"/>
  <c r="BN749" i="1" l="1"/>
  <c r="BR749" i="1"/>
  <c r="BT749" i="1"/>
  <c r="BJ749" i="1" s="1"/>
  <c r="BB750" i="1" l="1"/>
  <c r="BF750" i="1"/>
  <c r="BH749" i="1"/>
  <c r="BD750" i="1" l="1"/>
  <c r="AZ750" i="1"/>
  <c r="CD750" i="1" l="1"/>
  <c r="BT750" i="1" s="1"/>
  <c r="CB750" i="1"/>
  <c r="BP750" i="1" s="1"/>
  <c r="CF750" i="1"/>
  <c r="BX750" i="1" s="1"/>
  <c r="BJ750" i="1" s="1"/>
  <c r="BR750" i="1"/>
  <c r="BN750" i="1"/>
  <c r="BB751" i="1" l="1"/>
  <c r="BF751" i="1"/>
  <c r="BV750" i="1"/>
  <c r="BH750" i="1" s="1"/>
  <c r="AZ751" i="1" l="1"/>
  <c r="BD751" i="1"/>
  <c r="CF751" i="1" l="1"/>
  <c r="BX751" i="1" s="1"/>
  <c r="CB751" i="1"/>
  <c r="BP751" i="1" s="1"/>
  <c r="BJ751" i="1" s="1"/>
  <c r="CD751" i="1"/>
  <c r="BT751" i="1" s="1"/>
  <c r="BN751" i="1" l="1"/>
  <c r="BF752" i="1"/>
  <c r="BB752" i="1"/>
  <c r="BR751" i="1"/>
  <c r="BV751" i="1"/>
  <c r="BH751" i="1" l="1"/>
  <c r="AZ752" i="1" l="1"/>
  <c r="BD752" i="1"/>
  <c r="CF752" i="1" l="1"/>
  <c r="BX752" i="1" s="1"/>
  <c r="CB752" i="1"/>
  <c r="CD752" i="1"/>
  <c r="BT752" i="1" s="1"/>
  <c r="BN752" i="1" l="1"/>
  <c r="BP752" i="1"/>
  <c r="BJ752" i="1" s="1"/>
  <c r="BR752" i="1"/>
  <c r="BV752" i="1"/>
  <c r="BB753" i="1" l="1"/>
  <c r="BF753" i="1"/>
  <c r="BH752" i="1"/>
  <c r="AZ753" i="1" l="1"/>
  <c r="BD753" i="1"/>
  <c r="CF753" i="1" l="1"/>
  <c r="BX753" i="1" s="1"/>
  <c r="CD753" i="1"/>
  <c r="BT753" i="1" s="1"/>
  <c r="CB753" i="1"/>
  <c r="BN753" i="1" l="1"/>
  <c r="BP753" i="1"/>
  <c r="BJ753" i="1" s="1"/>
  <c r="BV753" i="1"/>
  <c r="BR753" i="1"/>
  <c r="BB754" i="1" l="1"/>
  <c r="BF754" i="1"/>
  <c r="BH753" i="1"/>
  <c r="AZ754" i="1" l="1"/>
  <c r="BD754" i="1"/>
  <c r="CB754" i="1" l="1"/>
  <c r="BP754" i="1" s="1"/>
  <c r="CF754" i="1"/>
  <c r="BX754" i="1" s="1"/>
  <c r="CD754" i="1"/>
  <c r="BT754" i="1" s="1"/>
  <c r="BR754" i="1" l="1"/>
  <c r="BJ754" i="1"/>
  <c r="BV754" i="1"/>
  <c r="BN754" i="1"/>
  <c r="BH754" i="1" l="1"/>
  <c r="BF755" i="1"/>
  <c r="BB755" i="1"/>
  <c r="BD755" i="1" l="1"/>
  <c r="AZ755" i="1"/>
  <c r="CF755" i="1" l="1"/>
  <c r="BX755" i="1" s="1"/>
  <c r="CD755" i="1"/>
  <c r="BT755" i="1" s="1"/>
  <c r="CB755" i="1"/>
  <c r="BP755" i="1" s="1"/>
  <c r="BJ755" i="1" s="1"/>
  <c r="BV755" i="1"/>
  <c r="BN755" i="1" l="1"/>
  <c r="BR755" i="1"/>
  <c r="BB756" i="1"/>
  <c r="BF756" i="1"/>
  <c r="BH755" i="1" l="1"/>
  <c r="BD756" i="1" l="1"/>
  <c r="AZ756" i="1"/>
  <c r="CB756" i="1" l="1"/>
  <c r="CD756" i="1"/>
  <c r="BT756" i="1" s="1"/>
  <c r="CF756" i="1"/>
  <c r="BX756" i="1" s="1"/>
  <c r="BR756" i="1" l="1"/>
  <c r="BV756" i="1"/>
  <c r="BN756" i="1"/>
  <c r="BH756" i="1" s="1"/>
  <c r="BP756" i="1"/>
  <c r="BJ756" i="1" s="1"/>
  <c r="BF757" i="1" l="1"/>
  <c r="BB757" i="1"/>
  <c r="BD757" i="1"/>
  <c r="AZ757" i="1"/>
  <c r="CD757" i="1" l="1"/>
  <c r="BT757" i="1" s="1"/>
  <c r="CF757" i="1"/>
  <c r="BV757" i="1" s="1"/>
  <c r="CB757" i="1"/>
  <c r="BP757" i="1" s="1"/>
  <c r="BJ757" i="1" s="1"/>
  <c r="BF758" i="1" s="1"/>
  <c r="BR757" i="1"/>
  <c r="BX757" i="1"/>
  <c r="BB758" i="1" l="1"/>
  <c r="BN757" i="1"/>
  <c r="BH757" i="1" s="1"/>
  <c r="AZ758" i="1" l="1"/>
  <c r="BD758" i="1"/>
  <c r="CB758" i="1" l="1"/>
  <c r="BP758" i="1" s="1"/>
  <c r="CD758" i="1"/>
  <c r="BT758" i="1" s="1"/>
  <c r="CF758" i="1"/>
  <c r="BV758" i="1" l="1"/>
  <c r="BX758" i="1"/>
  <c r="BJ758" i="1" s="1"/>
  <c r="BR758" i="1"/>
  <c r="BN758" i="1"/>
  <c r="BH758" i="1" s="1"/>
  <c r="AZ759" i="1" l="1"/>
  <c r="BD759" i="1"/>
  <c r="BF759" i="1"/>
  <c r="BB759" i="1"/>
  <c r="BT759" i="1" l="1"/>
  <c r="CB759" i="1"/>
  <c r="BN759" i="1" s="1"/>
  <c r="CF759" i="1"/>
  <c r="BV759" i="1" s="1"/>
  <c r="CD759" i="1"/>
  <c r="BR759" i="1"/>
  <c r="BH759" i="1" l="1"/>
  <c r="BX759" i="1"/>
  <c r="BP759" i="1"/>
  <c r="BJ759" i="1" l="1"/>
  <c r="BD760" i="1"/>
  <c r="AZ760" i="1"/>
  <c r="CD760" i="1" l="1"/>
  <c r="BT760" i="1" s="1"/>
  <c r="BF760" i="1"/>
  <c r="BB760" i="1"/>
  <c r="CF760" i="1" s="1"/>
  <c r="BX760" i="1" l="1"/>
  <c r="BV760" i="1"/>
  <c r="BR760" i="1"/>
  <c r="CB760" i="1"/>
  <c r="BN760" i="1" s="1"/>
  <c r="BH760" i="1" s="1"/>
  <c r="BP760" i="1" l="1"/>
  <c r="BJ760" i="1" s="1"/>
  <c r="AZ761" i="1"/>
  <c r="BD761" i="1"/>
  <c r="CD761" i="1" l="1"/>
  <c r="BT761" i="1" s="1"/>
  <c r="CF761" i="1"/>
  <c r="BX761" i="1" s="1"/>
  <c r="BB761" i="1"/>
  <c r="CB761" i="1" s="1"/>
  <c r="BF761" i="1"/>
  <c r="BP761" i="1" l="1"/>
  <c r="BJ761" i="1" s="1"/>
  <c r="BF762" i="1" s="1"/>
  <c r="BN761" i="1"/>
  <c r="BR761" i="1"/>
  <c r="BV761" i="1"/>
  <c r="BB762" i="1"/>
  <c r="BH761" i="1" l="1"/>
  <c r="BD762" i="1" l="1"/>
  <c r="AZ762" i="1"/>
  <c r="CF762" i="1" l="1"/>
  <c r="BX762" i="1" s="1"/>
  <c r="CD762" i="1"/>
  <c r="BT762" i="1" s="1"/>
  <c r="CB762" i="1"/>
  <c r="BP762" i="1" s="1"/>
  <c r="BJ762" i="1" s="1"/>
  <c r="BR762" i="1"/>
  <c r="BV762" i="1"/>
  <c r="BN762" i="1"/>
  <c r="BH762" i="1" s="1"/>
  <c r="BD763" i="1" s="1"/>
  <c r="AZ763" i="1"/>
  <c r="BF763" i="1" l="1"/>
  <c r="BB763" i="1"/>
  <c r="CB763" i="1" s="1"/>
  <c r="BP763" i="1" l="1"/>
  <c r="BN763" i="1"/>
  <c r="CD763" i="1"/>
  <c r="CF763" i="1"/>
  <c r="BT763" i="1" l="1"/>
  <c r="BR763" i="1"/>
  <c r="BX763" i="1"/>
  <c r="BJ763" i="1" s="1"/>
  <c r="BV763" i="1"/>
  <c r="BF764" i="1" l="1"/>
  <c r="BB764" i="1"/>
  <c r="BH763" i="1"/>
  <c r="BD764" i="1" l="1"/>
  <c r="AZ764" i="1"/>
  <c r="CD764" i="1" l="1"/>
  <c r="BT764" i="1" s="1"/>
  <c r="CB764" i="1"/>
  <c r="BP764" i="1" s="1"/>
  <c r="CF764" i="1"/>
  <c r="BX764" i="1" s="1"/>
  <c r="BR764" i="1"/>
  <c r="BV764" i="1" l="1"/>
  <c r="BJ764" i="1"/>
  <c r="BN764" i="1"/>
  <c r="BH764" i="1" s="1"/>
  <c r="BB765" i="1" l="1"/>
  <c r="BF765" i="1"/>
  <c r="BD765" i="1"/>
  <c r="AZ765" i="1"/>
  <c r="CF765" i="1" l="1"/>
  <c r="BV765" i="1" s="1"/>
  <c r="CB765" i="1"/>
  <c r="BN765" i="1" s="1"/>
  <c r="CD765" i="1"/>
  <c r="BT765" i="1" s="1"/>
  <c r="BX765" i="1"/>
  <c r="BP765" i="1"/>
  <c r="BJ765" i="1" s="1"/>
  <c r="BF766" i="1" s="1"/>
  <c r="BB766" i="1" l="1"/>
  <c r="BR765" i="1"/>
  <c r="BH765" i="1" s="1"/>
  <c r="AZ766" i="1" l="1"/>
  <c r="BD766" i="1"/>
  <c r="CF766" i="1"/>
  <c r="BV766" i="1" s="1"/>
  <c r="BX766" i="1" l="1"/>
  <c r="CB766" i="1"/>
  <c r="CD766" i="1"/>
  <c r="BR766" i="1" l="1"/>
  <c r="BT766" i="1"/>
  <c r="BN766" i="1"/>
  <c r="BP766" i="1"/>
  <c r="BJ766" i="1" l="1"/>
  <c r="BH766" i="1"/>
  <c r="BD767" i="1" l="1"/>
  <c r="AZ767" i="1"/>
  <c r="BF767" i="1"/>
  <c r="BB767" i="1"/>
  <c r="CF767" i="1" l="1"/>
  <c r="BV767" i="1" s="1"/>
  <c r="CD767" i="1"/>
  <c r="BR767" i="1" s="1"/>
  <c r="CB767" i="1"/>
  <c r="BN767" i="1" s="1"/>
  <c r="BH767" i="1" s="1"/>
  <c r="AZ768" i="1" s="1"/>
  <c r="BX767" i="1"/>
  <c r="BT767" i="1" l="1"/>
  <c r="BJ767" i="1" s="1"/>
  <c r="BD768" i="1"/>
  <c r="BP767" i="1"/>
  <c r="BF768" i="1" l="1"/>
  <c r="BB768" i="1"/>
  <c r="CD768" i="1" l="1"/>
  <c r="CB768" i="1"/>
  <c r="CF768" i="1"/>
  <c r="BP768" i="1" l="1"/>
  <c r="BN768" i="1"/>
  <c r="BT768" i="1"/>
  <c r="BR768" i="1"/>
  <c r="BX768" i="1"/>
  <c r="BV768" i="1"/>
  <c r="BH768" i="1" l="1"/>
  <c r="BJ768" i="1"/>
  <c r="BF769" i="1" l="1"/>
  <c r="BB769" i="1"/>
  <c r="BD769" i="1"/>
  <c r="AZ769" i="1"/>
  <c r="CF769" i="1" l="1"/>
  <c r="BX769" i="1" s="1"/>
  <c r="CD769" i="1"/>
  <c r="BR769" i="1" s="1"/>
  <c r="CB769" i="1"/>
  <c r="BP769" i="1" s="1"/>
  <c r="BJ769" i="1" s="1"/>
  <c r="BB770" i="1" s="1"/>
  <c r="BV769" i="1"/>
  <c r="BT769" i="1"/>
  <c r="BF770" i="1" l="1"/>
  <c r="BN769" i="1"/>
  <c r="BH769" i="1" s="1"/>
  <c r="AZ770" i="1" l="1"/>
  <c r="BD770" i="1"/>
  <c r="CF770" i="1" l="1"/>
  <c r="BX770" i="1" s="1"/>
  <c r="CD770" i="1"/>
  <c r="BT770" i="1" s="1"/>
  <c r="CB770" i="1"/>
  <c r="BP770" i="1" s="1"/>
  <c r="BJ770" i="1" s="1"/>
  <c r="BB771" i="1" l="1"/>
  <c r="BF771" i="1"/>
  <c r="BN770" i="1"/>
  <c r="BR770" i="1"/>
  <c r="BH770" i="1" s="1"/>
  <c r="BV770" i="1"/>
  <c r="BD771" i="1" l="1"/>
  <c r="AZ771" i="1"/>
  <c r="CB771" i="1" l="1"/>
  <c r="BP771" i="1" s="1"/>
  <c r="CF771" i="1"/>
  <c r="BX771" i="1" s="1"/>
  <c r="CD771" i="1"/>
  <c r="BT771" i="1" s="1"/>
  <c r="BV771" i="1"/>
  <c r="BN771" i="1"/>
  <c r="BR771" i="1"/>
  <c r="BH771" i="1" l="1"/>
  <c r="BJ771" i="1"/>
  <c r="BF772" i="1" l="1"/>
  <c r="BB772" i="1"/>
  <c r="BD772" i="1"/>
  <c r="AZ772" i="1"/>
  <c r="CD772" i="1" l="1"/>
  <c r="BR772" i="1" s="1"/>
  <c r="CF772" i="1"/>
  <c r="BX772" i="1" s="1"/>
  <c r="CB772" i="1"/>
  <c r="BP772" i="1" s="1"/>
  <c r="BN772" i="1"/>
  <c r="BV772" i="1" l="1"/>
  <c r="BH772" i="1" s="1"/>
  <c r="BT772" i="1"/>
  <c r="BJ772" i="1" s="1"/>
  <c r="AZ773" i="1" l="1"/>
  <c r="BD773" i="1"/>
  <c r="BB773" i="1"/>
  <c r="BF773" i="1"/>
  <c r="CF773" i="1" l="1"/>
  <c r="BX773" i="1" s="1"/>
  <c r="CD773" i="1"/>
  <c r="BT773" i="1" s="1"/>
  <c r="CB773" i="1"/>
  <c r="BP773" i="1" s="1"/>
  <c r="BN773" i="1"/>
  <c r="BV773" i="1"/>
  <c r="BR773" i="1" l="1"/>
  <c r="BH773" i="1" s="1"/>
  <c r="BJ773" i="1"/>
  <c r="AZ774" i="1" l="1"/>
  <c r="BD774" i="1"/>
  <c r="BB774" i="1"/>
  <c r="BF774" i="1"/>
  <c r="CD774" i="1" l="1"/>
  <c r="BT774" i="1" s="1"/>
  <c r="CB774" i="1"/>
  <c r="BP774" i="1" s="1"/>
  <c r="BJ774" i="1" s="1"/>
  <c r="BF775" i="1" s="1"/>
  <c r="CF774" i="1"/>
  <c r="BX774" i="1" s="1"/>
  <c r="BV774" i="1"/>
  <c r="BR774" i="1" l="1"/>
  <c r="BN774" i="1"/>
  <c r="BH774" i="1" s="1"/>
  <c r="BB775" i="1"/>
  <c r="BD775" i="1" l="1"/>
  <c r="AZ775" i="1"/>
  <c r="CF775" i="1" l="1"/>
  <c r="BX775" i="1" s="1"/>
  <c r="CD775" i="1"/>
  <c r="BT775" i="1" s="1"/>
  <c r="CB775" i="1"/>
  <c r="BR775" i="1"/>
  <c r="BV775" i="1"/>
  <c r="BN775" i="1" l="1"/>
  <c r="BH775" i="1" s="1"/>
  <c r="BP775" i="1"/>
  <c r="BJ775" i="1" s="1"/>
  <c r="AZ776" i="1" l="1"/>
  <c r="BD776" i="1"/>
  <c r="BF776" i="1"/>
  <c r="BB776" i="1"/>
  <c r="CB776" i="1" l="1"/>
  <c r="BP776" i="1" s="1"/>
  <c r="BN776" i="1"/>
  <c r="CF776" i="1"/>
  <c r="BV776" i="1" s="1"/>
  <c r="CD776" i="1"/>
  <c r="BT776" i="1" s="1"/>
  <c r="BX776" i="1" l="1"/>
  <c r="BJ776" i="1" s="1"/>
  <c r="BR776" i="1"/>
  <c r="BH776" i="1" s="1"/>
  <c r="AZ777" i="1" l="1"/>
  <c r="BD777" i="1"/>
  <c r="BF777" i="1"/>
  <c r="BB777" i="1"/>
  <c r="CD777" i="1" l="1"/>
  <c r="BT777" i="1" s="1"/>
  <c r="CB777" i="1"/>
  <c r="BP777" i="1" s="1"/>
  <c r="CF777" i="1"/>
  <c r="BX777" i="1" s="1"/>
  <c r="BN777" i="1"/>
  <c r="BR777" i="1"/>
  <c r="BV777" i="1"/>
  <c r="BH777" i="1" l="1"/>
  <c r="BJ777" i="1"/>
  <c r="BB778" i="1" l="1"/>
  <c r="BF778" i="1"/>
  <c r="BD778" i="1"/>
  <c r="AZ778" i="1"/>
  <c r="CD778" i="1" l="1"/>
  <c r="BT778" i="1" s="1"/>
  <c r="CF778" i="1"/>
  <c r="BX778" i="1" s="1"/>
  <c r="CB778" i="1"/>
  <c r="BP778" i="1" s="1"/>
  <c r="BJ778" i="1" s="1"/>
  <c r="BB779" i="1" s="1"/>
  <c r="BR778" i="1"/>
  <c r="BV778" i="1"/>
  <c r="BF779" i="1" l="1"/>
  <c r="BN778" i="1"/>
  <c r="BH778" i="1" s="1"/>
  <c r="BD779" i="1" l="1"/>
  <c r="AZ779" i="1"/>
  <c r="CB779" i="1" l="1"/>
  <c r="BP779" i="1" s="1"/>
  <c r="CF779" i="1"/>
  <c r="BX779" i="1" s="1"/>
  <c r="BN779" i="1"/>
  <c r="CD779" i="1"/>
  <c r="BT779" i="1" s="1"/>
  <c r="BJ779" i="1" s="1"/>
  <c r="BV779" i="1"/>
  <c r="BB780" i="1" l="1"/>
  <c r="BF780" i="1"/>
  <c r="BR779" i="1"/>
  <c r="BH779" i="1" s="1"/>
  <c r="BD780" i="1" l="1"/>
  <c r="AZ780" i="1"/>
  <c r="CB780" i="1" l="1"/>
  <c r="BP780" i="1" s="1"/>
  <c r="CF780" i="1"/>
  <c r="BX780" i="1" s="1"/>
  <c r="CD780" i="1"/>
  <c r="BT780" i="1" s="1"/>
  <c r="BN780" i="1"/>
  <c r="BR780" i="1"/>
  <c r="BV780" i="1"/>
  <c r="BH780" i="1" l="1"/>
  <c r="BJ780" i="1"/>
  <c r="BF781" i="1" l="1"/>
  <c r="BB781" i="1"/>
  <c r="BD781" i="1"/>
  <c r="AZ781" i="1"/>
  <c r="CF781" i="1" l="1"/>
  <c r="BV781" i="1" s="1"/>
  <c r="CB781" i="1"/>
  <c r="BN781" i="1" s="1"/>
  <c r="CD781" i="1"/>
  <c r="BT781" i="1" s="1"/>
  <c r="BX781" i="1"/>
  <c r="BR781" i="1" l="1"/>
  <c r="BH781" i="1" s="1"/>
  <c r="BP781" i="1"/>
  <c r="BJ781" i="1" s="1"/>
  <c r="BF782" i="1" l="1"/>
  <c r="BB782" i="1"/>
  <c r="BD782" i="1"/>
  <c r="AZ782" i="1"/>
  <c r="CB782" i="1" l="1"/>
  <c r="BN782" i="1" s="1"/>
  <c r="CF782" i="1"/>
  <c r="BX782" i="1" s="1"/>
  <c r="CD782" i="1"/>
  <c r="BT782" i="1" s="1"/>
  <c r="BV782" i="1"/>
  <c r="BP782" i="1"/>
  <c r="BJ782" i="1" s="1"/>
  <c r="BF783" i="1" s="1"/>
  <c r="BB783" i="1" l="1"/>
  <c r="BR782" i="1"/>
  <c r="BH782" i="1"/>
  <c r="BD783" i="1" l="1"/>
  <c r="AZ783" i="1"/>
  <c r="CF783" i="1" l="1"/>
  <c r="BX783" i="1" s="1"/>
  <c r="CB783" i="1"/>
  <c r="BP783" i="1" s="1"/>
  <c r="BJ783" i="1" s="1"/>
  <c r="CD783" i="1"/>
  <c r="BT783" i="1" s="1"/>
  <c r="BV783" i="1"/>
  <c r="BN783" i="1" l="1"/>
  <c r="BB784" i="1"/>
  <c r="BF784" i="1"/>
  <c r="BR783" i="1"/>
  <c r="BH783" i="1" l="1"/>
  <c r="AZ784" i="1" l="1"/>
  <c r="BD784" i="1"/>
  <c r="CF784" i="1" l="1"/>
  <c r="BX784" i="1" s="1"/>
  <c r="CD784" i="1"/>
  <c r="BT784" i="1" s="1"/>
  <c r="CB784" i="1"/>
  <c r="BP784" i="1" s="1"/>
  <c r="BJ784" i="1" s="1"/>
  <c r="BF785" i="1" l="1"/>
  <c r="BB785" i="1"/>
  <c r="BR784" i="1"/>
  <c r="BN784" i="1"/>
  <c r="BV784" i="1"/>
  <c r="BH784" i="1" l="1"/>
  <c r="BD785" i="1" l="1"/>
  <c r="AZ785" i="1"/>
  <c r="CD785" i="1" l="1"/>
  <c r="CF785" i="1"/>
  <c r="BX785" i="1" s="1"/>
  <c r="CB785" i="1"/>
  <c r="BP785" i="1" s="1"/>
  <c r="BN785" i="1" l="1"/>
  <c r="BV785" i="1"/>
  <c r="BR785" i="1"/>
  <c r="BT785" i="1"/>
  <c r="BJ785" i="1" s="1"/>
  <c r="BB786" i="1" l="1"/>
  <c r="BF786" i="1"/>
  <c r="BH785" i="1"/>
  <c r="BD786" i="1" l="1"/>
  <c r="AZ786" i="1"/>
  <c r="CB786" i="1" l="1"/>
  <c r="CD786" i="1"/>
  <c r="BT786" i="1" s="1"/>
  <c r="CF786" i="1"/>
  <c r="BN786" i="1" l="1"/>
  <c r="BP786" i="1"/>
  <c r="BV786" i="1"/>
  <c r="BX786" i="1"/>
  <c r="BR786" i="1"/>
  <c r="BJ786" i="1" l="1"/>
  <c r="BH786" i="1"/>
  <c r="AZ787" i="1" l="1"/>
  <c r="BD787" i="1"/>
  <c r="BB787" i="1"/>
  <c r="BF787" i="1"/>
  <c r="CD787" i="1" l="1"/>
  <c r="BT787" i="1" s="1"/>
  <c r="CB787" i="1"/>
  <c r="BN787" i="1" s="1"/>
  <c r="CF787" i="1"/>
  <c r="BX787" i="1" s="1"/>
  <c r="BV787" i="1"/>
  <c r="BH787" i="1" s="1"/>
  <c r="AZ788" i="1" s="1"/>
  <c r="BR787" i="1"/>
  <c r="BD788" i="1" l="1"/>
  <c r="BP787" i="1"/>
  <c r="BJ787" i="1" s="1"/>
  <c r="BF788" i="1" l="1"/>
  <c r="BB788" i="1"/>
  <c r="CD788" i="1" l="1"/>
  <c r="CF788" i="1"/>
  <c r="CB788" i="1"/>
  <c r="BX788" i="1" l="1"/>
  <c r="BV788" i="1"/>
  <c r="BP788" i="1"/>
  <c r="BJ788" i="1" s="1"/>
  <c r="BN788" i="1"/>
  <c r="BH788" i="1" s="1"/>
  <c r="BT788" i="1"/>
  <c r="BR788" i="1"/>
  <c r="BB789" i="1" l="1"/>
  <c r="BF789" i="1"/>
  <c r="BD789" i="1"/>
  <c r="AZ789" i="1"/>
  <c r="CF789" i="1" l="1"/>
  <c r="BX789" i="1" s="1"/>
  <c r="CD789" i="1"/>
  <c r="BT789" i="1" s="1"/>
  <c r="CB789" i="1"/>
  <c r="BP789" i="1" s="1"/>
  <c r="BJ789" i="1" s="1"/>
  <c r="BB790" i="1" s="1"/>
  <c r="BN789" i="1" l="1"/>
  <c r="BV789" i="1"/>
  <c r="BR789" i="1"/>
  <c r="BF790" i="1"/>
  <c r="BH789" i="1" l="1"/>
  <c r="BD790" i="1" l="1"/>
  <c r="AZ790" i="1"/>
  <c r="CB790" i="1" l="1"/>
  <c r="BP790" i="1" s="1"/>
  <c r="CF790" i="1"/>
  <c r="BX790" i="1" s="1"/>
  <c r="CD790" i="1"/>
  <c r="BT790" i="1" s="1"/>
  <c r="BN790" i="1"/>
  <c r="BH790" i="1" s="1"/>
  <c r="BD791" i="1" s="1"/>
  <c r="BR790" i="1"/>
  <c r="BV790" i="1"/>
  <c r="AZ791" i="1" l="1"/>
  <c r="BJ790" i="1"/>
  <c r="BF791" i="1" l="1"/>
  <c r="BB791" i="1"/>
  <c r="CF791" i="1" s="1"/>
  <c r="CD791" i="1"/>
  <c r="BT791" i="1" s="1"/>
  <c r="BX791" i="1" l="1"/>
  <c r="BV791" i="1"/>
  <c r="BR791" i="1"/>
  <c r="CB791" i="1"/>
  <c r="BP791" i="1" l="1"/>
  <c r="BJ791" i="1" s="1"/>
  <c r="BN791" i="1"/>
  <c r="BH791" i="1" s="1"/>
  <c r="BD792" i="1" l="1"/>
  <c r="AZ792" i="1"/>
  <c r="BF792" i="1"/>
  <c r="BB792" i="1"/>
  <c r="CD792" i="1" l="1"/>
  <c r="BT792" i="1" s="1"/>
  <c r="CF792" i="1"/>
  <c r="BX792" i="1" s="1"/>
  <c r="CB792" i="1"/>
  <c r="BP792" i="1" s="1"/>
  <c r="BN792" i="1"/>
  <c r="BR792" i="1"/>
  <c r="BV792" i="1"/>
  <c r="BH792" i="1" l="1"/>
  <c r="BJ792" i="1"/>
  <c r="BF793" i="1" l="1"/>
  <c r="BB793" i="1"/>
  <c r="BD793" i="1"/>
  <c r="AZ793" i="1"/>
  <c r="CF793" i="1" l="1"/>
  <c r="BX793" i="1" s="1"/>
  <c r="CD793" i="1"/>
  <c r="BT793" i="1" s="1"/>
  <c r="CB793" i="1"/>
  <c r="BP793" i="1" s="1"/>
  <c r="BJ793" i="1" s="1"/>
  <c r="BB794" i="1" s="1"/>
  <c r="BN793" i="1"/>
  <c r="BH793" i="1" s="1"/>
  <c r="BD794" i="1" s="1"/>
  <c r="BR793" i="1"/>
  <c r="BV793" i="1"/>
  <c r="BF794" i="1"/>
  <c r="AZ794" i="1" l="1"/>
  <c r="CB794" i="1" l="1"/>
  <c r="BP794" i="1" s="1"/>
  <c r="CD794" i="1"/>
  <c r="BT794" i="1" s="1"/>
  <c r="CF794" i="1"/>
  <c r="BX794" i="1" s="1"/>
  <c r="BR794" i="1"/>
  <c r="BV794" i="1"/>
  <c r="BN794" i="1" l="1"/>
  <c r="BJ794" i="1"/>
  <c r="BH794" i="1"/>
  <c r="AZ795" i="1" l="1"/>
  <c r="BD795" i="1"/>
  <c r="BF795" i="1"/>
  <c r="BB795" i="1"/>
  <c r="CD795" i="1" l="1"/>
  <c r="BR795" i="1" s="1"/>
  <c r="CB795" i="1"/>
  <c r="BP795" i="1" s="1"/>
  <c r="CF795" i="1"/>
  <c r="BX795" i="1" s="1"/>
  <c r="BN795" i="1" l="1"/>
  <c r="BV795" i="1"/>
  <c r="BT795" i="1"/>
  <c r="BJ795" i="1" s="1"/>
  <c r="BB796" i="1" l="1"/>
  <c r="BF796" i="1"/>
  <c r="BH795" i="1"/>
  <c r="BD796" i="1" l="1"/>
  <c r="AZ796" i="1"/>
  <c r="CD796" i="1" l="1"/>
  <c r="BT796" i="1" s="1"/>
  <c r="CF796" i="1"/>
  <c r="BX796" i="1" s="1"/>
  <c r="CB796" i="1"/>
  <c r="BP796" i="1" s="1"/>
  <c r="BJ796" i="1" s="1"/>
  <c r="BV796" i="1"/>
  <c r="BB797" i="1" l="1"/>
  <c r="BF797" i="1"/>
  <c r="BN796" i="1"/>
  <c r="BR796" i="1"/>
  <c r="BH796" i="1" l="1"/>
  <c r="AZ797" i="1" l="1"/>
  <c r="BD797" i="1"/>
  <c r="CD797" i="1" l="1"/>
  <c r="BT797" i="1" s="1"/>
  <c r="CB797" i="1"/>
  <c r="BP797" i="1" s="1"/>
  <c r="BJ797" i="1" s="1"/>
  <c r="CF797" i="1"/>
  <c r="BX797" i="1" s="1"/>
  <c r="BR797" i="1"/>
  <c r="BV797" i="1"/>
  <c r="BN797" i="1" l="1"/>
  <c r="BH797" i="1" s="1"/>
  <c r="BB798" i="1"/>
  <c r="BF798" i="1"/>
  <c r="BD798" i="1" l="1"/>
  <c r="AZ798" i="1"/>
  <c r="CF798" i="1" l="1"/>
  <c r="BX798" i="1" s="1"/>
  <c r="CB798" i="1"/>
  <c r="BP798" i="1" s="1"/>
  <c r="CD798" i="1"/>
  <c r="BT798" i="1" s="1"/>
  <c r="BJ798" i="1" s="1"/>
  <c r="BR798" i="1"/>
  <c r="BN798" i="1" l="1"/>
  <c r="BH798" i="1" s="1"/>
  <c r="BV798" i="1"/>
  <c r="BB799" i="1"/>
  <c r="BF799" i="1"/>
  <c r="AZ799" i="1" l="1"/>
  <c r="BD799" i="1"/>
  <c r="CD799" i="1" l="1"/>
  <c r="BT799" i="1" s="1"/>
  <c r="CF799" i="1"/>
  <c r="BX799" i="1" s="1"/>
  <c r="CB799" i="1"/>
  <c r="BP799" i="1" s="1"/>
  <c r="BJ799" i="1" s="1"/>
  <c r="BV799" i="1"/>
  <c r="BN799" i="1"/>
  <c r="BF800" i="1" l="1"/>
  <c r="BB800" i="1"/>
  <c r="BR799" i="1"/>
  <c r="BH799" i="1" s="1"/>
  <c r="AZ800" i="1" l="1"/>
  <c r="BD800" i="1"/>
  <c r="CD800" i="1" l="1"/>
  <c r="BT800" i="1" s="1"/>
  <c r="CB800" i="1"/>
  <c r="BP800" i="1" s="1"/>
  <c r="BJ800" i="1" s="1"/>
  <c r="CF800" i="1"/>
  <c r="BX800" i="1" s="1"/>
  <c r="BR800" i="1"/>
  <c r="BV800" i="1"/>
  <c r="BN800" i="1"/>
  <c r="BH800" i="1" s="1"/>
  <c r="BD801" i="1" s="1"/>
  <c r="AZ801" i="1" l="1"/>
  <c r="BB801" i="1"/>
  <c r="BF801" i="1"/>
  <c r="CB801" i="1" l="1"/>
  <c r="BP801" i="1" s="1"/>
  <c r="BJ801" i="1" s="1"/>
  <c r="BF802" i="1" s="1"/>
  <c r="CD801" i="1"/>
  <c r="BT801" i="1" s="1"/>
  <c r="CF801" i="1"/>
  <c r="BX801" i="1" s="1"/>
  <c r="BR801" i="1"/>
  <c r="BN801" i="1"/>
  <c r="BV801" i="1" l="1"/>
  <c r="BH801" i="1"/>
  <c r="BB802" i="1"/>
  <c r="AZ802" i="1" l="1"/>
  <c r="BD802" i="1"/>
  <c r="CD802" i="1" l="1"/>
  <c r="BT802" i="1" s="1"/>
  <c r="CF802" i="1"/>
  <c r="CB802" i="1"/>
  <c r="BP802" i="1" s="1"/>
  <c r="BV802" i="1" l="1"/>
  <c r="BX802" i="1"/>
  <c r="BJ802" i="1" s="1"/>
  <c r="BN802" i="1"/>
  <c r="BR802" i="1"/>
  <c r="BH802" i="1" l="1"/>
  <c r="BF803" i="1"/>
  <c r="BB803" i="1"/>
  <c r="BD803" i="1" l="1"/>
  <c r="AZ803" i="1"/>
  <c r="CB803" i="1" l="1"/>
  <c r="BP803" i="1" s="1"/>
  <c r="CF803" i="1"/>
  <c r="BX803" i="1" s="1"/>
  <c r="CD803" i="1"/>
  <c r="BN803" i="1"/>
  <c r="BV803" i="1"/>
  <c r="BR803" i="1" l="1"/>
  <c r="BT803" i="1"/>
  <c r="BJ803" i="1" s="1"/>
  <c r="BH803" i="1"/>
  <c r="BD804" i="1" l="1"/>
  <c r="AZ804" i="1"/>
  <c r="BF804" i="1"/>
  <c r="BB804" i="1"/>
  <c r="CD804" i="1" l="1"/>
  <c r="BT804" i="1" s="1"/>
  <c r="CB804" i="1"/>
  <c r="BP804" i="1" s="1"/>
  <c r="BJ804" i="1" s="1"/>
  <c r="BB805" i="1" s="1"/>
  <c r="CF804" i="1"/>
  <c r="BX804" i="1" s="1"/>
  <c r="BV804" i="1" l="1"/>
  <c r="BR804" i="1"/>
  <c r="BN804" i="1"/>
  <c r="BH804" i="1" s="1"/>
  <c r="BF805" i="1"/>
  <c r="BD805" i="1" l="1"/>
  <c r="AZ805" i="1"/>
  <c r="CB805" i="1" l="1"/>
  <c r="BP805" i="1" s="1"/>
  <c r="BN805" i="1"/>
  <c r="CF805" i="1"/>
  <c r="BX805" i="1" s="1"/>
  <c r="CD805" i="1"/>
  <c r="BT805" i="1" s="1"/>
  <c r="BV805" i="1" l="1"/>
  <c r="BR805" i="1"/>
  <c r="BH805" i="1" s="1"/>
  <c r="BJ805" i="1"/>
  <c r="AZ806" i="1" l="1"/>
  <c r="BD806" i="1"/>
  <c r="BB806" i="1"/>
  <c r="BF806" i="1"/>
  <c r="CB806" i="1" l="1"/>
  <c r="BP806" i="1" s="1"/>
  <c r="CF806" i="1"/>
  <c r="BX806" i="1" s="1"/>
  <c r="CD806" i="1"/>
  <c r="BR806" i="1" s="1"/>
  <c r="BN806" i="1"/>
  <c r="BH806" i="1" s="1"/>
  <c r="BD807" i="1" s="1"/>
  <c r="BV806" i="1"/>
  <c r="BT806" i="1" l="1"/>
  <c r="BJ806" i="1" s="1"/>
  <c r="AZ807" i="1"/>
  <c r="BF807" i="1" l="1"/>
  <c r="BB807" i="1"/>
  <c r="CB807" i="1" l="1"/>
  <c r="CD807" i="1"/>
  <c r="CF807" i="1"/>
  <c r="BV807" i="1" s="1"/>
  <c r="BT807" i="1" l="1"/>
  <c r="BR807" i="1"/>
  <c r="BH807" i="1" s="1"/>
  <c r="BP807" i="1"/>
  <c r="BN807" i="1"/>
  <c r="BX807" i="1"/>
  <c r="BD808" i="1" l="1"/>
  <c r="AZ808" i="1"/>
  <c r="BJ807" i="1"/>
  <c r="BF808" i="1" l="1"/>
  <c r="BB808" i="1"/>
  <c r="CF808" i="1"/>
  <c r="BV808" i="1" s="1"/>
  <c r="CB808" i="1"/>
  <c r="BN808" i="1" s="1"/>
  <c r="CD808" i="1"/>
  <c r="BT808" i="1" s="1"/>
  <c r="BR808" i="1"/>
  <c r="BH808" i="1" l="1"/>
  <c r="BX808" i="1"/>
  <c r="BP808" i="1"/>
  <c r="BJ808" i="1" s="1"/>
  <c r="BB809" i="1" s="1"/>
  <c r="BF809" i="1" l="1"/>
  <c r="BD809" i="1"/>
  <c r="AZ809" i="1"/>
  <c r="CB809" i="1" l="1"/>
  <c r="BP809" i="1" s="1"/>
  <c r="CF809" i="1"/>
  <c r="BX809" i="1" s="1"/>
  <c r="CD809" i="1"/>
  <c r="BR809" i="1" l="1"/>
  <c r="BT809" i="1"/>
  <c r="BJ809" i="1" s="1"/>
  <c r="BN809" i="1"/>
  <c r="BH809" i="1" s="1"/>
  <c r="BV809" i="1"/>
  <c r="BD810" i="1" l="1"/>
  <c r="AZ810" i="1"/>
  <c r="BB810" i="1"/>
  <c r="BF810" i="1"/>
  <c r="CF810" i="1" l="1"/>
  <c r="BX810" i="1" s="1"/>
  <c r="CD810" i="1"/>
  <c r="BR810" i="1" s="1"/>
  <c r="CB810" i="1"/>
  <c r="BP810" i="1" s="1"/>
  <c r="BN810" i="1"/>
  <c r="BT810" i="1" l="1"/>
  <c r="BJ810" i="1" s="1"/>
  <c r="BV810" i="1"/>
  <c r="BH810" i="1" s="1"/>
  <c r="BD811" i="1" l="1"/>
  <c r="AZ811" i="1"/>
  <c r="BB811" i="1"/>
  <c r="BF811" i="1"/>
  <c r="CD811" i="1" l="1"/>
  <c r="BT811" i="1" s="1"/>
  <c r="CB811" i="1"/>
  <c r="BP811" i="1" s="1"/>
  <c r="BJ811" i="1" s="1"/>
  <c r="BF812" i="1" s="1"/>
  <c r="CF811" i="1"/>
  <c r="BX811" i="1" s="1"/>
  <c r="BB812" i="1" l="1"/>
  <c r="BV811" i="1"/>
  <c r="BR811" i="1"/>
  <c r="BN811" i="1"/>
  <c r="BH811" i="1" l="1"/>
  <c r="AZ812" i="1" l="1"/>
  <c r="BD812" i="1"/>
  <c r="CF812" i="1" l="1"/>
  <c r="BX812" i="1" s="1"/>
  <c r="CD812" i="1"/>
  <c r="BT812" i="1" s="1"/>
  <c r="CB812" i="1"/>
  <c r="BP812" i="1" s="1"/>
  <c r="BN812" i="1"/>
  <c r="BJ812" i="1" l="1"/>
  <c r="BV812" i="1"/>
  <c r="BR812" i="1"/>
  <c r="BH812" i="1" s="1"/>
  <c r="BD813" i="1" l="1"/>
  <c r="AZ813" i="1"/>
  <c r="BF813" i="1"/>
  <c r="BB813" i="1"/>
  <c r="CF813" i="1" l="1"/>
  <c r="BX813" i="1" s="1"/>
  <c r="CB813" i="1"/>
  <c r="BP813" i="1" s="1"/>
  <c r="BJ813" i="1" s="1"/>
  <c r="BB814" i="1" s="1"/>
  <c r="CD813" i="1"/>
  <c r="BT813" i="1" s="1"/>
  <c r="BR813" i="1"/>
  <c r="BV813" i="1"/>
  <c r="BN813" i="1" l="1"/>
  <c r="BH813" i="1" s="1"/>
  <c r="BF814" i="1"/>
  <c r="AZ814" i="1" l="1"/>
  <c r="BD814" i="1"/>
  <c r="CD814" i="1" l="1"/>
  <c r="BT814" i="1" s="1"/>
  <c r="CF814" i="1"/>
  <c r="BX814" i="1" s="1"/>
  <c r="CB814" i="1"/>
  <c r="BP814" i="1" s="1"/>
  <c r="BJ814" i="1" s="1"/>
  <c r="BF815" i="1" l="1"/>
  <c r="BB815" i="1"/>
  <c r="BV814" i="1"/>
  <c r="BR814" i="1"/>
  <c r="BN814" i="1"/>
  <c r="BH814" i="1" l="1"/>
  <c r="BD815" i="1" l="1"/>
  <c r="AZ815" i="1"/>
  <c r="CF815" i="1" l="1"/>
  <c r="BX815" i="1" s="1"/>
  <c r="CD815" i="1"/>
  <c r="BT815" i="1" s="1"/>
  <c r="CB815" i="1"/>
  <c r="BP815" i="1" s="1"/>
  <c r="BJ815" i="1" s="1"/>
  <c r="BV815" i="1"/>
  <c r="BR815" i="1"/>
  <c r="BN815" i="1" l="1"/>
  <c r="BH815" i="1" s="1"/>
  <c r="BB816" i="1"/>
  <c r="BF816" i="1"/>
  <c r="BD816" i="1" l="1"/>
  <c r="AZ816" i="1"/>
  <c r="CF816" i="1" l="1"/>
  <c r="BX816" i="1" s="1"/>
  <c r="CB816" i="1"/>
  <c r="BP816" i="1" s="1"/>
  <c r="CD816" i="1"/>
  <c r="BT816" i="1" s="1"/>
  <c r="BV816" i="1"/>
  <c r="BJ816" i="1" l="1"/>
  <c r="BR816" i="1"/>
  <c r="BN816" i="1"/>
  <c r="BH816" i="1" s="1"/>
  <c r="BD817" i="1" l="1"/>
  <c r="AZ817" i="1"/>
  <c r="BB817" i="1"/>
  <c r="BF817" i="1"/>
  <c r="CF817" i="1" l="1"/>
  <c r="BX817" i="1" s="1"/>
  <c r="CB817" i="1"/>
  <c r="BP817" i="1" s="1"/>
  <c r="BJ817" i="1" s="1"/>
  <c r="BF818" i="1" s="1"/>
  <c r="CD817" i="1"/>
  <c r="BT817" i="1" s="1"/>
  <c r="BR817" i="1"/>
  <c r="BV817" i="1" l="1"/>
  <c r="BN817" i="1"/>
  <c r="BH817" i="1" s="1"/>
  <c r="BB818" i="1"/>
  <c r="BD818" i="1" l="1"/>
  <c r="AZ818" i="1"/>
  <c r="CD818" i="1" l="1"/>
  <c r="BT818" i="1" s="1"/>
  <c r="CB818" i="1"/>
  <c r="BP818" i="1" s="1"/>
  <c r="CF818" i="1"/>
  <c r="BX818" i="1" s="1"/>
  <c r="BR818" i="1"/>
  <c r="BV818" i="1" l="1"/>
  <c r="BN818" i="1"/>
  <c r="BH818" i="1" s="1"/>
  <c r="BJ818" i="1"/>
  <c r="AZ819" i="1" l="1"/>
  <c r="BD819" i="1"/>
  <c r="BF819" i="1"/>
  <c r="BB819" i="1"/>
  <c r="CD819" i="1" l="1"/>
  <c r="BT819" i="1" s="1"/>
  <c r="CB819" i="1"/>
  <c r="BP819" i="1" s="1"/>
  <c r="CF819" i="1"/>
  <c r="BX819" i="1" s="1"/>
  <c r="BN819" i="1"/>
  <c r="BR819" i="1"/>
  <c r="BV819" i="1" l="1"/>
  <c r="BH819" i="1" s="1"/>
  <c r="BJ819" i="1"/>
  <c r="BD820" i="1" l="1"/>
  <c r="AZ820" i="1"/>
  <c r="BB820" i="1"/>
  <c r="BF820" i="1"/>
  <c r="CD820" i="1" l="1"/>
  <c r="BT820" i="1" s="1"/>
  <c r="CB820" i="1"/>
  <c r="BP820" i="1" s="1"/>
  <c r="BJ820" i="1" s="1"/>
  <c r="BF821" i="1" s="1"/>
  <c r="CF820" i="1"/>
  <c r="BX820" i="1" s="1"/>
  <c r="BV820" i="1"/>
  <c r="BN820" i="1"/>
  <c r="BR820" i="1" l="1"/>
  <c r="BH820" i="1" s="1"/>
  <c r="BB821" i="1"/>
  <c r="BD821" i="1" l="1"/>
  <c r="AZ821" i="1"/>
  <c r="CF821" i="1" l="1"/>
  <c r="BX821" i="1" s="1"/>
  <c r="CD821" i="1"/>
  <c r="BT821" i="1" s="1"/>
  <c r="CB821" i="1"/>
  <c r="BP821" i="1" s="1"/>
  <c r="BJ821" i="1" s="1"/>
  <c r="BV821" i="1"/>
  <c r="BR821" i="1"/>
  <c r="BN821" i="1" l="1"/>
  <c r="BH821" i="1" s="1"/>
  <c r="BB822" i="1"/>
  <c r="BF822" i="1"/>
  <c r="AZ822" i="1" l="1"/>
  <c r="BD822" i="1"/>
  <c r="CB822" i="1" l="1"/>
  <c r="BP822" i="1" s="1"/>
  <c r="CF822" i="1"/>
  <c r="BX822" i="1" s="1"/>
  <c r="CD822" i="1"/>
  <c r="BT822" i="1" s="1"/>
  <c r="BN822" i="1"/>
  <c r="BR822" i="1"/>
  <c r="BV822" i="1" l="1"/>
  <c r="BH822" i="1"/>
  <c r="BJ822" i="1"/>
  <c r="BF823" i="1" l="1"/>
  <c r="BB823" i="1"/>
  <c r="BD823" i="1"/>
  <c r="AZ823" i="1"/>
  <c r="CD823" i="1" l="1"/>
  <c r="BT823" i="1" s="1"/>
  <c r="CF823" i="1"/>
  <c r="BX823" i="1" s="1"/>
  <c r="CB823" i="1"/>
  <c r="BN823" i="1" s="1"/>
  <c r="BR823" i="1"/>
  <c r="BP823" i="1"/>
  <c r="BJ823" i="1" s="1"/>
  <c r="BB824" i="1" s="1"/>
  <c r="BV823" i="1" l="1"/>
  <c r="BH823" i="1" s="1"/>
  <c r="BF824" i="1"/>
  <c r="AZ824" i="1" l="1"/>
  <c r="BD824" i="1"/>
  <c r="CF824" i="1" l="1"/>
  <c r="BX824" i="1" s="1"/>
  <c r="CB824" i="1"/>
  <c r="BP824" i="1" s="1"/>
  <c r="CD824" i="1"/>
  <c r="BT824" i="1" s="1"/>
  <c r="BN824" i="1"/>
  <c r="BV824" i="1"/>
  <c r="BR824" i="1" l="1"/>
  <c r="BH824" i="1" s="1"/>
  <c r="BJ824" i="1"/>
  <c r="BD825" i="1" l="1"/>
  <c r="AZ825" i="1"/>
  <c r="BB825" i="1"/>
  <c r="BF825" i="1"/>
  <c r="CB825" i="1" l="1"/>
  <c r="BP825" i="1" s="1"/>
  <c r="CF825" i="1"/>
  <c r="BX825" i="1" s="1"/>
  <c r="CD825" i="1"/>
  <c r="BT825" i="1" s="1"/>
  <c r="BJ825" i="1" l="1"/>
  <c r="BR825" i="1"/>
  <c r="BN825" i="1"/>
  <c r="BH825" i="1" s="1"/>
  <c r="BV825" i="1"/>
  <c r="BD826" i="1" l="1"/>
  <c r="AZ826" i="1"/>
  <c r="BB826" i="1"/>
  <c r="BF826" i="1"/>
  <c r="CD826" i="1" l="1"/>
  <c r="BT826" i="1" s="1"/>
  <c r="CB826" i="1"/>
  <c r="BP826" i="1" s="1"/>
  <c r="BJ826" i="1" s="1"/>
  <c r="BF827" i="1" s="1"/>
  <c r="CF826" i="1"/>
  <c r="BX826" i="1" s="1"/>
  <c r="BN826" i="1" l="1"/>
  <c r="BR826" i="1"/>
  <c r="BB827" i="1"/>
  <c r="BV826" i="1"/>
  <c r="BH826" i="1" l="1"/>
  <c r="AZ827" i="1" l="1"/>
  <c r="BD827" i="1"/>
  <c r="CD827" i="1" l="1"/>
  <c r="BT827" i="1" s="1"/>
  <c r="CF827" i="1"/>
  <c r="BX827" i="1" s="1"/>
  <c r="CB827" i="1"/>
  <c r="BP827" i="1" s="1"/>
  <c r="BR827" i="1"/>
  <c r="BJ827" i="1" l="1"/>
  <c r="BV827" i="1"/>
  <c r="BN827" i="1"/>
  <c r="BH827" i="1" s="1"/>
  <c r="BD828" i="1" l="1"/>
  <c r="AZ828" i="1"/>
  <c r="BF828" i="1"/>
  <c r="BB828" i="1"/>
  <c r="CF828" i="1" l="1"/>
  <c r="BX828" i="1" s="1"/>
  <c r="CD828" i="1"/>
  <c r="BT828" i="1" s="1"/>
  <c r="CB828" i="1"/>
  <c r="BP828" i="1" s="1"/>
  <c r="BN828" i="1"/>
  <c r="BV828" i="1" l="1"/>
  <c r="BR828" i="1"/>
  <c r="BH828" i="1" s="1"/>
  <c r="BJ828" i="1"/>
  <c r="BD829" i="1" l="1"/>
  <c r="AZ829" i="1"/>
  <c r="BB829" i="1"/>
  <c r="BF829" i="1"/>
  <c r="CD829" i="1" l="1"/>
  <c r="BT829" i="1" s="1"/>
  <c r="CF829" i="1"/>
  <c r="BX829" i="1" s="1"/>
  <c r="CB829" i="1"/>
  <c r="BP829" i="1" s="1"/>
  <c r="BJ829" i="1" s="1"/>
  <c r="BB830" i="1" s="1"/>
  <c r="BR829" i="1"/>
  <c r="BV829" i="1" l="1"/>
  <c r="BN829" i="1"/>
  <c r="BH829" i="1" s="1"/>
  <c r="BF830" i="1"/>
  <c r="BD830" i="1" l="1"/>
  <c r="AZ830" i="1"/>
  <c r="CB830" i="1" l="1"/>
  <c r="BP830" i="1" s="1"/>
  <c r="CF830" i="1"/>
  <c r="BX830" i="1" s="1"/>
  <c r="CD830" i="1"/>
  <c r="BT830" i="1" s="1"/>
  <c r="BN830" i="1"/>
  <c r="BV830" i="1"/>
  <c r="BR830" i="1" l="1"/>
  <c r="BH830" i="1"/>
  <c r="BJ830" i="1"/>
  <c r="AZ831" i="1" l="1"/>
  <c r="BD831" i="1"/>
  <c r="BF831" i="1"/>
  <c r="BB831" i="1"/>
  <c r="CF831" i="1" l="1"/>
  <c r="BX831" i="1" s="1"/>
  <c r="CB831" i="1"/>
  <c r="BP831" i="1" s="1"/>
  <c r="BJ831" i="1" s="1"/>
  <c r="BB832" i="1" s="1"/>
  <c r="CD831" i="1"/>
  <c r="BT831" i="1" s="1"/>
  <c r="BV831" i="1"/>
  <c r="BN831" i="1" l="1"/>
  <c r="BR831" i="1"/>
  <c r="BF832" i="1"/>
  <c r="BH831" i="1" l="1"/>
  <c r="BD832" i="1" l="1"/>
  <c r="AZ832" i="1"/>
  <c r="CD832" i="1" l="1"/>
  <c r="BT832" i="1" s="1"/>
  <c r="CB832" i="1"/>
  <c r="BP832" i="1" s="1"/>
  <c r="CF832" i="1"/>
  <c r="BX832" i="1" s="1"/>
  <c r="BR832" i="1"/>
  <c r="BV832" i="1"/>
  <c r="BN832" i="1" l="1"/>
  <c r="BH832" i="1" s="1"/>
  <c r="BJ832" i="1"/>
  <c r="BB833" i="1" l="1"/>
  <c r="BF833" i="1"/>
  <c r="AZ833" i="1"/>
  <c r="BD833" i="1"/>
  <c r="CF833" i="1" l="1"/>
  <c r="BX833" i="1" s="1"/>
  <c r="CD833" i="1"/>
  <c r="BT833" i="1" s="1"/>
  <c r="CB833" i="1"/>
  <c r="BP833" i="1" s="1"/>
  <c r="BJ833" i="1" s="1"/>
  <c r="BF834" i="1" s="1"/>
  <c r="BR833" i="1"/>
  <c r="BB834" i="1" l="1"/>
  <c r="BV833" i="1"/>
  <c r="BN833" i="1"/>
  <c r="BH833" i="1" s="1"/>
  <c r="BD834" i="1" l="1"/>
  <c r="AZ834" i="1"/>
  <c r="CF834" i="1" l="1"/>
  <c r="BX834" i="1" s="1"/>
  <c r="CB834" i="1"/>
  <c r="BP834" i="1" s="1"/>
  <c r="CD834" i="1"/>
  <c r="BT834" i="1" s="1"/>
  <c r="BV834" i="1"/>
  <c r="BN834" i="1"/>
  <c r="BR834" i="1" l="1"/>
  <c r="BJ834" i="1"/>
  <c r="BH834" i="1"/>
  <c r="BD835" i="1" l="1"/>
  <c r="AZ835" i="1"/>
  <c r="BF835" i="1"/>
  <c r="BB835" i="1"/>
  <c r="CD835" i="1" l="1"/>
  <c r="BT835" i="1" s="1"/>
  <c r="CB835" i="1"/>
  <c r="BN835" i="1" s="1"/>
  <c r="CF835" i="1"/>
  <c r="BX835" i="1" s="1"/>
  <c r="BV835" i="1"/>
  <c r="BR835" i="1" l="1"/>
  <c r="BH835" i="1" s="1"/>
  <c r="BP835" i="1"/>
  <c r="BJ835" i="1" s="1"/>
  <c r="BD836" i="1" l="1"/>
  <c r="AZ836" i="1"/>
  <c r="BF836" i="1"/>
  <c r="BB836" i="1"/>
  <c r="CD836" i="1" l="1"/>
  <c r="BT836" i="1" s="1"/>
  <c r="CB836" i="1"/>
  <c r="BP836" i="1" s="1"/>
  <c r="BJ836" i="1" s="1"/>
  <c r="BF837" i="1" s="1"/>
  <c r="CF836" i="1"/>
  <c r="BX836" i="1" s="1"/>
  <c r="BR836" i="1"/>
  <c r="BV836" i="1"/>
  <c r="BN836" i="1" l="1"/>
  <c r="BH836" i="1" s="1"/>
  <c r="BB837" i="1"/>
  <c r="BD837" i="1" l="1"/>
  <c r="AZ837" i="1"/>
  <c r="CF837" i="1" l="1"/>
  <c r="BX837" i="1" s="1"/>
  <c r="CD837" i="1"/>
  <c r="BT837" i="1" s="1"/>
  <c r="CB837" i="1"/>
  <c r="BP837" i="1" s="1"/>
  <c r="BJ837" i="1" s="1"/>
  <c r="BV837" i="1"/>
  <c r="BR837" i="1"/>
  <c r="BF838" i="1" l="1"/>
  <c r="BB838" i="1"/>
  <c r="BN837" i="1"/>
  <c r="BH837" i="1" s="1"/>
  <c r="AZ838" i="1" l="1"/>
  <c r="BD838" i="1"/>
  <c r="CD838" i="1" l="1"/>
  <c r="BT838" i="1" s="1"/>
  <c r="CB838" i="1"/>
  <c r="CF838" i="1"/>
  <c r="BX838" i="1" s="1"/>
  <c r="BR838" i="1"/>
  <c r="BN838" i="1" l="1"/>
  <c r="BP838" i="1"/>
  <c r="BJ838" i="1" s="1"/>
  <c r="BV838" i="1"/>
  <c r="BF839" i="1" l="1"/>
  <c r="BB839" i="1"/>
  <c r="BH838" i="1"/>
  <c r="BD839" i="1" l="1"/>
  <c r="AZ839" i="1"/>
  <c r="CD839" i="1" l="1"/>
  <c r="BT839" i="1" s="1"/>
  <c r="CF839" i="1"/>
  <c r="CB839" i="1"/>
  <c r="BR839" i="1"/>
  <c r="BN839" i="1" l="1"/>
  <c r="BH839" i="1" s="1"/>
  <c r="BP839" i="1"/>
  <c r="BJ839" i="1" s="1"/>
  <c r="BV839" i="1"/>
  <c r="BX839" i="1"/>
  <c r="AZ840" i="1" l="1"/>
  <c r="BD840" i="1"/>
  <c r="BB840" i="1"/>
  <c r="BF840" i="1"/>
  <c r="CF840" i="1" l="1"/>
  <c r="BX840" i="1" s="1"/>
  <c r="CD840" i="1"/>
  <c r="BT840" i="1" s="1"/>
  <c r="CB840" i="1"/>
  <c r="BP840" i="1" s="1"/>
  <c r="BJ840" i="1" s="1"/>
  <c r="BF841" i="1" s="1"/>
  <c r="BN840" i="1"/>
  <c r="BR840" i="1"/>
  <c r="BV840" i="1"/>
  <c r="BH840" i="1" l="1"/>
  <c r="BB841" i="1"/>
  <c r="AZ841" i="1" l="1"/>
  <c r="BD841" i="1"/>
  <c r="CD841" i="1" l="1"/>
  <c r="BT841" i="1" s="1"/>
  <c r="CB841" i="1"/>
  <c r="BP841" i="1" s="1"/>
  <c r="CF841" i="1"/>
  <c r="BX841" i="1" s="1"/>
  <c r="BR841" i="1"/>
  <c r="BV841" i="1" l="1"/>
  <c r="BN841" i="1"/>
  <c r="BH841" i="1" s="1"/>
  <c r="BJ841" i="1"/>
  <c r="BD842" i="1" l="1"/>
  <c r="AZ842" i="1"/>
  <c r="BF842" i="1"/>
  <c r="BB842" i="1"/>
  <c r="CF842" i="1" l="1"/>
  <c r="BX842" i="1" s="1"/>
  <c r="CD842" i="1"/>
  <c r="BT842" i="1" s="1"/>
  <c r="CB842" i="1"/>
  <c r="BP842" i="1" s="1"/>
  <c r="BJ842" i="1" s="1"/>
  <c r="BF843" i="1" s="1"/>
  <c r="BN842" i="1" l="1"/>
  <c r="BV842" i="1"/>
  <c r="BR842" i="1"/>
  <c r="BB843" i="1"/>
  <c r="BH842" i="1" l="1"/>
  <c r="BD843" i="1" l="1"/>
  <c r="AZ843" i="1"/>
  <c r="CF843" i="1" l="1"/>
  <c r="BX843" i="1" s="1"/>
  <c r="CD843" i="1"/>
  <c r="BT843" i="1" s="1"/>
  <c r="CB843" i="1"/>
  <c r="BP843" i="1" s="1"/>
  <c r="BJ843" i="1" s="1"/>
  <c r="BV843" i="1"/>
  <c r="BR843" i="1"/>
  <c r="BF844" i="1" l="1"/>
  <c r="BB844" i="1"/>
  <c r="BN843" i="1"/>
  <c r="BH843" i="1" s="1"/>
  <c r="BD844" i="1" l="1"/>
  <c r="AZ844" i="1"/>
  <c r="CD844" i="1" l="1"/>
  <c r="BT844" i="1" s="1"/>
  <c r="CF844" i="1"/>
  <c r="BX844" i="1" s="1"/>
  <c r="CB844" i="1"/>
  <c r="BR844" i="1"/>
  <c r="BV844" i="1"/>
  <c r="BN844" i="1" l="1"/>
  <c r="BH844" i="1" s="1"/>
  <c r="BP844" i="1"/>
  <c r="BJ844" i="1" s="1"/>
  <c r="BF845" i="1" l="1"/>
  <c r="BB845" i="1"/>
  <c r="AZ845" i="1"/>
  <c r="BD845" i="1"/>
  <c r="CB845" i="1" l="1"/>
  <c r="BP845" i="1" s="1"/>
  <c r="CF845" i="1"/>
  <c r="BX845" i="1" s="1"/>
  <c r="CD845" i="1"/>
  <c r="BT845" i="1" s="1"/>
  <c r="BN845" i="1"/>
  <c r="BJ845" i="1" l="1"/>
  <c r="BV845" i="1"/>
  <c r="BR845" i="1"/>
  <c r="BH845" i="1" s="1"/>
  <c r="BD846" i="1" l="1"/>
  <c r="AZ846" i="1"/>
  <c r="BB846" i="1"/>
  <c r="BF846" i="1"/>
  <c r="CF846" i="1" l="1"/>
  <c r="BX846" i="1" s="1"/>
  <c r="CD846" i="1"/>
  <c r="BT846" i="1" s="1"/>
  <c r="CB846" i="1"/>
  <c r="BP846" i="1" s="1"/>
  <c r="BN846" i="1"/>
  <c r="BR846" i="1"/>
  <c r="BV846" i="1"/>
  <c r="BH846" i="1" l="1"/>
  <c r="BJ846" i="1"/>
  <c r="BF847" i="1" l="1"/>
  <c r="BB847" i="1"/>
  <c r="AZ847" i="1"/>
  <c r="BD847" i="1"/>
  <c r="CB847" i="1" l="1"/>
  <c r="BP847" i="1" s="1"/>
  <c r="CD847" i="1"/>
  <c r="BT847" i="1" s="1"/>
  <c r="CF847" i="1"/>
  <c r="BX847" i="1" s="1"/>
  <c r="BJ847" i="1" l="1"/>
  <c r="BR847" i="1"/>
  <c r="BN847" i="1"/>
  <c r="BH847" i="1" s="1"/>
  <c r="BV847" i="1"/>
  <c r="AZ848" i="1" l="1"/>
  <c r="BD848" i="1"/>
  <c r="BF848" i="1"/>
  <c r="BB848" i="1"/>
  <c r="CD848" i="1" l="1"/>
  <c r="BT848" i="1" s="1"/>
  <c r="CF848" i="1"/>
  <c r="BV848" i="1" s="1"/>
  <c r="CB848" i="1"/>
  <c r="BP848" i="1" s="1"/>
  <c r="BN848" i="1"/>
  <c r="BH848" i="1" s="1"/>
  <c r="BD849" i="1" s="1"/>
  <c r="BR848" i="1"/>
  <c r="AZ849" i="1" l="1"/>
  <c r="BX848" i="1"/>
  <c r="BJ848" i="1" s="1"/>
  <c r="BB849" i="1" l="1"/>
  <c r="BF849" i="1"/>
  <c r="CD849" i="1" l="1"/>
  <c r="CF849" i="1"/>
  <c r="CB849" i="1"/>
  <c r="BP849" i="1" l="1"/>
  <c r="BN849" i="1"/>
  <c r="BX849" i="1"/>
  <c r="BV849" i="1"/>
  <c r="BT849" i="1"/>
  <c r="BR849" i="1"/>
  <c r="BH849" i="1" l="1"/>
  <c r="BJ849" i="1"/>
  <c r="BF850" i="1" l="1"/>
  <c r="BB850" i="1"/>
  <c r="BD850" i="1"/>
  <c r="AZ850" i="1"/>
  <c r="CF850" i="1" l="1"/>
  <c r="BX850" i="1" s="1"/>
  <c r="CD850" i="1"/>
  <c r="BT850" i="1" s="1"/>
  <c r="CB850" i="1"/>
  <c r="BP850" i="1" s="1"/>
  <c r="BJ850" i="1" s="1"/>
  <c r="BB851" i="1" s="1"/>
  <c r="BV850" i="1"/>
  <c r="BF851" i="1" l="1"/>
  <c r="BN850" i="1"/>
  <c r="BR850" i="1"/>
  <c r="BH850" i="1" l="1"/>
  <c r="BD851" i="1" l="1"/>
  <c r="AZ851" i="1"/>
  <c r="CB851" i="1" l="1"/>
  <c r="CD851" i="1"/>
  <c r="BT851" i="1" s="1"/>
  <c r="CF851" i="1"/>
  <c r="BR851" i="1" l="1"/>
  <c r="BV851" i="1"/>
  <c r="BX851" i="1"/>
  <c r="BN851" i="1"/>
  <c r="BP851" i="1"/>
  <c r="BJ851" i="1" l="1"/>
  <c r="BH851" i="1"/>
  <c r="AZ852" i="1" l="1"/>
  <c r="BD852" i="1"/>
  <c r="BB852" i="1"/>
  <c r="BF852" i="1"/>
  <c r="CD852" i="1" l="1"/>
  <c r="BT852" i="1" s="1"/>
  <c r="CB852" i="1"/>
  <c r="BN852" i="1" s="1"/>
  <c r="CF852" i="1"/>
  <c r="BX852" i="1" s="1"/>
  <c r="BR852" i="1"/>
  <c r="BP852" i="1" l="1"/>
  <c r="BJ852" i="1" s="1"/>
  <c r="BV852" i="1"/>
  <c r="BH852" i="1" s="1"/>
  <c r="AZ853" i="1" l="1"/>
  <c r="BD853" i="1"/>
  <c r="BF853" i="1"/>
  <c r="BB853" i="1"/>
  <c r="CF853" i="1" l="1"/>
  <c r="BV853" i="1" s="1"/>
  <c r="CB853" i="1"/>
  <c r="BP853" i="1" s="1"/>
  <c r="CD853" i="1"/>
  <c r="BT853" i="1" s="1"/>
  <c r="BN853" i="1" l="1"/>
  <c r="BR853" i="1"/>
  <c r="BX853" i="1"/>
  <c r="BJ853" i="1" s="1"/>
  <c r="BB854" i="1" l="1"/>
  <c r="BF854" i="1"/>
  <c r="BH853" i="1"/>
  <c r="AZ854" i="1" l="1"/>
  <c r="BD854" i="1"/>
  <c r="CB854" i="1" l="1"/>
  <c r="BP854" i="1" s="1"/>
  <c r="CD854" i="1"/>
  <c r="BT854" i="1" s="1"/>
  <c r="CF854" i="1"/>
  <c r="BX854" i="1" s="1"/>
  <c r="BR854" i="1"/>
  <c r="BN854" i="1" l="1"/>
  <c r="BJ854" i="1"/>
  <c r="BV854" i="1"/>
  <c r="BF855" i="1" l="1"/>
  <c r="BB855" i="1"/>
  <c r="BH854" i="1"/>
  <c r="BD855" i="1" l="1"/>
  <c r="AZ855" i="1"/>
  <c r="CB855" i="1" l="1"/>
  <c r="BP855" i="1" s="1"/>
  <c r="CD855" i="1"/>
  <c r="BT855" i="1" s="1"/>
  <c r="CF855" i="1"/>
  <c r="BX855" i="1" s="1"/>
  <c r="BN855" i="1"/>
  <c r="BR855" i="1"/>
  <c r="BV855" i="1" l="1"/>
  <c r="BH855" i="1" s="1"/>
  <c r="BJ855" i="1"/>
  <c r="AZ856" i="1" l="1"/>
  <c r="BD856" i="1"/>
  <c r="BF856" i="1"/>
  <c r="BB856" i="1"/>
  <c r="CD856" i="1" l="1"/>
  <c r="BT856" i="1" s="1"/>
  <c r="CB856" i="1"/>
  <c r="BP856" i="1" s="1"/>
  <c r="CF856" i="1"/>
  <c r="BV856" i="1" s="1"/>
  <c r="BR856" i="1"/>
  <c r="BN856" i="1" l="1"/>
  <c r="BH856" i="1" s="1"/>
  <c r="BX856" i="1"/>
  <c r="BJ856" i="1" s="1"/>
  <c r="BB857" i="1" l="1"/>
  <c r="BF857" i="1"/>
  <c r="AZ857" i="1"/>
  <c r="BD857" i="1"/>
  <c r="CB857" i="1" l="1"/>
  <c r="BN857" i="1" s="1"/>
  <c r="CF857" i="1"/>
  <c r="BX857" i="1" s="1"/>
  <c r="CD857" i="1"/>
  <c r="BT857" i="1" s="1"/>
  <c r="BV857" i="1" l="1"/>
  <c r="BP857" i="1"/>
  <c r="BJ857" i="1" s="1"/>
  <c r="BR857" i="1"/>
  <c r="BH857" i="1" s="1"/>
  <c r="BD858" i="1" l="1"/>
  <c r="AZ858" i="1"/>
  <c r="BF858" i="1"/>
  <c r="BB858" i="1"/>
  <c r="CF858" i="1" l="1"/>
  <c r="BX858" i="1" s="1"/>
  <c r="CB858" i="1"/>
  <c r="BP858" i="1" s="1"/>
  <c r="BJ858" i="1" s="1"/>
  <c r="BB859" i="1" s="1"/>
  <c r="CD858" i="1"/>
  <c r="BT858" i="1" s="1"/>
  <c r="BR858" i="1"/>
  <c r="BV858" i="1"/>
  <c r="BN858" i="1" l="1"/>
  <c r="BH858" i="1" s="1"/>
  <c r="BF859" i="1"/>
  <c r="AZ859" i="1" l="1"/>
  <c r="BD859" i="1"/>
  <c r="CD859" i="1" l="1"/>
  <c r="BT859" i="1" s="1"/>
  <c r="CB859" i="1"/>
  <c r="BP859" i="1" s="1"/>
  <c r="CF859" i="1"/>
  <c r="BX859" i="1" s="1"/>
  <c r="BJ859" i="1" l="1"/>
  <c r="BV859" i="1"/>
  <c r="BR859" i="1"/>
  <c r="BN859" i="1"/>
  <c r="BH859" i="1" l="1"/>
  <c r="BB860" i="1"/>
  <c r="BF860" i="1"/>
  <c r="BD860" i="1" l="1"/>
  <c r="AZ860" i="1"/>
  <c r="CD860" i="1" l="1"/>
  <c r="BT860" i="1" s="1"/>
  <c r="CB860" i="1"/>
  <c r="BP860" i="1" s="1"/>
  <c r="BJ860" i="1" s="1"/>
  <c r="CF860" i="1"/>
  <c r="BX860" i="1" s="1"/>
  <c r="BV860" i="1"/>
  <c r="BF861" i="1" l="1"/>
  <c r="BB861" i="1"/>
  <c r="BN860" i="1"/>
  <c r="BR860" i="1"/>
  <c r="BH860" i="1" l="1"/>
  <c r="BD861" i="1" l="1"/>
  <c r="AZ861" i="1"/>
  <c r="CF861" i="1" l="1"/>
  <c r="BX861" i="1" s="1"/>
  <c r="CB861" i="1"/>
  <c r="BP861" i="1" s="1"/>
  <c r="CD861" i="1"/>
  <c r="BT861" i="1" s="1"/>
  <c r="BV861" i="1"/>
  <c r="BN861" i="1"/>
  <c r="BJ861" i="1" l="1"/>
  <c r="BR861" i="1"/>
  <c r="BH861" i="1" s="1"/>
  <c r="BD862" i="1" l="1"/>
  <c r="AZ862" i="1"/>
  <c r="BB862" i="1"/>
  <c r="BF862" i="1"/>
  <c r="CB862" i="1" l="1"/>
  <c r="BP862" i="1" s="1"/>
  <c r="CF862" i="1"/>
  <c r="BX862" i="1" s="1"/>
  <c r="CD862" i="1"/>
  <c r="BT862" i="1" s="1"/>
  <c r="BJ862" i="1" l="1"/>
  <c r="BV862" i="1"/>
  <c r="BR862" i="1"/>
  <c r="BN862" i="1"/>
  <c r="BH862" i="1" s="1"/>
  <c r="BD863" i="1" l="1"/>
  <c r="AZ863" i="1"/>
  <c r="BB863" i="1"/>
  <c r="BF863" i="1"/>
  <c r="CB863" i="1" l="1"/>
  <c r="BP863" i="1" s="1"/>
  <c r="CF863" i="1"/>
  <c r="BX863" i="1" s="1"/>
  <c r="CD863" i="1"/>
  <c r="BT863" i="1" s="1"/>
  <c r="BN863" i="1"/>
  <c r="BR863" i="1"/>
  <c r="BJ863" i="1" l="1"/>
  <c r="BV863" i="1"/>
  <c r="BH863" i="1" s="1"/>
  <c r="AZ864" i="1" l="1"/>
  <c r="BD864" i="1"/>
  <c r="BF864" i="1"/>
  <c r="BB864" i="1"/>
  <c r="CD864" i="1" l="1"/>
  <c r="BT864" i="1" s="1"/>
  <c r="CF864" i="1"/>
  <c r="BX864" i="1" s="1"/>
  <c r="CB864" i="1"/>
  <c r="BP864" i="1" s="1"/>
  <c r="BJ864" i="1" s="1"/>
  <c r="BB865" i="1" s="1"/>
  <c r="BR864" i="1"/>
  <c r="BV864" i="1" l="1"/>
  <c r="BN864" i="1"/>
  <c r="BH864" i="1" s="1"/>
  <c r="BF865" i="1"/>
  <c r="BD865" i="1" l="1"/>
  <c r="AZ865" i="1"/>
  <c r="CD865" i="1" l="1"/>
  <c r="BT865" i="1" s="1"/>
  <c r="CB865" i="1"/>
  <c r="BP865" i="1" s="1"/>
  <c r="BJ865" i="1" s="1"/>
  <c r="CF865" i="1"/>
  <c r="BX865" i="1" s="1"/>
  <c r="BV865" i="1"/>
  <c r="BF866" i="1" l="1"/>
  <c r="BB866" i="1"/>
  <c r="BR865" i="1"/>
  <c r="BN865" i="1"/>
  <c r="BH865" i="1" s="1"/>
  <c r="BD866" i="1" l="1"/>
  <c r="AZ866" i="1"/>
  <c r="CD866" i="1" l="1"/>
  <c r="BT866" i="1" s="1"/>
  <c r="CB866" i="1"/>
  <c r="BP866" i="1" s="1"/>
  <c r="CF866" i="1"/>
  <c r="BX866" i="1" s="1"/>
  <c r="BN866" i="1"/>
  <c r="BR866" i="1"/>
  <c r="BV866" i="1" l="1"/>
  <c r="BJ866" i="1"/>
  <c r="BH866" i="1"/>
  <c r="BB867" i="1" l="1"/>
  <c r="BF867" i="1"/>
  <c r="BD867" i="1"/>
  <c r="AZ867" i="1"/>
  <c r="CF867" i="1" l="1"/>
  <c r="BX867" i="1" s="1"/>
  <c r="CD867" i="1"/>
  <c r="BT867" i="1" s="1"/>
  <c r="CB867" i="1"/>
  <c r="BP867" i="1" s="1"/>
  <c r="BJ867" i="1" s="1"/>
  <c r="BB868" i="1" s="1"/>
  <c r="BV867" i="1"/>
  <c r="BF868" i="1" l="1"/>
  <c r="BN867" i="1"/>
  <c r="BH867" i="1" s="1"/>
  <c r="BR867" i="1"/>
  <c r="BD868" i="1" l="1"/>
  <c r="AZ868" i="1"/>
  <c r="CD868" i="1" l="1"/>
  <c r="BT868" i="1" s="1"/>
  <c r="CF868" i="1"/>
  <c r="BX868" i="1" s="1"/>
  <c r="CB868" i="1"/>
  <c r="BP868" i="1" s="1"/>
  <c r="BJ868" i="1" s="1"/>
  <c r="BR868" i="1"/>
  <c r="BV868" i="1"/>
  <c r="BN868" i="1" l="1"/>
  <c r="BH868" i="1" s="1"/>
  <c r="BB869" i="1"/>
  <c r="BF869" i="1"/>
  <c r="AZ869" i="1" l="1"/>
  <c r="BD869" i="1"/>
  <c r="CF869" i="1" l="1"/>
  <c r="BX869" i="1" s="1"/>
  <c r="CB869" i="1"/>
  <c r="BP869" i="1" s="1"/>
  <c r="CD869" i="1"/>
  <c r="BT869" i="1" s="1"/>
  <c r="BN869" i="1"/>
  <c r="BV869" i="1"/>
  <c r="BJ869" i="1" l="1"/>
  <c r="BR869" i="1"/>
  <c r="BH869" i="1" s="1"/>
  <c r="BD870" i="1" l="1"/>
  <c r="AZ870" i="1"/>
  <c r="BB870" i="1"/>
  <c r="BF870" i="1"/>
  <c r="CD870" i="1" l="1"/>
  <c r="BT870" i="1" s="1"/>
  <c r="CB870" i="1"/>
  <c r="BP870" i="1" s="1"/>
  <c r="BJ870" i="1" s="1"/>
  <c r="BB871" i="1" s="1"/>
  <c r="CF870" i="1"/>
  <c r="BX870" i="1" s="1"/>
  <c r="BV870" i="1"/>
  <c r="BR870" i="1" l="1"/>
  <c r="BH870" i="1" s="1"/>
  <c r="BN870" i="1"/>
  <c r="BF871" i="1"/>
  <c r="BD871" i="1" l="1"/>
  <c r="AZ871" i="1"/>
  <c r="CF871" i="1" l="1"/>
  <c r="BX871" i="1" s="1"/>
  <c r="CD871" i="1"/>
  <c r="BT871" i="1" s="1"/>
  <c r="CB871" i="1"/>
  <c r="BP871" i="1" s="1"/>
  <c r="BJ871" i="1" s="1"/>
  <c r="BV871" i="1"/>
  <c r="BF872" i="1" l="1"/>
  <c r="BB872" i="1"/>
  <c r="BR871" i="1"/>
  <c r="BN871" i="1"/>
  <c r="BH871" i="1" l="1"/>
  <c r="BD872" i="1" l="1"/>
  <c r="AZ872" i="1"/>
  <c r="CD872" i="1" l="1"/>
  <c r="BT872" i="1" s="1"/>
  <c r="CF872" i="1"/>
  <c r="BX872" i="1" s="1"/>
  <c r="CB872" i="1"/>
  <c r="BP872" i="1" s="1"/>
  <c r="BJ872" i="1" s="1"/>
  <c r="BV872" i="1"/>
  <c r="BR872" i="1"/>
  <c r="BB873" i="1" l="1"/>
  <c r="BF873" i="1"/>
  <c r="BN872" i="1"/>
  <c r="BH872" i="1" s="1"/>
  <c r="AZ873" i="1" l="1"/>
  <c r="BD873" i="1"/>
  <c r="CD873" i="1" l="1"/>
  <c r="BT873" i="1" s="1"/>
  <c r="CB873" i="1"/>
  <c r="BP873" i="1" s="1"/>
  <c r="BJ873" i="1" s="1"/>
  <c r="CF873" i="1"/>
  <c r="BX873" i="1" s="1"/>
  <c r="BV873" i="1"/>
  <c r="BB874" i="1" l="1"/>
  <c r="BF874" i="1"/>
  <c r="BN873" i="1"/>
  <c r="BR873" i="1"/>
  <c r="BH873" i="1" l="1"/>
  <c r="BD874" i="1" l="1"/>
  <c r="AZ874" i="1"/>
  <c r="CD874" i="1" l="1"/>
  <c r="BT874" i="1" s="1"/>
  <c r="CB874" i="1"/>
  <c r="BP874" i="1" s="1"/>
  <c r="CF874" i="1"/>
  <c r="BX874" i="1" s="1"/>
  <c r="BR874" i="1"/>
  <c r="BN874" i="1"/>
  <c r="BJ874" i="1" l="1"/>
  <c r="BV874" i="1"/>
  <c r="BH874" i="1" s="1"/>
  <c r="AZ875" i="1" l="1"/>
  <c r="BD875" i="1"/>
  <c r="BF875" i="1"/>
  <c r="BB875" i="1"/>
  <c r="CD875" i="1" l="1"/>
  <c r="BT875" i="1" s="1"/>
  <c r="CF875" i="1"/>
  <c r="BX875" i="1" s="1"/>
  <c r="CB875" i="1"/>
  <c r="BN875" i="1" s="1"/>
  <c r="BH875" i="1" s="1"/>
  <c r="AZ876" i="1" s="1"/>
  <c r="BR875" i="1"/>
  <c r="BV875" i="1"/>
  <c r="BD876" i="1" l="1"/>
  <c r="BP875" i="1"/>
  <c r="BJ875" i="1" s="1"/>
  <c r="BB876" i="1" l="1"/>
  <c r="BF876" i="1"/>
  <c r="CD876" i="1" l="1"/>
  <c r="CF876" i="1"/>
  <c r="CB876" i="1"/>
  <c r="BX876" i="1" l="1"/>
  <c r="BV876" i="1"/>
  <c r="BT876" i="1"/>
  <c r="BR876" i="1"/>
  <c r="BP876" i="1"/>
  <c r="BN876" i="1"/>
  <c r="BH876" i="1" l="1"/>
  <c r="BJ876" i="1"/>
  <c r="BF877" i="1" l="1"/>
  <c r="BB877" i="1"/>
  <c r="BD877" i="1"/>
  <c r="AZ877" i="1"/>
  <c r="CF877" i="1" l="1"/>
  <c r="BX877" i="1" s="1"/>
  <c r="CB877" i="1"/>
  <c r="BP877" i="1" s="1"/>
  <c r="CD877" i="1"/>
  <c r="BT877" i="1" s="1"/>
  <c r="BV877" i="1"/>
  <c r="BN877" i="1"/>
  <c r="BR877" i="1" l="1"/>
  <c r="BJ877" i="1"/>
  <c r="BH877" i="1"/>
  <c r="BB878" i="1" l="1"/>
  <c r="BF878" i="1"/>
  <c r="AZ878" i="1"/>
  <c r="BD878" i="1"/>
  <c r="CF878" i="1" l="1"/>
  <c r="BX878" i="1" s="1"/>
  <c r="CD878" i="1"/>
  <c r="BT878" i="1" s="1"/>
  <c r="CB878" i="1"/>
  <c r="BP878" i="1" s="1"/>
  <c r="BV878" i="1"/>
  <c r="BN878" i="1"/>
  <c r="BJ878" i="1" l="1"/>
  <c r="BR878" i="1"/>
  <c r="BH878" i="1" s="1"/>
  <c r="BD879" i="1" l="1"/>
  <c r="AZ879" i="1"/>
  <c r="BB879" i="1"/>
  <c r="BF879" i="1"/>
  <c r="CF879" i="1" l="1"/>
  <c r="BX879" i="1" s="1"/>
  <c r="CD879" i="1"/>
  <c r="BT879" i="1" s="1"/>
  <c r="CB879" i="1"/>
  <c r="BP879" i="1" s="1"/>
  <c r="BJ879" i="1" s="1"/>
  <c r="BF880" i="1" s="1"/>
  <c r="BR879" i="1"/>
  <c r="BV879" i="1"/>
  <c r="BB880" i="1" l="1"/>
  <c r="BN879" i="1"/>
  <c r="BH879" i="1" s="1"/>
  <c r="BD880" i="1" l="1"/>
  <c r="AZ880" i="1"/>
  <c r="CB880" i="1" l="1"/>
  <c r="BP880" i="1" s="1"/>
  <c r="CF880" i="1"/>
  <c r="BX880" i="1" s="1"/>
  <c r="CD880" i="1"/>
  <c r="BT880" i="1" s="1"/>
  <c r="BN880" i="1"/>
  <c r="BV880" i="1"/>
  <c r="BR880" i="1" l="1"/>
  <c r="BH880" i="1" s="1"/>
  <c r="BJ880" i="1"/>
  <c r="AZ881" i="1" l="1"/>
  <c r="BD881" i="1"/>
  <c r="BB881" i="1"/>
  <c r="BF881" i="1"/>
  <c r="CB881" i="1" l="1"/>
  <c r="BP881" i="1" s="1"/>
  <c r="BJ881" i="1" s="1"/>
  <c r="BF882" i="1" s="1"/>
  <c r="CF881" i="1"/>
  <c r="BX881" i="1" s="1"/>
  <c r="CD881" i="1"/>
  <c r="BT881" i="1" s="1"/>
  <c r="BR881" i="1"/>
  <c r="BV881" i="1"/>
  <c r="BB882" i="1" l="1"/>
  <c r="BN881" i="1"/>
  <c r="BH881" i="1" s="1"/>
  <c r="AZ882" i="1" l="1"/>
  <c r="BD882" i="1"/>
  <c r="CB882" i="1" l="1"/>
  <c r="BP882" i="1" s="1"/>
  <c r="CD882" i="1"/>
  <c r="BT882" i="1" s="1"/>
  <c r="CF882" i="1"/>
  <c r="BV882" i="1" l="1"/>
  <c r="BX882" i="1"/>
  <c r="BJ882" i="1" s="1"/>
  <c r="BR882" i="1"/>
  <c r="BN882" i="1"/>
  <c r="BH882" i="1" s="1"/>
  <c r="BD883" i="1" l="1"/>
  <c r="AZ883" i="1"/>
  <c r="BF883" i="1"/>
  <c r="BB883" i="1"/>
  <c r="CD883" i="1" l="1"/>
  <c r="BT883" i="1" s="1"/>
  <c r="CF883" i="1"/>
  <c r="BX883" i="1" s="1"/>
  <c r="CB883" i="1"/>
  <c r="BP883" i="1" s="1"/>
  <c r="BJ883" i="1" s="1"/>
  <c r="BB884" i="1" s="1"/>
  <c r="BR883" i="1"/>
  <c r="BV883" i="1" l="1"/>
  <c r="BF884" i="1"/>
  <c r="BN883" i="1"/>
  <c r="BH883" i="1" s="1"/>
  <c r="BD884" i="1" l="1"/>
  <c r="AZ884" i="1"/>
  <c r="CD884" i="1" l="1"/>
  <c r="BT884" i="1" s="1"/>
  <c r="CF884" i="1"/>
  <c r="BX884" i="1" s="1"/>
  <c r="CB884" i="1"/>
  <c r="BP884" i="1" s="1"/>
  <c r="BJ884" i="1" s="1"/>
  <c r="BR884" i="1"/>
  <c r="BV884" i="1"/>
  <c r="BN884" i="1" l="1"/>
  <c r="BH884" i="1" s="1"/>
  <c r="BF885" i="1"/>
  <c r="BB885" i="1"/>
  <c r="AZ885" i="1" l="1"/>
  <c r="BD885" i="1"/>
  <c r="CF885" i="1" l="1"/>
  <c r="BX885" i="1" s="1"/>
  <c r="CD885" i="1"/>
  <c r="BT885" i="1" s="1"/>
  <c r="CB885" i="1"/>
  <c r="BP885" i="1" s="1"/>
  <c r="BJ885" i="1" s="1"/>
  <c r="BF886" i="1" l="1"/>
  <c r="BB886" i="1"/>
  <c r="BN885" i="1"/>
  <c r="BV885" i="1"/>
  <c r="BR885" i="1"/>
  <c r="BH885" i="1" l="1"/>
  <c r="BD886" i="1" l="1"/>
  <c r="AZ886" i="1"/>
  <c r="CD886" i="1" l="1"/>
  <c r="BT886" i="1" s="1"/>
  <c r="CB886" i="1"/>
  <c r="BP886" i="1" s="1"/>
  <c r="CF886" i="1"/>
  <c r="BX886" i="1" s="1"/>
  <c r="BN886" i="1"/>
  <c r="BR886" i="1"/>
  <c r="BJ886" i="1" l="1"/>
  <c r="BV886" i="1"/>
  <c r="BH886" i="1" s="1"/>
  <c r="AZ887" i="1" l="1"/>
  <c r="BD887" i="1"/>
  <c r="BB887" i="1"/>
  <c r="BF887" i="1"/>
  <c r="CF887" i="1" l="1"/>
  <c r="BX887" i="1" s="1"/>
  <c r="CD887" i="1"/>
  <c r="BT887" i="1" s="1"/>
  <c r="CB887" i="1"/>
  <c r="BP887" i="1" s="1"/>
  <c r="BR887" i="1"/>
  <c r="BV887" i="1"/>
  <c r="BN887" i="1"/>
  <c r="BJ887" i="1" l="1"/>
  <c r="BH887" i="1"/>
  <c r="AZ888" i="1" l="1"/>
  <c r="BD888" i="1"/>
  <c r="BF888" i="1"/>
  <c r="BB888" i="1"/>
  <c r="CF888" i="1" l="1"/>
  <c r="BX888" i="1" s="1"/>
  <c r="CD888" i="1"/>
  <c r="BT888" i="1" s="1"/>
  <c r="CB888" i="1"/>
  <c r="BN888" i="1" s="1"/>
  <c r="BR888" i="1"/>
  <c r="BV888" i="1"/>
  <c r="BH888" i="1" l="1"/>
  <c r="BP888" i="1"/>
  <c r="BJ888" i="1" s="1"/>
  <c r="BB889" i="1" l="1"/>
  <c r="BF889" i="1"/>
  <c r="AZ889" i="1"/>
  <c r="BD889" i="1"/>
  <c r="CD889" i="1" l="1"/>
  <c r="BT889" i="1" s="1"/>
  <c r="CF889" i="1"/>
  <c r="BX889" i="1" s="1"/>
  <c r="CB889" i="1"/>
  <c r="BP889" i="1" s="1"/>
  <c r="BV889" i="1" l="1"/>
  <c r="BR889" i="1"/>
  <c r="BN889" i="1"/>
  <c r="BH889" i="1" s="1"/>
  <c r="BJ889" i="1"/>
  <c r="BF890" i="1" l="1"/>
  <c r="BB890" i="1"/>
  <c r="AZ890" i="1"/>
  <c r="BD890" i="1"/>
  <c r="CD890" i="1" l="1"/>
  <c r="BT890" i="1" s="1"/>
  <c r="CF890" i="1"/>
  <c r="BX890" i="1" s="1"/>
  <c r="CB890" i="1"/>
  <c r="BP890" i="1" s="1"/>
  <c r="BJ890" i="1" s="1"/>
  <c r="BF891" i="1" s="1"/>
  <c r="BV890" i="1"/>
  <c r="BR890" i="1" l="1"/>
  <c r="BN890" i="1"/>
  <c r="BH890" i="1" s="1"/>
  <c r="BB891" i="1"/>
  <c r="BD891" i="1" l="1"/>
  <c r="AZ891" i="1"/>
  <c r="CD891" i="1" l="1"/>
  <c r="BT891" i="1" s="1"/>
  <c r="CF891" i="1"/>
  <c r="BX891" i="1" s="1"/>
  <c r="CB891" i="1"/>
  <c r="BP891" i="1" s="1"/>
  <c r="BJ891" i="1" s="1"/>
  <c r="BR891" i="1"/>
  <c r="BF892" i="1" l="1"/>
  <c r="BB892" i="1"/>
  <c r="BN891" i="1"/>
  <c r="BV891" i="1"/>
  <c r="BH891" i="1" l="1"/>
  <c r="BD892" i="1" l="1"/>
  <c r="AZ892" i="1"/>
  <c r="CF892" i="1" l="1"/>
  <c r="BX892" i="1" s="1"/>
  <c r="CD892" i="1"/>
  <c r="BT892" i="1" s="1"/>
  <c r="CB892" i="1"/>
  <c r="BP892" i="1" s="1"/>
  <c r="BJ892" i="1" s="1"/>
  <c r="BV892" i="1"/>
  <c r="BB893" i="1" l="1"/>
  <c r="BF893" i="1"/>
  <c r="BN892" i="1"/>
  <c r="BR892" i="1"/>
  <c r="BH892" i="1" l="1"/>
  <c r="BD893" i="1" l="1"/>
  <c r="AZ893" i="1"/>
  <c r="CD893" i="1" l="1"/>
  <c r="BT893" i="1" s="1"/>
  <c r="CF893" i="1"/>
  <c r="BX893" i="1" s="1"/>
  <c r="CB893" i="1"/>
  <c r="BP893" i="1" s="1"/>
  <c r="BR893" i="1"/>
  <c r="BJ893" i="1" l="1"/>
  <c r="BV893" i="1"/>
  <c r="BN893" i="1"/>
  <c r="BH893" i="1" s="1"/>
  <c r="AZ894" i="1" l="1"/>
  <c r="BD894" i="1"/>
  <c r="BB894" i="1"/>
  <c r="BF894" i="1"/>
  <c r="CF894" i="1" l="1"/>
  <c r="BX894" i="1" s="1"/>
  <c r="CB894" i="1"/>
  <c r="BP894" i="1" s="1"/>
  <c r="CD894" i="1"/>
  <c r="BT894" i="1" s="1"/>
  <c r="BR894" i="1"/>
  <c r="BJ894" i="1" l="1"/>
  <c r="BN894" i="1"/>
  <c r="BV894" i="1"/>
  <c r="BH894" i="1" l="1"/>
  <c r="BB895" i="1"/>
  <c r="BF895" i="1"/>
  <c r="BD895" i="1" l="1"/>
  <c r="AZ895" i="1"/>
  <c r="CF895" i="1" l="1"/>
  <c r="BX895" i="1" s="1"/>
  <c r="CD895" i="1"/>
  <c r="BT895" i="1" s="1"/>
  <c r="CB895" i="1"/>
  <c r="BP895" i="1" s="1"/>
  <c r="BJ895" i="1" s="1"/>
  <c r="BR895" i="1"/>
  <c r="BV895" i="1"/>
  <c r="BN895" i="1" l="1"/>
  <c r="BH895" i="1" s="1"/>
  <c r="BB896" i="1"/>
  <c r="BF896" i="1"/>
  <c r="AZ896" i="1" l="1"/>
  <c r="BD896" i="1"/>
  <c r="CD896" i="1" l="1"/>
  <c r="BT896" i="1" s="1"/>
  <c r="CF896" i="1"/>
  <c r="BX896" i="1" s="1"/>
  <c r="CB896" i="1"/>
  <c r="BR896" i="1"/>
  <c r="BN896" i="1" l="1"/>
  <c r="BP896" i="1"/>
  <c r="BJ896" i="1" s="1"/>
  <c r="BV896" i="1"/>
  <c r="BB897" i="1" l="1"/>
  <c r="BF897" i="1"/>
  <c r="BH896" i="1"/>
  <c r="BD897" i="1" l="1"/>
  <c r="AZ897" i="1"/>
  <c r="CF897" i="1" l="1"/>
  <c r="BX897" i="1" s="1"/>
  <c r="CD897" i="1"/>
  <c r="CB897" i="1"/>
  <c r="BP897" i="1" s="1"/>
  <c r="BV897" i="1"/>
  <c r="BN897" i="1" l="1"/>
  <c r="BR897" i="1"/>
  <c r="BH897" i="1" s="1"/>
  <c r="BT897" i="1"/>
  <c r="BJ897" i="1" s="1"/>
  <c r="AZ898" i="1" l="1"/>
  <c r="BD898" i="1"/>
  <c r="BB898" i="1"/>
  <c r="BF898" i="1"/>
  <c r="CB898" i="1" l="1"/>
  <c r="BP898" i="1" s="1"/>
  <c r="CF898" i="1"/>
  <c r="BX898" i="1" s="1"/>
  <c r="CD898" i="1"/>
  <c r="BT898" i="1" s="1"/>
  <c r="BN898" i="1"/>
  <c r="BV898" i="1"/>
  <c r="BJ898" i="1" l="1"/>
  <c r="BR898" i="1"/>
  <c r="BH898" i="1" s="1"/>
  <c r="BD899" i="1" l="1"/>
  <c r="AZ899" i="1"/>
  <c r="BB899" i="1"/>
  <c r="BF899" i="1"/>
  <c r="CD899" i="1" l="1"/>
  <c r="BT899" i="1" s="1"/>
  <c r="CF899" i="1"/>
  <c r="BX899" i="1" s="1"/>
  <c r="CB899" i="1"/>
  <c r="BP899" i="1" s="1"/>
  <c r="BR899" i="1"/>
  <c r="BJ899" i="1" l="1"/>
  <c r="BN899" i="1"/>
  <c r="BH899" i="1" s="1"/>
  <c r="BV899" i="1"/>
  <c r="BD900" i="1" l="1"/>
  <c r="AZ900" i="1"/>
  <c r="BF900" i="1"/>
  <c r="BB900" i="1"/>
  <c r="CF900" i="1" l="1"/>
  <c r="BX900" i="1" s="1"/>
  <c r="CD900" i="1"/>
  <c r="BT900" i="1" s="1"/>
  <c r="CB900" i="1"/>
  <c r="BP900" i="1" s="1"/>
  <c r="BJ900" i="1" s="1"/>
  <c r="BB901" i="1" s="1"/>
  <c r="BV900" i="1"/>
  <c r="BN900" i="1" l="1"/>
  <c r="BH900" i="1" s="1"/>
  <c r="BR900" i="1"/>
  <c r="BF901" i="1"/>
  <c r="BD901" i="1" l="1"/>
  <c r="AZ901" i="1"/>
  <c r="CD901" i="1" l="1"/>
  <c r="BT901" i="1" s="1"/>
  <c r="CB901" i="1"/>
  <c r="BP901" i="1" s="1"/>
  <c r="BJ901" i="1" s="1"/>
  <c r="CF901" i="1"/>
  <c r="BX901" i="1" s="1"/>
  <c r="BR901" i="1"/>
  <c r="BN901" i="1"/>
  <c r="BV901" i="1" l="1"/>
  <c r="BH901" i="1" s="1"/>
  <c r="BF902" i="1"/>
  <c r="BB902" i="1"/>
  <c r="AZ902" i="1" l="1"/>
  <c r="BD902" i="1"/>
  <c r="CF902" i="1" l="1"/>
  <c r="BX902" i="1" s="1"/>
  <c r="CB902" i="1"/>
  <c r="BP902" i="1" s="1"/>
  <c r="BJ902" i="1" s="1"/>
  <c r="CD902" i="1"/>
  <c r="BT902" i="1" s="1"/>
  <c r="BF903" i="1" l="1"/>
  <c r="BB903" i="1"/>
  <c r="BR902" i="1"/>
  <c r="BV902" i="1"/>
  <c r="BN902" i="1"/>
  <c r="BH902" i="1" l="1"/>
  <c r="BD903" i="1" l="1"/>
  <c r="AZ903" i="1"/>
  <c r="CF903" i="1" l="1"/>
  <c r="BX903" i="1" s="1"/>
  <c r="CD903" i="1"/>
  <c r="BT903" i="1" s="1"/>
  <c r="CB903" i="1"/>
  <c r="BP903" i="1" s="1"/>
  <c r="BJ903" i="1" s="1"/>
  <c r="BV903" i="1"/>
  <c r="BR903" i="1"/>
  <c r="BN903" i="1" l="1"/>
  <c r="BH903" i="1" s="1"/>
  <c r="BB904" i="1"/>
  <c r="BF904" i="1"/>
  <c r="AZ904" i="1" l="1"/>
  <c r="BD904" i="1"/>
  <c r="CF904" i="1" l="1"/>
  <c r="BX904" i="1" s="1"/>
  <c r="CB904" i="1"/>
  <c r="BP904" i="1" s="1"/>
  <c r="BJ904" i="1" s="1"/>
  <c r="CD904" i="1"/>
  <c r="BT904" i="1" s="1"/>
  <c r="BV904" i="1"/>
  <c r="BF905" i="1" l="1"/>
  <c r="BB905" i="1"/>
  <c r="BR904" i="1"/>
  <c r="BN904" i="1"/>
  <c r="BH904" i="1" l="1"/>
  <c r="BD905" i="1" l="1"/>
  <c r="AZ905" i="1"/>
  <c r="CF905" i="1" l="1"/>
  <c r="BX905" i="1" s="1"/>
  <c r="CB905" i="1"/>
  <c r="BP905" i="1" s="1"/>
  <c r="CD905" i="1"/>
  <c r="BT905" i="1" s="1"/>
  <c r="BV905" i="1"/>
  <c r="BN905" i="1" l="1"/>
  <c r="BJ905" i="1"/>
  <c r="BR905" i="1"/>
  <c r="BH905" i="1" s="1"/>
  <c r="BB906" i="1" l="1"/>
  <c r="BF906" i="1"/>
  <c r="BD906" i="1"/>
  <c r="AZ906" i="1"/>
  <c r="CF906" i="1" l="1"/>
  <c r="BX906" i="1" s="1"/>
  <c r="CD906" i="1"/>
  <c r="BT906" i="1" s="1"/>
  <c r="CB906" i="1"/>
  <c r="BP906" i="1" s="1"/>
  <c r="BJ906" i="1" s="1"/>
  <c r="BB907" i="1" s="1"/>
  <c r="BV906" i="1"/>
  <c r="BR906" i="1"/>
  <c r="BF907" i="1" l="1"/>
  <c r="BN906" i="1"/>
  <c r="BH906" i="1" s="1"/>
  <c r="BD907" i="1" l="1"/>
  <c r="AZ907" i="1"/>
  <c r="CF907" i="1" l="1"/>
  <c r="BX907" i="1" s="1"/>
  <c r="CB907" i="1"/>
  <c r="BP907" i="1" s="1"/>
  <c r="CD907" i="1"/>
  <c r="BT907" i="1" s="1"/>
  <c r="BN907" i="1"/>
  <c r="BV907" i="1"/>
  <c r="BJ907" i="1" l="1"/>
  <c r="BR907" i="1"/>
  <c r="BH907" i="1" s="1"/>
  <c r="AZ908" i="1" l="1"/>
  <c r="BD908" i="1"/>
  <c r="BB908" i="1"/>
  <c r="BF908" i="1"/>
  <c r="CD908" i="1" l="1"/>
  <c r="BT908" i="1" s="1"/>
  <c r="CF908" i="1"/>
  <c r="BX908" i="1" s="1"/>
  <c r="CB908" i="1"/>
  <c r="BP908" i="1" s="1"/>
  <c r="BN908" i="1"/>
  <c r="BR908" i="1"/>
  <c r="BV908" i="1" l="1"/>
  <c r="BH908" i="1" s="1"/>
  <c r="BJ908" i="1"/>
  <c r="BD909" i="1" l="1"/>
  <c r="AZ909" i="1"/>
  <c r="BB909" i="1"/>
  <c r="BF909" i="1"/>
  <c r="CB909" i="1" l="1"/>
  <c r="BP909" i="1" s="1"/>
  <c r="CD909" i="1"/>
  <c r="BT909" i="1" s="1"/>
  <c r="CF909" i="1"/>
  <c r="BX909" i="1" s="1"/>
  <c r="BR909" i="1"/>
  <c r="BN909" i="1"/>
  <c r="BV909" i="1" l="1"/>
  <c r="BH909" i="1"/>
  <c r="BJ909" i="1"/>
  <c r="BB910" i="1" l="1"/>
  <c r="BF910" i="1"/>
  <c r="AZ910" i="1"/>
  <c r="BD910" i="1"/>
  <c r="CD910" i="1" l="1"/>
  <c r="BT910" i="1" s="1"/>
  <c r="CB910" i="1"/>
  <c r="BP910" i="1" s="1"/>
  <c r="CF910" i="1"/>
  <c r="BX910" i="1" s="1"/>
  <c r="BN910" i="1"/>
  <c r="BR910" i="1"/>
  <c r="BV910" i="1" l="1"/>
  <c r="BJ910" i="1"/>
  <c r="BH910" i="1"/>
  <c r="AZ911" i="1" l="1"/>
  <c r="BD911" i="1"/>
  <c r="BB911" i="1"/>
  <c r="BF911" i="1"/>
  <c r="CF911" i="1" l="1"/>
  <c r="BX911" i="1" s="1"/>
  <c r="CB911" i="1"/>
  <c r="BP911" i="1" s="1"/>
  <c r="CD911" i="1"/>
  <c r="BT911" i="1" s="1"/>
  <c r="BR911" i="1"/>
  <c r="BV911" i="1"/>
  <c r="BN911" i="1"/>
  <c r="BH911" i="1" s="1"/>
  <c r="BD912" i="1" s="1"/>
  <c r="AZ912" i="1" l="1"/>
  <c r="BJ911" i="1"/>
  <c r="BB912" i="1" l="1"/>
  <c r="CF912" i="1" s="1"/>
  <c r="BF912" i="1"/>
  <c r="BX912" i="1" l="1"/>
  <c r="BV912" i="1"/>
  <c r="CD912" i="1"/>
  <c r="CB912" i="1"/>
  <c r="BT912" i="1" l="1"/>
  <c r="BR912" i="1"/>
  <c r="BP912" i="1"/>
  <c r="BJ912" i="1" s="1"/>
  <c r="BN912" i="1"/>
  <c r="BH912" i="1" s="1"/>
  <c r="BB913" i="1" l="1"/>
  <c r="BF913" i="1"/>
  <c r="AZ913" i="1"/>
  <c r="BD913" i="1"/>
  <c r="CD913" i="1" l="1"/>
  <c r="BT913" i="1" s="1"/>
  <c r="CF913" i="1"/>
  <c r="BX913" i="1" s="1"/>
  <c r="CB913" i="1"/>
  <c r="BP913" i="1" s="1"/>
  <c r="BJ913" i="1" s="1"/>
  <c r="BB914" i="1" s="1"/>
  <c r="BV913" i="1"/>
  <c r="BR913" i="1"/>
  <c r="BF914" i="1" l="1"/>
  <c r="BN913" i="1"/>
  <c r="BH913" i="1" s="1"/>
  <c r="BD914" i="1" l="1"/>
  <c r="AZ914" i="1"/>
  <c r="CD914" i="1" l="1"/>
  <c r="BT914" i="1" s="1"/>
  <c r="CB914" i="1"/>
  <c r="BP914" i="1" s="1"/>
  <c r="CF914" i="1"/>
  <c r="BX914" i="1" s="1"/>
  <c r="BN914" i="1"/>
  <c r="BR914" i="1"/>
  <c r="BV914" i="1"/>
  <c r="BJ914" i="1" l="1"/>
  <c r="BH914" i="1"/>
  <c r="AZ915" i="1" l="1"/>
  <c r="BD915" i="1"/>
  <c r="BB915" i="1"/>
  <c r="BF915" i="1"/>
  <c r="CD915" i="1" l="1"/>
  <c r="BT915" i="1" s="1"/>
  <c r="CF915" i="1"/>
  <c r="BX915" i="1" s="1"/>
  <c r="CB915" i="1"/>
  <c r="BP915" i="1" s="1"/>
  <c r="BN915" i="1"/>
  <c r="BV915" i="1"/>
  <c r="BR915" i="1"/>
  <c r="BH915" i="1" s="1"/>
  <c r="AZ916" i="1" s="1"/>
  <c r="BD916" i="1" l="1"/>
  <c r="BJ915" i="1"/>
  <c r="BB916" i="1" l="1"/>
  <c r="BF916" i="1"/>
  <c r="CD916" i="1" l="1"/>
  <c r="CB916" i="1"/>
  <c r="CF916" i="1"/>
  <c r="BT916" i="1" l="1"/>
  <c r="BR916" i="1"/>
  <c r="BP916" i="1"/>
  <c r="BJ916" i="1" s="1"/>
  <c r="BN916" i="1"/>
  <c r="BH916" i="1" s="1"/>
  <c r="BX916" i="1"/>
  <c r="BV916" i="1"/>
  <c r="AZ917" i="1" l="1"/>
  <c r="BD917" i="1"/>
  <c r="BF917" i="1"/>
  <c r="BB917" i="1"/>
  <c r="CF917" i="1" l="1"/>
  <c r="BX917" i="1" s="1"/>
  <c r="CD917" i="1"/>
  <c r="BT917" i="1" s="1"/>
  <c r="CB917" i="1"/>
  <c r="BN917" i="1" s="1"/>
  <c r="BH917" i="1" s="1"/>
  <c r="AZ918" i="1" s="1"/>
  <c r="BR917" i="1"/>
  <c r="BV917" i="1"/>
  <c r="BD918" i="1" l="1"/>
  <c r="BP917" i="1"/>
  <c r="BJ917" i="1" s="1"/>
  <c r="BB918" i="1" l="1"/>
  <c r="BF918" i="1"/>
  <c r="CD918" i="1" l="1"/>
  <c r="CF918" i="1"/>
  <c r="CB918" i="1"/>
  <c r="BT918" i="1" l="1"/>
  <c r="BR918" i="1"/>
  <c r="BX918" i="1"/>
  <c r="BV918" i="1"/>
  <c r="BP918" i="1"/>
  <c r="BN918" i="1"/>
  <c r="BH918" i="1" l="1"/>
  <c r="BJ918" i="1"/>
  <c r="BF919" i="1" l="1"/>
  <c r="BB919" i="1"/>
  <c r="BD919" i="1"/>
  <c r="AZ919" i="1"/>
  <c r="CB919" i="1" l="1"/>
  <c r="BP919" i="1" s="1"/>
  <c r="CD919" i="1"/>
  <c r="BT919" i="1" s="1"/>
  <c r="CF919" i="1"/>
  <c r="BX919" i="1" s="1"/>
  <c r="BR919" i="1"/>
  <c r="BV919" i="1"/>
  <c r="BN919" i="1"/>
  <c r="BH919" i="1" l="1"/>
  <c r="BJ919" i="1"/>
  <c r="BB920" i="1" l="1"/>
  <c r="BF920" i="1"/>
  <c r="AZ920" i="1"/>
  <c r="BD920" i="1"/>
  <c r="CB920" i="1" l="1"/>
  <c r="BP920" i="1" s="1"/>
  <c r="CF920" i="1"/>
  <c r="BX920" i="1" s="1"/>
  <c r="CD920" i="1"/>
  <c r="BT920" i="1" s="1"/>
  <c r="BN920" i="1"/>
  <c r="BH920" i="1" s="1"/>
  <c r="BD921" i="1" s="1"/>
  <c r="BR920" i="1"/>
  <c r="BV920" i="1"/>
  <c r="AZ921" i="1"/>
  <c r="BJ920" i="1" l="1"/>
  <c r="BB921" i="1" l="1"/>
  <c r="BF921" i="1"/>
  <c r="CD921" i="1" l="1"/>
  <c r="CB921" i="1"/>
  <c r="CF921" i="1"/>
  <c r="BT921" i="1" l="1"/>
  <c r="BR921" i="1"/>
  <c r="BP921" i="1"/>
  <c r="BJ921" i="1" s="1"/>
  <c r="BN921" i="1"/>
  <c r="BH921" i="1" s="1"/>
  <c r="BX921" i="1"/>
  <c r="BV921" i="1"/>
  <c r="BD922" i="1" l="1"/>
  <c r="AZ922" i="1"/>
  <c r="BF922" i="1"/>
  <c r="BB922" i="1"/>
  <c r="CB922" i="1" l="1"/>
  <c r="BP922" i="1" s="1"/>
  <c r="CD922" i="1"/>
  <c r="BT922" i="1" s="1"/>
  <c r="CF922" i="1"/>
  <c r="BV922" i="1" s="1"/>
  <c r="BN922" i="1"/>
  <c r="BR922" i="1"/>
  <c r="BX922" i="1"/>
  <c r="BJ922" i="1" s="1"/>
  <c r="BF923" i="1" s="1"/>
  <c r="BB923" i="1" l="1"/>
  <c r="BH922" i="1"/>
  <c r="BD923" i="1" l="1"/>
  <c r="AZ923" i="1"/>
  <c r="CD923" i="1" l="1"/>
  <c r="CF923" i="1"/>
  <c r="CB923" i="1"/>
  <c r="BN923" i="1" l="1"/>
  <c r="BP923" i="1"/>
  <c r="BV923" i="1"/>
  <c r="BX923" i="1"/>
  <c r="BR923" i="1"/>
  <c r="BT923" i="1"/>
  <c r="BJ923" i="1" l="1"/>
  <c r="BH923" i="1"/>
  <c r="AZ924" i="1" l="1"/>
  <c r="BD924" i="1"/>
  <c r="BB924" i="1"/>
  <c r="BF924" i="1"/>
  <c r="CB924" i="1" l="1"/>
  <c r="BN924" i="1" s="1"/>
  <c r="CD924" i="1"/>
  <c r="BR924" i="1" s="1"/>
  <c r="CF924" i="1"/>
  <c r="BV924" i="1" s="1"/>
  <c r="BT924" i="1" l="1"/>
  <c r="BX924" i="1"/>
  <c r="BH924" i="1"/>
  <c r="BP924" i="1"/>
  <c r="BJ924" i="1" s="1"/>
  <c r="AZ925" i="1" l="1"/>
  <c r="BD925" i="1"/>
  <c r="BB925" i="1"/>
  <c r="BF925" i="1"/>
  <c r="CF925" i="1" l="1"/>
  <c r="BX925" i="1" s="1"/>
  <c r="CD925" i="1"/>
  <c r="BT925" i="1" s="1"/>
  <c r="CB925" i="1"/>
  <c r="BP925" i="1" s="1"/>
  <c r="BJ925" i="1" s="1"/>
  <c r="BB926" i="1" s="1"/>
  <c r="BV925" i="1"/>
  <c r="BR925" i="1" l="1"/>
  <c r="BN925" i="1"/>
  <c r="BH925" i="1" s="1"/>
  <c r="BF926" i="1"/>
  <c r="BD926" i="1" l="1"/>
  <c r="AZ926" i="1"/>
  <c r="CF926" i="1" l="1"/>
  <c r="BX926" i="1" s="1"/>
  <c r="BV926" i="1"/>
  <c r="CB926" i="1"/>
  <c r="BP926" i="1" s="1"/>
  <c r="BJ926" i="1" s="1"/>
  <c r="CD926" i="1"/>
  <c r="BT926" i="1" s="1"/>
  <c r="BB927" i="1" l="1"/>
  <c r="BF927" i="1"/>
  <c r="BR926" i="1"/>
  <c r="BH926" i="1" s="1"/>
  <c r="BN926" i="1"/>
  <c r="BD927" i="1" l="1"/>
  <c r="AZ927" i="1"/>
  <c r="CF927" i="1" l="1"/>
  <c r="BX927" i="1" s="1"/>
  <c r="CB927" i="1"/>
  <c r="BP927" i="1" s="1"/>
  <c r="BV927" i="1"/>
  <c r="CD927" i="1"/>
  <c r="BT927" i="1" s="1"/>
  <c r="BN927" i="1"/>
  <c r="BJ927" i="1" l="1"/>
  <c r="BR927" i="1"/>
  <c r="BH927" i="1" s="1"/>
  <c r="BD928" i="1" l="1"/>
  <c r="AZ928" i="1"/>
  <c r="BB928" i="1"/>
  <c r="BF928" i="1"/>
  <c r="CD928" i="1" l="1"/>
  <c r="BT928" i="1" s="1"/>
  <c r="CF928" i="1"/>
  <c r="BX928" i="1" s="1"/>
  <c r="CB928" i="1"/>
  <c r="BP928" i="1" s="1"/>
  <c r="BJ928" i="1" s="1"/>
  <c r="BB929" i="1" s="1"/>
  <c r="BR928" i="1"/>
  <c r="BV928" i="1" l="1"/>
  <c r="BN928" i="1"/>
  <c r="BH928" i="1" s="1"/>
  <c r="BF929" i="1"/>
  <c r="BD929" i="1" l="1"/>
  <c r="AZ929" i="1"/>
  <c r="CB929" i="1" l="1"/>
  <c r="BP929" i="1" s="1"/>
  <c r="CD929" i="1"/>
  <c r="BT929" i="1" s="1"/>
  <c r="CF929" i="1"/>
  <c r="BX929" i="1" s="1"/>
  <c r="BN929" i="1"/>
  <c r="BR929" i="1"/>
  <c r="BV929" i="1" l="1"/>
  <c r="BH929" i="1" s="1"/>
  <c r="BJ929" i="1"/>
  <c r="BD930" i="1" l="1"/>
  <c r="AZ930" i="1"/>
  <c r="BF930" i="1"/>
  <c r="BB930" i="1"/>
  <c r="CF930" i="1" l="1"/>
  <c r="BX930" i="1" s="1"/>
  <c r="CD930" i="1"/>
  <c r="BT930" i="1" s="1"/>
  <c r="CB930" i="1"/>
  <c r="BP930" i="1" s="1"/>
  <c r="BJ930" i="1" s="1"/>
  <c r="BB931" i="1" s="1"/>
  <c r="BV930" i="1"/>
  <c r="BR930" i="1" l="1"/>
  <c r="BF931" i="1"/>
  <c r="BN930" i="1"/>
  <c r="BH930" i="1" l="1"/>
  <c r="BD931" i="1" l="1"/>
  <c r="AZ931" i="1"/>
  <c r="CD931" i="1" l="1"/>
  <c r="BT931" i="1" s="1"/>
  <c r="CB931" i="1"/>
  <c r="CF931" i="1"/>
  <c r="BX931" i="1" s="1"/>
  <c r="BR931" i="1"/>
  <c r="BN931" i="1" l="1"/>
  <c r="BP931" i="1"/>
  <c r="BJ931" i="1" s="1"/>
  <c r="BV931" i="1"/>
  <c r="BF932" i="1" l="1"/>
  <c r="BB932" i="1"/>
  <c r="BH931" i="1"/>
  <c r="AZ932" i="1" l="1"/>
  <c r="BD932" i="1"/>
  <c r="CD932" i="1" l="1"/>
  <c r="BT932" i="1" s="1"/>
  <c r="CF932" i="1"/>
  <c r="BX932" i="1" s="1"/>
  <c r="CB932" i="1"/>
  <c r="BP932" i="1" s="1"/>
  <c r="BJ932" i="1" s="1"/>
  <c r="BB933" i="1" l="1"/>
  <c r="BF933" i="1"/>
  <c r="BN932" i="1"/>
  <c r="BV932" i="1"/>
  <c r="BR932" i="1"/>
  <c r="BH932" i="1" l="1"/>
  <c r="BD933" i="1" l="1"/>
  <c r="AZ933" i="1"/>
  <c r="CF933" i="1" l="1"/>
  <c r="BX933" i="1" s="1"/>
  <c r="CD933" i="1"/>
  <c r="BT933" i="1" s="1"/>
  <c r="CB933" i="1"/>
  <c r="BP933" i="1" s="1"/>
  <c r="BJ933" i="1" s="1"/>
  <c r="BR933" i="1"/>
  <c r="BV933" i="1"/>
  <c r="BN933" i="1" l="1"/>
  <c r="BF934" i="1"/>
  <c r="BB934" i="1"/>
  <c r="BH933" i="1"/>
  <c r="AZ934" i="1" l="1"/>
  <c r="BD934" i="1"/>
  <c r="CF934" i="1" l="1"/>
  <c r="BX934" i="1" s="1"/>
  <c r="CD934" i="1"/>
  <c r="BT934" i="1" s="1"/>
  <c r="CB934" i="1"/>
  <c r="BP934" i="1" s="1"/>
  <c r="BJ934" i="1" s="1"/>
  <c r="BR934" i="1"/>
  <c r="BV934" i="1"/>
  <c r="BB935" i="1" l="1"/>
  <c r="BF935" i="1"/>
  <c r="BN934" i="1"/>
  <c r="BH934" i="1" s="1"/>
  <c r="AZ935" i="1" l="1"/>
  <c r="BD935" i="1"/>
  <c r="CD935" i="1" l="1"/>
  <c r="BT935" i="1" s="1"/>
  <c r="CF935" i="1"/>
  <c r="BX935" i="1" s="1"/>
  <c r="CB935" i="1"/>
  <c r="BP935" i="1" s="1"/>
  <c r="BJ935" i="1" s="1"/>
  <c r="BR935" i="1"/>
  <c r="BB936" i="1" l="1"/>
  <c r="BF936" i="1"/>
  <c r="BN935" i="1"/>
  <c r="BH935" i="1" s="1"/>
  <c r="BV935" i="1"/>
  <c r="BD936" i="1" l="1"/>
  <c r="AZ936" i="1"/>
  <c r="CF936" i="1" l="1"/>
  <c r="BX936" i="1" s="1"/>
  <c r="CB936" i="1"/>
  <c r="BP936" i="1" s="1"/>
  <c r="CD936" i="1"/>
  <c r="BT936" i="1" s="1"/>
  <c r="BV936" i="1"/>
  <c r="BN936" i="1"/>
  <c r="BJ936" i="1" l="1"/>
  <c r="BR936" i="1"/>
  <c r="BH936" i="1" s="1"/>
  <c r="AZ937" i="1" l="1"/>
  <c r="BD937" i="1"/>
  <c r="BF937" i="1"/>
  <c r="BB937" i="1"/>
  <c r="CF937" i="1" l="1"/>
  <c r="BX937" i="1" s="1"/>
  <c r="CB937" i="1"/>
  <c r="BN937" i="1" s="1"/>
  <c r="CD937" i="1"/>
  <c r="BT937" i="1" s="1"/>
  <c r="BV937" i="1"/>
  <c r="BR937" i="1" l="1"/>
  <c r="BP937" i="1"/>
  <c r="BJ937" i="1" s="1"/>
  <c r="BH937" i="1"/>
  <c r="BD938" i="1" l="1"/>
  <c r="AZ938" i="1"/>
  <c r="BF938" i="1"/>
  <c r="BB938" i="1"/>
  <c r="CD938" i="1" l="1"/>
  <c r="BT938" i="1" s="1"/>
  <c r="CF938" i="1"/>
  <c r="BX938" i="1" s="1"/>
  <c r="CB938" i="1"/>
  <c r="BN938" i="1" s="1"/>
  <c r="BR938" i="1"/>
  <c r="BV938" i="1"/>
  <c r="BP938" i="1"/>
  <c r="BJ938" i="1" s="1"/>
  <c r="BB939" i="1" s="1"/>
  <c r="BH938" i="1" l="1"/>
  <c r="BF939" i="1"/>
  <c r="BD939" i="1" l="1"/>
  <c r="AZ939" i="1"/>
  <c r="CB939" i="1" l="1"/>
  <c r="BP939" i="1" s="1"/>
  <c r="CF939" i="1"/>
  <c r="BX939" i="1" s="1"/>
  <c r="CD939" i="1"/>
  <c r="BT939" i="1" s="1"/>
  <c r="BN939" i="1"/>
  <c r="BH939" i="1" s="1"/>
  <c r="AZ940" i="1" s="1"/>
  <c r="BR939" i="1"/>
  <c r="BV939" i="1"/>
  <c r="BD940" i="1"/>
  <c r="BJ939" i="1" l="1"/>
  <c r="BF940" i="1" l="1"/>
  <c r="BB940" i="1"/>
  <c r="CF940" i="1" l="1"/>
  <c r="CD940" i="1"/>
  <c r="CB940" i="1"/>
  <c r="BT940" i="1" l="1"/>
  <c r="BR940" i="1"/>
  <c r="BX940" i="1"/>
  <c r="BV940" i="1"/>
  <c r="BP940" i="1"/>
  <c r="BN940" i="1"/>
  <c r="BH940" i="1" l="1"/>
  <c r="BJ940" i="1"/>
  <c r="BB941" i="1" l="1"/>
  <c r="BF941" i="1"/>
  <c r="BD941" i="1"/>
  <c r="AZ941" i="1"/>
  <c r="CD941" i="1" l="1"/>
  <c r="BT941" i="1" s="1"/>
  <c r="CF941" i="1"/>
  <c r="BX941" i="1" s="1"/>
  <c r="CB941" i="1"/>
  <c r="BN941" i="1" s="1"/>
  <c r="BP941" i="1" l="1"/>
  <c r="BJ941" i="1" s="1"/>
  <c r="BV941" i="1"/>
  <c r="BR941" i="1"/>
  <c r="BH941" i="1" s="1"/>
  <c r="BD942" i="1" l="1"/>
  <c r="AZ942" i="1"/>
  <c r="BF942" i="1"/>
  <c r="BB942" i="1"/>
  <c r="CB942" i="1" l="1"/>
  <c r="BP942" i="1" s="1"/>
  <c r="CF942" i="1"/>
  <c r="BX942" i="1" s="1"/>
  <c r="CD942" i="1"/>
  <c r="BT942" i="1" s="1"/>
  <c r="BN942" i="1"/>
  <c r="BJ942" i="1" l="1"/>
  <c r="BR942" i="1"/>
  <c r="BH942" i="1" s="1"/>
  <c r="BV942" i="1"/>
  <c r="AZ943" i="1" l="1"/>
  <c r="BD943" i="1"/>
  <c r="BB943" i="1"/>
  <c r="BF943" i="1"/>
  <c r="CF943" i="1" l="1"/>
  <c r="BX943" i="1" s="1"/>
  <c r="CB943" i="1"/>
  <c r="BP943" i="1" s="1"/>
  <c r="BJ943" i="1" s="1"/>
  <c r="BB944" i="1" s="1"/>
  <c r="CD943" i="1"/>
  <c r="BT943" i="1" s="1"/>
  <c r="BN943" i="1" l="1"/>
  <c r="BV943" i="1"/>
  <c r="BR943" i="1"/>
  <c r="BF944" i="1"/>
  <c r="BH943" i="1" l="1"/>
  <c r="BD944" i="1" l="1"/>
  <c r="AZ944" i="1"/>
  <c r="CD944" i="1" l="1"/>
  <c r="CB944" i="1"/>
  <c r="BP944" i="1" s="1"/>
  <c r="CF944" i="1"/>
  <c r="BX944" i="1" s="1"/>
  <c r="BV944" i="1" l="1"/>
  <c r="BN944" i="1"/>
  <c r="BR944" i="1"/>
  <c r="BT944" i="1"/>
  <c r="BJ944" i="1" s="1"/>
  <c r="BB945" i="1" l="1"/>
  <c r="BF945" i="1"/>
  <c r="BH944" i="1"/>
  <c r="AZ945" i="1" l="1"/>
  <c r="BD945" i="1"/>
  <c r="CB945" i="1" l="1"/>
  <c r="BP945" i="1" s="1"/>
  <c r="BN945" i="1"/>
  <c r="CD945" i="1"/>
  <c r="BT945" i="1" s="1"/>
  <c r="CF945" i="1"/>
  <c r="BX945" i="1" s="1"/>
  <c r="BV945" i="1"/>
  <c r="BJ945" i="1" l="1"/>
  <c r="BR945" i="1"/>
  <c r="BH945" i="1" s="1"/>
  <c r="AZ946" i="1" l="1"/>
  <c r="BD946" i="1"/>
  <c r="BF946" i="1"/>
  <c r="BB946" i="1"/>
  <c r="CB946" i="1" l="1"/>
  <c r="BP946" i="1" s="1"/>
  <c r="BJ946" i="1" s="1"/>
  <c r="BB947" i="1" s="1"/>
  <c r="CD946" i="1"/>
  <c r="BT946" i="1" s="1"/>
  <c r="CF946" i="1"/>
  <c r="BX946" i="1" s="1"/>
  <c r="BR946" i="1"/>
  <c r="BN946" i="1"/>
  <c r="BH946" i="1" s="1"/>
  <c r="AZ947" i="1" s="1"/>
  <c r="BV946" i="1"/>
  <c r="BF947" i="1" l="1"/>
  <c r="CF947" i="1"/>
  <c r="BX947" i="1" s="1"/>
  <c r="CB947" i="1"/>
  <c r="BP947" i="1" s="1"/>
  <c r="BJ947" i="1" s="1"/>
  <c r="CD947" i="1"/>
  <c r="BT947" i="1" s="1"/>
  <c r="BR947" i="1"/>
  <c r="BV947" i="1"/>
  <c r="BD947" i="1"/>
  <c r="BN947" i="1" l="1"/>
  <c r="BH947" i="1" s="1"/>
  <c r="AZ948" i="1" s="1"/>
  <c r="BF948" i="1"/>
  <c r="BB948" i="1"/>
  <c r="CF948" i="1" l="1"/>
  <c r="BX948" i="1" s="1"/>
  <c r="CD948" i="1"/>
  <c r="BT948" i="1" s="1"/>
  <c r="CB948" i="1"/>
  <c r="BP948" i="1" s="1"/>
  <c r="BJ948" i="1" s="1"/>
  <c r="BF949" i="1" s="1"/>
  <c r="BR948" i="1"/>
  <c r="BV948" i="1"/>
  <c r="BD948" i="1"/>
  <c r="BB949" i="1" l="1"/>
  <c r="BN948" i="1"/>
  <c r="BH948" i="1" s="1"/>
  <c r="AZ949" i="1" l="1"/>
  <c r="BD949" i="1"/>
  <c r="CF949" i="1" l="1"/>
  <c r="BX949" i="1" s="1"/>
  <c r="CD949" i="1"/>
  <c r="BT949" i="1" s="1"/>
  <c r="CB949" i="1"/>
  <c r="BP949" i="1" s="1"/>
  <c r="BJ949" i="1" s="1"/>
  <c r="BF950" i="1" l="1"/>
  <c r="BB950" i="1"/>
  <c r="BV949" i="1"/>
  <c r="BR949" i="1"/>
  <c r="BN949" i="1"/>
  <c r="BH949" i="1" l="1"/>
  <c r="BD950" i="1" l="1"/>
  <c r="AZ950" i="1"/>
  <c r="CF950" i="1" l="1"/>
  <c r="BX950" i="1" s="1"/>
  <c r="CB950" i="1"/>
  <c r="BP950" i="1" s="1"/>
  <c r="CD950" i="1"/>
  <c r="BT950" i="1" s="1"/>
  <c r="BV950" i="1"/>
  <c r="BR950" i="1"/>
  <c r="BJ950" i="1" l="1"/>
  <c r="BN950" i="1"/>
  <c r="BH950" i="1" s="1"/>
  <c r="AZ951" i="1" l="1"/>
  <c r="BD951" i="1"/>
  <c r="BB951" i="1"/>
  <c r="BF951" i="1"/>
  <c r="CF951" i="1" l="1"/>
  <c r="BX951" i="1" s="1"/>
  <c r="CB951" i="1"/>
  <c r="BP951" i="1" s="1"/>
  <c r="CD951" i="1"/>
  <c r="BT951" i="1" s="1"/>
  <c r="BN951" i="1"/>
  <c r="BR951" i="1"/>
  <c r="BV951" i="1" l="1"/>
  <c r="BH951" i="1"/>
  <c r="BJ951" i="1"/>
  <c r="BF952" i="1" l="1"/>
  <c r="BB952" i="1"/>
  <c r="BD952" i="1"/>
  <c r="AZ952" i="1"/>
  <c r="CF952" i="1" l="1"/>
  <c r="BX952" i="1" s="1"/>
  <c r="CD952" i="1"/>
  <c r="BT952" i="1" s="1"/>
  <c r="CB952" i="1"/>
  <c r="BP952" i="1" s="1"/>
  <c r="BJ952" i="1" s="1"/>
  <c r="BB953" i="1" s="1"/>
  <c r="BV952" i="1"/>
  <c r="BF953" i="1" l="1"/>
  <c r="BR952" i="1"/>
  <c r="BN952" i="1"/>
  <c r="BH952" i="1" s="1"/>
  <c r="BD953" i="1" l="1"/>
  <c r="AZ953" i="1"/>
  <c r="CB953" i="1" l="1"/>
  <c r="CF953" i="1"/>
  <c r="BX953" i="1" s="1"/>
  <c r="CD953" i="1"/>
  <c r="BT953" i="1" s="1"/>
  <c r="BN953" i="1" l="1"/>
  <c r="BP953" i="1"/>
  <c r="BJ953" i="1" s="1"/>
  <c r="BR953" i="1"/>
  <c r="BV953" i="1"/>
  <c r="BB954" i="1" l="1"/>
  <c r="BF954" i="1"/>
  <c r="BH953" i="1"/>
  <c r="AZ954" i="1" l="1"/>
  <c r="BD954" i="1"/>
  <c r="CF954" i="1" l="1"/>
  <c r="BX954" i="1" s="1"/>
  <c r="CD954" i="1"/>
  <c r="BT954" i="1" s="1"/>
  <c r="CB954" i="1"/>
  <c r="BP954" i="1" s="1"/>
  <c r="BJ954" i="1" s="1"/>
  <c r="BV954" i="1"/>
  <c r="BR954" i="1"/>
  <c r="BF955" i="1" l="1"/>
  <c r="BB955" i="1"/>
  <c r="BN954" i="1"/>
  <c r="BH954" i="1" s="1"/>
  <c r="BD955" i="1" l="1"/>
  <c r="AZ955" i="1"/>
  <c r="CF955" i="1" l="1"/>
  <c r="CB955" i="1"/>
  <c r="BP955" i="1" s="1"/>
  <c r="BN955" i="1"/>
  <c r="CD955" i="1"/>
  <c r="BT955" i="1" s="1"/>
  <c r="BR955" i="1" l="1"/>
  <c r="BV955" i="1"/>
  <c r="BX955" i="1"/>
  <c r="BJ955" i="1" s="1"/>
  <c r="BF956" i="1" l="1"/>
  <c r="BB956" i="1"/>
  <c r="BH955" i="1"/>
  <c r="AZ956" i="1" l="1"/>
  <c r="BD956" i="1"/>
  <c r="CD956" i="1" l="1"/>
  <c r="BT956" i="1" s="1"/>
  <c r="CF956" i="1"/>
  <c r="BX956" i="1" s="1"/>
  <c r="BJ956" i="1" s="1"/>
  <c r="BR956" i="1"/>
  <c r="CB956" i="1"/>
  <c r="BP956" i="1" s="1"/>
  <c r="BB957" i="1" l="1"/>
  <c r="BF957" i="1"/>
  <c r="BV956" i="1"/>
  <c r="BH956" i="1" s="1"/>
  <c r="BN956" i="1"/>
  <c r="AZ957" i="1" l="1"/>
  <c r="BD957" i="1"/>
  <c r="CD957" i="1" l="1"/>
  <c r="BT957" i="1" s="1"/>
  <c r="CF957" i="1"/>
  <c r="CB957" i="1"/>
  <c r="BP957" i="1" s="1"/>
  <c r="BV957" i="1" l="1"/>
  <c r="BX957" i="1"/>
  <c r="BJ957" i="1" s="1"/>
  <c r="BR957" i="1"/>
  <c r="BN957" i="1"/>
  <c r="BB958" i="1" l="1"/>
  <c r="BF958" i="1"/>
  <c r="BH957" i="1"/>
  <c r="AZ958" i="1" l="1"/>
  <c r="BD958" i="1"/>
  <c r="CD958" i="1" l="1"/>
  <c r="BT958" i="1" s="1"/>
  <c r="CB958" i="1"/>
  <c r="BP958" i="1" s="1"/>
  <c r="BJ958" i="1" s="1"/>
  <c r="CF958" i="1"/>
  <c r="BX958" i="1" s="1"/>
  <c r="BV958" i="1"/>
  <c r="BR958" i="1"/>
  <c r="BF959" i="1" l="1"/>
  <c r="BB959" i="1"/>
  <c r="BN958" i="1"/>
  <c r="BH958" i="1" s="1"/>
  <c r="BD959" i="1" l="1"/>
  <c r="AZ959" i="1"/>
  <c r="CB959" i="1" l="1"/>
  <c r="BP959" i="1" s="1"/>
  <c r="CF959" i="1"/>
  <c r="BX959" i="1" s="1"/>
  <c r="CD959" i="1"/>
  <c r="BT959" i="1" s="1"/>
  <c r="BR959" i="1"/>
  <c r="BV959" i="1"/>
  <c r="BN959" i="1"/>
  <c r="BH959" i="1" l="1"/>
  <c r="BJ959" i="1"/>
  <c r="BF960" i="1" l="1"/>
  <c r="BB960" i="1"/>
  <c r="AZ960" i="1"/>
  <c r="BD960" i="1"/>
  <c r="CD960" i="1" l="1"/>
  <c r="BT960" i="1" s="1"/>
  <c r="CB960" i="1"/>
  <c r="BP960" i="1" s="1"/>
  <c r="BJ960" i="1" s="1"/>
  <c r="CF960" i="1"/>
  <c r="BX960" i="1" s="1"/>
  <c r="BN960" i="1"/>
  <c r="BH960" i="1" s="1"/>
  <c r="BD961" i="1" s="1"/>
  <c r="BR960" i="1"/>
  <c r="BV960" i="1"/>
  <c r="BB961" i="1"/>
  <c r="BF961" i="1"/>
  <c r="AZ961" i="1" l="1"/>
  <c r="CD961" i="1" l="1"/>
  <c r="BT961" i="1" s="1"/>
  <c r="CF961" i="1"/>
  <c r="BX961" i="1" s="1"/>
  <c r="CB961" i="1"/>
  <c r="BR961" i="1"/>
  <c r="BV961" i="1"/>
  <c r="BN961" i="1" l="1"/>
  <c r="BH961" i="1" s="1"/>
  <c r="BP961" i="1"/>
  <c r="BJ961" i="1" s="1"/>
  <c r="BB962" i="1" l="1"/>
  <c r="BF962" i="1"/>
  <c r="BD962" i="1"/>
  <c r="AZ962" i="1"/>
  <c r="CF962" i="1" l="1"/>
  <c r="BX962" i="1" s="1"/>
  <c r="CB962" i="1"/>
  <c r="BP962" i="1" s="1"/>
  <c r="BJ962" i="1" s="1"/>
  <c r="BB963" i="1" s="1"/>
  <c r="CD962" i="1"/>
  <c r="BT962" i="1" s="1"/>
  <c r="BR962" i="1"/>
  <c r="BV962" i="1" l="1"/>
  <c r="BF963" i="1"/>
  <c r="BN962" i="1"/>
  <c r="BH962" i="1" s="1"/>
  <c r="AZ963" i="1" l="1"/>
  <c r="BD963" i="1"/>
  <c r="CF963" i="1" l="1"/>
  <c r="BX963" i="1" s="1"/>
  <c r="CD963" i="1"/>
  <c r="BT963" i="1" s="1"/>
  <c r="CB963" i="1"/>
  <c r="BP963" i="1" s="1"/>
  <c r="BJ963" i="1" s="1"/>
  <c r="BF964" i="1" l="1"/>
  <c r="BB964" i="1"/>
  <c r="BN963" i="1"/>
  <c r="BV963" i="1"/>
  <c r="BR963" i="1"/>
  <c r="BH963" i="1" l="1"/>
  <c r="BD964" i="1" l="1"/>
  <c r="AZ964" i="1"/>
  <c r="CD964" i="1" l="1"/>
  <c r="BT964" i="1" s="1"/>
  <c r="CF964" i="1"/>
  <c r="CB964" i="1"/>
  <c r="BR964" i="1"/>
  <c r="BV964" i="1" l="1"/>
  <c r="BX964" i="1"/>
  <c r="BN964" i="1"/>
  <c r="BH964" i="1" s="1"/>
  <c r="BP964" i="1"/>
  <c r="BJ964" i="1" s="1"/>
  <c r="AZ965" i="1" l="1"/>
  <c r="BD965" i="1"/>
  <c r="BB965" i="1"/>
  <c r="BF965" i="1"/>
  <c r="CD965" i="1" l="1"/>
  <c r="BT965" i="1" s="1"/>
  <c r="CB965" i="1"/>
  <c r="BN965" i="1" s="1"/>
  <c r="CF965" i="1"/>
  <c r="BV965" i="1" s="1"/>
  <c r="BR965" i="1" l="1"/>
  <c r="BH965" i="1" s="1"/>
  <c r="BP965" i="1"/>
  <c r="BX965" i="1"/>
  <c r="BJ965" i="1" s="1"/>
  <c r="AZ966" i="1" l="1"/>
  <c r="BD966" i="1"/>
  <c r="BF966" i="1"/>
  <c r="BB966" i="1"/>
  <c r="CD966" i="1" l="1"/>
  <c r="BT966" i="1" s="1"/>
  <c r="CF966" i="1"/>
  <c r="BV966" i="1" s="1"/>
  <c r="CB966" i="1"/>
  <c r="BN966" i="1" s="1"/>
  <c r="BP966" i="1"/>
  <c r="BX966" i="1"/>
  <c r="BJ966" i="1" l="1"/>
  <c r="BR966" i="1"/>
  <c r="BH966" i="1" s="1"/>
  <c r="BD967" i="1" l="1"/>
  <c r="AZ967" i="1"/>
  <c r="BB967" i="1"/>
  <c r="BF967" i="1"/>
  <c r="CD967" i="1" l="1"/>
  <c r="BT967" i="1" s="1"/>
  <c r="CF967" i="1"/>
  <c r="BV967" i="1" s="1"/>
  <c r="CB967" i="1"/>
  <c r="BP967" i="1" s="1"/>
  <c r="BR967" i="1"/>
  <c r="BN967" i="1" l="1"/>
  <c r="BH967" i="1" s="1"/>
  <c r="BX967" i="1"/>
  <c r="BJ967" i="1" s="1"/>
  <c r="BF968" i="1" l="1"/>
  <c r="BB968" i="1"/>
  <c r="AZ968" i="1"/>
  <c r="BD968" i="1"/>
  <c r="CD968" i="1" l="1"/>
  <c r="BR968" i="1" s="1"/>
  <c r="CB968" i="1"/>
  <c r="BN968" i="1" s="1"/>
  <c r="CF968" i="1"/>
  <c r="BV968" i="1" s="1"/>
  <c r="BP968" i="1"/>
  <c r="BT968" i="1"/>
  <c r="BX968" i="1" l="1"/>
  <c r="BJ968" i="1" s="1"/>
  <c r="BH968" i="1"/>
  <c r="BF969" i="1" l="1"/>
  <c r="BB969" i="1"/>
  <c r="BD969" i="1"/>
  <c r="AZ969" i="1"/>
  <c r="CB969" i="1" l="1"/>
  <c r="BP969" i="1" s="1"/>
  <c r="CD969" i="1"/>
  <c r="BT969" i="1" s="1"/>
  <c r="CF969" i="1"/>
  <c r="BV969" i="1" s="1"/>
  <c r="BN969" i="1"/>
  <c r="BX969" i="1"/>
  <c r="BJ969" i="1" s="1"/>
  <c r="BB970" i="1" s="1"/>
  <c r="BR969" i="1" l="1"/>
  <c r="BH969" i="1" s="1"/>
  <c r="BF970" i="1"/>
  <c r="AZ970" i="1" l="1"/>
  <c r="BD970" i="1"/>
  <c r="CF970" i="1" l="1"/>
  <c r="CD970" i="1"/>
  <c r="BT970" i="1" s="1"/>
  <c r="CB970" i="1"/>
  <c r="BP970" i="1" s="1"/>
  <c r="BR970" i="1"/>
  <c r="BV970" i="1" l="1"/>
  <c r="BX970" i="1"/>
  <c r="BJ970" i="1" s="1"/>
  <c r="BN970" i="1"/>
  <c r="BH970" i="1" s="1"/>
  <c r="BD971" i="1" l="1"/>
  <c r="AZ971" i="1"/>
  <c r="BF971" i="1"/>
  <c r="BB971" i="1"/>
  <c r="CD971" i="1" l="1"/>
  <c r="BT971" i="1" s="1"/>
  <c r="CF971" i="1"/>
  <c r="BX971" i="1" s="1"/>
  <c r="CB971" i="1"/>
  <c r="BN971" i="1" s="1"/>
  <c r="BV971" i="1"/>
  <c r="BR971" i="1" l="1"/>
  <c r="BH971" i="1" s="1"/>
  <c r="BP971" i="1"/>
  <c r="BJ971" i="1" s="1"/>
  <c r="AZ972" i="1" l="1"/>
  <c r="BD972" i="1"/>
  <c r="BB972" i="1"/>
  <c r="BF972" i="1"/>
  <c r="CF972" i="1" l="1"/>
  <c r="BX972" i="1" s="1"/>
  <c r="CD972" i="1"/>
  <c r="BT972" i="1" s="1"/>
  <c r="CB972" i="1"/>
  <c r="BP972" i="1" s="1"/>
  <c r="BJ972" i="1" s="1"/>
  <c r="BF973" i="1" s="1"/>
  <c r="BR972" i="1"/>
  <c r="BN972" i="1" l="1"/>
  <c r="BV972" i="1"/>
  <c r="BB973" i="1"/>
  <c r="BH972" i="1" l="1"/>
  <c r="BD973" i="1" l="1"/>
  <c r="AZ973" i="1"/>
  <c r="CF973" i="1" l="1"/>
  <c r="BX973" i="1" s="1"/>
  <c r="CD973" i="1"/>
  <c r="CB973" i="1"/>
  <c r="BP973" i="1" s="1"/>
  <c r="BV973" i="1"/>
  <c r="BN973" i="1" l="1"/>
  <c r="BR973" i="1"/>
  <c r="BH973" i="1" s="1"/>
  <c r="BT973" i="1"/>
  <c r="BJ973" i="1" s="1"/>
  <c r="AZ974" i="1" l="1"/>
  <c r="BD974" i="1"/>
  <c r="BF974" i="1"/>
  <c r="BB974" i="1"/>
  <c r="CF974" i="1" l="1"/>
  <c r="BV974" i="1" s="1"/>
  <c r="CD974" i="1"/>
  <c r="BR974" i="1" s="1"/>
  <c r="CB974" i="1"/>
  <c r="BP974" i="1" s="1"/>
  <c r="BT974" i="1" l="1"/>
  <c r="BJ974" i="1" s="1"/>
  <c r="BN974" i="1"/>
  <c r="BH974" i="1" s="1"/>
  <c r="BX974" i="1"/>
  <c r="BF975" i="1" l="1"/>
  <c r="BB975" i="1"/>
  <c r="AZ975" i="1"/>
  <c r="BD975" i="1"/>
  <c r="CF975" i="1" l="1"/>
  <c r="BV975" i="1" s="1"/>
  <c r="CB975" i="1"/>
  <c r="BP975" i="1" s="1"/>
  <c r="CD975" i="1"/>
  <c r="BR975" i="1" s="1"/>
  <c r="BN975" i="1"/>
  <c r="BH975" i="1" s="1"/>
  <c r="AZ976" i="1" s="1"/>
  <c r="BT975" i="1"/>
  <c r="BX975" i="1"/>
  <c r="BD976" i="1" l="1"/>
  <c r="BJ975" i="1"/>
  <c r="BF976" i="1" l="1"/>
  <c r="BB976" i="1"/>
  <c r="CF976" i="1" l="1"/>
  <c r="CD976" i="1"/>
  <c r="CB976" i="1"/>
  <c r="BN976" i="1" s="1"/>
  <c r="BX976" i="1" l="1"/>
  <c r="BV976" i="1"/>
  <c r="BP976" i="1"/>
  <c r="BJ976" i="1" s="1"/>
  <c r="BT976" i="1"/>
  <c r="BR976" i="1"/>
  <c r="BH976" i="1" s="1"/>
  <c r="BD977" i="1" l="1"/>
  <c r="AZ977" i="1"/>
  <c r="BF977" i="1"/>
  <c r="BB977" i="1"/>
  <c r="CF977" i="1" l="1"/>
  <c r="BV977" i="1" s="1"/>
  <c r="CD977" i="1"/>
  <c r="BR977" i="1" s="1"/>
  <c r="CB977" i="1"/>
  <c r="BP977" i="1" s="1"/>
  <c r="BN977" i="1" l="1"/>
  <c r="BH977" i="1" s="1"/>
  <c r="BX977" i="1"/>
  <c r="BT977" i="1"/>
  <c r="BJ977" i="1" s="1"/>
  <c r="BF978" i="1" l="1"/>
  <c r="BB978" i="1"/>
  <c r="AZ978" i="1"/>
  <c r="BD978" i="1"/>
  <c r="CF978" i="1" l="1"/>
  <c r="BX978" i="1" s="1"/>
  <c r="CB978" i="1"/>
  <c r="BP978" i="1" s="1"/>
  <c r="BJ978" i="1" s="1"/>
  <c r="BB979" i="1" s="1"/>
  <c r="CD978" i="1"/>
  <c r="BT978" i="1" s="1"/>
  <c r="BR978" i="1" l="1"/>
  <c r="BF979" i="1"/>
  <c r="BN978" i="1"/>
  <c r="BV978" i="1"/>
  <c r="BH978" i="1" l="1"/>
  <c r="BD979" i="1" l="1"/>
  <c r="AZ979" i="1"/>
  <c r="CD979" i="1" l="1"/>
  <c r="CF979" i="1"/>
  <c r="CB979" i="1"/>
  <c r="BP979" i="1" s="1"/>
  <c r="BN979" i="1" l="1"/>
  <c r="BV979" i="1"/>
  <c r="BX979" i="1"/>
  <c r="BR979" i="1"/>
  <c r="BT979" i="1"/>
  <c r="BJ979" i="1" s="1"/>
  <c r="BF980" i="1" l="1"/>
  <c r="BB980" i="1"/>
  <c r="BH979" i="1"/>
  <c r="AZ980" i="1" l="1"/>
  <c r="BD980" i="1"/>
  <c r="CB980" i="1" l="1"/>
  <c r="CF980" i="1"/>
  <c r="CD980" i="1"/>
  <c r="BR980" i="1" l="1"/>
  <c r="BT980" i="1"/>
  <c r="BV980" i="1"/>
  <c r="BX980" i="1"/>
  <c r="BN980" i="1"/>
  <c r="BP980" i="1"/>
  <c r="BJ980" i="1" s="1"/>
  <c r="BB981" i="1" l="1"/>
  <c r="BF981" i="1"/>
  <c r="BH980" i="1"/>
  <c r="BD981" i="1" l="1"/>
  <c r="AZ981" i="1"/>
  <c r="CB981" i="1" l="1"/>
  <c r="BP981" i="1" s="1"/>
  <c r="CF981" i="1"/>
  <c r="CD981" i="1"/>
  <c r="BT981" i="1" s="1"/>
  <c r="BN981" i="1"/>
  <c r="BV981" i="1" l="1"/>
  <c r="BX981" i="1"/>
  <c r="BJ981" i="1" s="1"/>
  <c r="BR981" i="1"/>
  <c r="BH981" i="1" s="1"/>
  <c r="AZ982" i="1" l="1"/>
  <c r="BD982" i="1"/>
  <c r="BB982" i="1"/>
  <c r="BF982" i="1"/>
  <c r="CD982" i="1" l="1"/>
  <c r="BT982" i="1" s="1"/>
  <c r="CB982" i="1"/>
  <c r="BN982" i="1" s="1"/>
  <c r="CF982" i="1"/>
  <c r="BV982" i="1" s="1"/>
  <c r="BP982" i="1" l="1"/>
  <c r="BX982" i="1"/>
  <c r="BJ982" i="1" s="1"/>
  <c r="BR982" i="1"/>
  <c r="BH982" i="1" s="1"/>
  <c r="BD983" i="1" l="1"/>
  <c r="AZ983" i="1"/>
  <c r="BF983" i="1"/>
  <c r="BB983" i="1"/>
  <c r="CD983" i="1" l="1"/>
  <c r="BT983" i="1" s="1"/>
  <c r="CF983" i="1"/>
  <c r="BX983" i="1" s="1"/>
  <c r="CB983" i="1"/>
  <c r="BP983" i="1" s="1"/>
  <c r="BJ983" i="1" s="1"/>
  <c r="BF984" i="1" s="1"/>
  <c r="BR983" i="1"/>
  <c r="BN983" i="1" l="1"/>
  <c r="BH983" i="1" s="1"/>
  <c r="BV983" i="1"/>
  <c r="BB984" i="1"/>
  <c r="BD984" i="1" l="1"/>
  <c r="AZ984" i="1"/>
  <c r="CD984" i="1" l="1"/>
  <c r="BT984" i="1" s="1"/>
  <c r="CF984" i="1"/>
  <c r="BX984" i="1" s="1"/>
  <c r="CB984" i="1"/>
  <c r="BP984" i="1" s="1"/>
  <c r="BJ984" i="1" s="1"/>
  <c r="BR984" i="1"/>
  <c r="BV984" i="1" l="1"/>
  <c r="BF985" i="1"/>
  <c r="BB985" i="1"/>
  <c r="BN984" i="1"/>
  <c r="BH984" i="1" s="1"/>
  <c r="AZ985" i="1" l="1"/>
  <c r="BD985" i="1"/>
  <c r="CF985" i="1"/>
  <c r="BV985" i="1" s="1"/>
  <c r="BX985" i="1" l="1"/>
  <c r="CB985" i="1"/>
  <c r="CD985" i="1"/>
  <c r="BR985" i="1" l="1"/>
  <c r="BT985" i="1"/>
  <c r="BJ985" i="1" s="1"/>
  <c r="BN985" i="1"/>
  <c r="BH985" i="1" s="1"/>
  <c r="BP985" i="1"/>
  <c r="BB986" i="1" l="1"/>
  <c r="BF986" i="1"/>
  <c r="BD986" i="1"/>
  <c r="AZ986" i="1"/>
  <c r="CD986" i="1" l="1"/>
  <c r="BT986" i="1" s="1"/>
  <c r="CB986" i="1"/>
  <c r="BP986" i="1" s="1"/>
  <c r="CF986" i="1"/>
  <c r="BX986" i="1" s="1"/>
  <c r="BR986" i="1"/>
  <c r="BN986" i="1"/>
  <c r="BJ986" i="1" l="1"/>
  <c r="BV986" i="1"/>
  <c r="BH986" i="1" s="1"/>
  <c r="AZ987" i="1" l="1"/>
  <c r="BD987" i="1"/>
  <c r="BB987" i="1"/>
  <c r="BF987" i="1"/>
  <c r="CB987" i="1" l="1"/>
  <c r="BN987" i="1" s="1"/>
  <c r="CF987" i="1"/>
  <c r="BV987" i="1" s="1"/>
  <c r="CD987" i="1"/>
  <c r="BR987" i="1" s="1"/>
  <c r="BH987" i="1" s="1"/>
  <c r="BD988" i="1" l="1"/>
  <c r="AZ988" i="1"/>
  <c r="BT987" i="1"/>
  <c r="BX987" i="1"/>
  <c r="BP987" i="1"/>
  <c r="BJ987" i="1" l="1"/>
  <c r="BF988" i="1" l="1"/>
  <c r="BB988" i="1"/>
  <c r="CB988" i="1" l="1"/>
  <c r="BN988" i="1" s="1"/>
  <c r="CF988" i="1"/>
  <c r="BV988" i="1" s="1"/>
  <c r="CD988" i="1"/>
  <c r="BP988" i="1" l="1"/>
  <c r="BT988" i="1"/>
  <c r="BR988" i="1"/>
  <c r="BH988" i="1" s="1"/>
  <c r="BX988" i="1"/>
  <c r="AZ989" i="1" l="1"/>
  <c r="BD989" i="1"/>
  <c r="BJ988" i="1"/>
  <c r="BB989" i="1" l="1"/>
  <c r="BF989" i="1"/>
  <c r="CD989" i="1"/>
  <c r="BT989" i="1" s="1"/>
  <c r="CF989" i="1"/>
  <c r="BX989" i="1" s="1"/>
  <c r="BR989" i="1"/>
  <c r="BV989" i="1" l="1"/>
  <c r="CB989" i="1"/>
  <c r="BP989" i="1" l="1"/>
  <c r="BJ989" i="1" s="1"/>
  <c r="BN989" i="1"/>
  <c r="BH989" i="1" s="1"/>
  <c r="AZ990" i="1" l="1"/>
  <c r="BD990" i="1"/>
  <c r="BF990" i="1"/>
  <c r="BB990" i="1"/>
  <c r="CD990" i="1" l="1"/>
  <c r="BT990" i="1" s="1"/>
  <c r="CF990" i="1"/>
  <c r="BX990" i="1" s="1"/>
  <c r="CB990" i="1"/>
  <c r="BP990" i="1" s="1"/>
  <c r="BJ990" i="1" s="1"/>
  <c r="BB991" i="1" s="1"/>
  <c r="BV990" i="1"/>
  <c r="BN990" i="1"/>
  <c r="BH990" i="1" s="1"/>
  <c r="AZ991" i="1" s="1"/>
  <c r="BR990" i="1"/>
  <c r="CF991" i="1" l="1"/>
  <c r="BX991" i="1" s="1"/>
  <c r="CB991" i="1"/>
  <c r="BP991" i="1" s="1"/>
  <c r="BJ991" i="1" s="1"/>
  <c r="CD991" i="1"/>
  <c r="BT991" i="1" s="1"/>
  <c r="BD991" i="1"/>
  <c r="BF991" i="1"/>
  <c r="BN991" i="1" l="1"/>
  <c r="BH991" i="1" s="1"/>
  <c r="AZ992" i="1" s="1"/>
  <c r="BV991" i="1"/>
  <c r="BF992" i="1"/>
  <c r="BR991" i="1"/>
  <c r="BB992" i="1"/>
  <c r="CF992" i="1" l="1"/>
  <c r="BX992" i="1" s="1"/>
  <c r="CB992" i="1"/>
  <c r="BP992" i="1" s="1"/>
  <c r="CD992" i="1"/>
  <c r="BT992" i="1" s="1"/>
  <c r="BV992" i="1"/>
  <c r="BR992" i="1"/>
  <c r="BD992" i="1"/>
  <c r="BJ992" i="1" l="1"/>
  <c r="BD993" i="1"/>
  <c r="BN992" i="1"/>
  <c r="BH992" i="1" s="1"/>
  <c r="AZ993" i="1" s="1"/>
  <c r="BB993" i="1" l="1"/>
  <c r="BF993" i="1"/>
  <c r="CB993" i="1" l="1"/>
  <c r="BN993" i="1" s="1"/>
  <c r="CD993" i="1"/>
  <c r="CF993" i="1"/>
  <c r="BT993" i="1" l="1"/>
  <c r="BR993" i="1"/>
  <c r="BH993" i="1" s="1"/>
  <c r="BX993" i="1"/>
  <c r="BV993" i="1"/>
  <c r="BP993" i="1"/>
  <c r="BJ993" i="1" s="1"/>
  <c r="AZ994" i="1" l="1"/>
  <c r="BD994" i="1"/>
  <c r="BB994" i="1"/>
  <c r="BF994" i="1"/>
  <c r="CF994" i="1" l="1"/>
  <c r="BX994" i="1" s="1"/>
  <c r="CD994" i="1"/>
  <c r="BT994" i="1" s="1"/>
  <c r="CB994" i="1"/>
  <c r="BP994" i="1" s="1"/>
  <c r="BJ994" i="1" s="1"/>
  <c r="BF995" i="1" s="1"/>
  <c r="BV994" i="1"/>
  <c r="BN994" i="1"/>
  <c r="BH994" i="1" s="1"/>
  <c r="AZ995" i="1" s="1"/>
  <c r="BR994" i="1"/>
  <c r="BD995" i="1" l="1"/>
  <c r="BB995" i="1"/>
  <c r="CF995" i="1" s="1"/>
  <c r="BX995" i="1" l="1"/>
  <c r="BV995" i="1"/>
  <c r="CD995" i="1"/>
  <c r="CB995" i="1"/>
  <c r="BP995" i="1" l="1"/>
  <c r="BN995" i="1"/>
  <c r="BT995" i="1"/>
  <c r="BR995" i="1"/>
  <c r="BH995" i="1" l="1"/>
  <c r="BJ995" i="1"/>
  <c r="BF996" i="1" l="1"/>
  <c r="BB996" i="1"/>
  <c r="AZ996" i="1"/>
  <c r="BD996" i="1"/>
  <c r="CF996" i="1" l="1"/>
  <c r="BX996" i="1" s="1"/>
  <c r="CD996" i="1"/>
  <c r="BR996" i="1" s="1"/>
  <c r="CB996" i="1"/>
  <c r="BP996" i="1" s="1"/>
  <c r="BT996" i="1" l="1"/>
  <c r="BJ996" i="1" s="1"/>
  <c r="BN996" i="1"/>
  <c r="BV996" i="1"/>
  <c r="BH996" i="1" s="1"/>
  <c r="BD997" i="1" l="1"/>
  <c r="AZ997" i="1"/>
  <c r="BB997" i="1"/>
  <c r="BF997" i="1"/>
  <c r="CB997" i="1" l="1"/>
  <c r="BP997" i="1" s="1"/>
  <c r="BJ997" i="1" s="1"/>
  <c r="BF998" i="1" s="1"/>
  <c r="CF997" i="1"/>
  <c r="BX997" i="1" s="1"/>
  <c r="CD997" i="1"/>
  <c r="BT997" i="1" s="1"/>
  <c r="BN997" i="1"/>
  <c r="BV997" i="1" l="1"/>
  <c r="BR997" i="1"/>
  <c r="BH997" i="1" s="1"/>
  <c r="BB998" i="1"/>
  <c r="BD998" i="1" l="1"/>
  <c r="AZ998" i="1"/>
  <c r="CF998" i="1" l="1"/>
  <c r="BX998" i="1" s="1"/>
  <c r="CB998" i="1"/>
  <c r="BP998" i="1" s="1"/>
  <c r="CD998" i="1"/>
  <c r="BT998" i="1" s="1"/>
  <c r="BV998" i="1"/>
  <c r="BN998" i="1"/>
  <c r="BJ998" i="1" l="1"/>
  <c r="BR998" i="1"/>
  <c r="BH998" i="1" s="1"/>
  <c r="BD999" i="1" l="1"/>
  <c r="AZ999" i="1"/>
  <c r="BB999" i="1"/>
  <c r="BF999" i="1"/>
  <c r="CD999" i="1" l="1"/>
  <c r="BT999" i="1" s="1"/>
  <c r="BN999" i="1"/>
  <c r="CB999" i="1"/>
  <c r="BP999" i="1" s="1"/>
  <c r="CF999" i="1"/>
  <c r="BX999" i="1" s="1"/>
  <c r="BR999" i="1" l="1"/>
  <c r="BJ999" i="1"/>
  <c r="BV999" i="1"/>
  <c r="BF1000" i="1" l="1"/>
  <c r="BB1000" i="1"/>
  <c r="BH999" i="1"/>
  <c r="AZ1000" i="1" l="1"/>
  <c r="BD1000" i="1"/>
  <c r="CD1000" i="1" l="1"/>
  <c r="BT1000" i="1" s="1"/>
  <c r="CF1000" i="1"/>
  <c r="BX1000" i="1" s="1"/>
  <c r="CB1000" i="1"/>
  <c r="BN1000" i="1" l="1"/>
  <c r="BP1000" i="1"/>
  <c r="BJ1000" i="1" s="1"/>
  <c r="BV1000" i="1"/>
  <c r="BR1000" i="1"/>
  <c r="BB1001" i="1" l="1"/>
  <c r="BF1001" i="1"/>
  <c r="BH1000" i="1"/>
  <c r="BD1001" i="1" l="1"/>
  <c r="AZ1001" i="1"/>
  <c r="CF1001" i="1" l="1"/>
  <c r="BX1001" i="1" s="1"/>
  <c r="CD1001" i="1"/>
  <c r="BT1001" i="1" s="1"/>
  <c r="CB1001" i="1"/>
  <c r="BP1001" i="1" s="1"/>
  <c r="BJ1001" i="1" s="1"/>
  <c r="BV1001" i="1"/>
  <c r="BB1002" i="1" l="1"/>
  <c r="BF1002" i="1"/>
  <c r="BR1001" i="1"/>
  <c r="BN1001" i="1"/>
  <c r="BH1001" i="1" l="1"/>
  <c r="BD1002" i="1" l="1"/>
  <c r="AZ1002" i="1"/>
  <c r="CF1002" i="1" l="1"/>
  <c r="BX1002" i="1" s="1"/>
  <c r="CD1002" i="1"/>
  <c r="BT1002" i="1" s="1"/>
  <c r="CB1002" i="1"/>
  <c r="BP1002" i="1" s="1"/>
  <c r="BJ1002" i="1" s="1"/>
  <c r="BR1002" i="1"/>
  <c r="BV1002" i="1"/>
  <c r="BN1002" i="1" l="1"/>
  <c r="BH1002" i="1" s="1"/>
  <c r="BB1003" i="1"/>
  <c r="BF1003" i="1"/>
  <c r="AZ1003" i="1" l="1"/>
  <c r="BD1003" i="1"/>
  <c r="CD1003" i="1" l="1"/>
  <c r="BT1003" i="1" s="1"/>
  <c r="CF1003" i="1"/>
  <c r="BX1003" i="1" s="1"/>
  <c r="CB1003" i="1"/>
  <c r="BP1003" i="1" s="1"/>
  <c r="BJ1003" i="1" s="1"/>
  <c r="BF1004" i="1" l="1"/>
  <c r="BB1004" i="1"/>
  <c r="BN1003" i="1"/>
  <c r="BV1003" i="1"/>
  <c r="BR1003" i="1"/>
  <c r="BH1003" i="1" l="1"/>
  <c r="BD1004" i="1" l="1"/>
  <c r="AZ1004" i="1"/>
  <c r="CF1004" i="1" l="1"/>
  <c r="BX1004" i="1" s="1"/>
  <c r="CD1004" i="1"/>
  <c r="BT1004" i="1" s="1"/>
  <c r="CB1004" i="1"/>
  <c r="BP1004" i="1" s="1"/>
  <c r="BJ1004" i="1" s="1"/>
  <c r="BV1004" i="1"/>
  <c r="BR1004" i="1" l="1"/>
  <c r="BB1005" i="1"/>
  <c r="BF1005" i="1"/>
  <c r="BN1004" i="1"/>
  <c r="BH1004" i="1" s="1"/>
  <c r="BD1005" i="1" l="1"/>
  <c r="AZ1005" i="1"/>
  <c r="CD1005" i="1" l="1"/>
  <c r="CF1005" i="1"/>
  <c r="BX1005" i="1" s="1"/>
  <c r="CB1005" i="1"/>
  <c r="BV1005" i="1" l="1"/>
  <c r="BN1005" i="1"/>
  <c r="BP1005" i="1"/>
  <c r="BR1005" i="1"/>
  <c r="BT1005" i="1"/>
  <c r="BJ1005" i="1" l="1"/>
  <c r="BH1005" i="1"/>
  <c r="AZ1006" i="1" l="1"/>
  <c r="BD1006" i="1"/>
  <c r="BB1006" i="1"/>
  <c r="BF1006" i="1"/>
  <c r="CD1006" i="1" l="1"/>
  <c r="BT1006" i="1" s="1"/>
  <c r="CB1006" i="1"/>
  <c r="BP1006" i="1" s="1"/>
  <c r="BJ1006" i="1" s="1"/>
  <c r="BF1007" i="1" s="1"/>
  <c r="CF1006" i="1"/>
  <c r="BX1006" i="1" s="1"/>
  <c r="BN1006" i="1"/>
  <c r="BV1006" i="1"/>
  <c r="BR1006" i="1"/>
  <c r="BH1006" i="1" l="1"/>
  <c r="BB1007" i="1"/>
  <c r="AZ1007" i="1" l="1"/>
  <c r="BD1007" i="1"/>
  <c r="CB1007" i="1" l="1"/>
  <c r="CD1007" i="1"/>
  <c r="BT1007" i="1" s="1"/>
  <c r="CF1007" i="1"/>
  <c r="BX1007" i="1" s="1"/>
  <c r="BV1007" i="1"/>
  <c r="BR1007" i="1" l="1"/>
  <c r="BN1007" i="1"/>
  <c r="BH1007" i="1" s="1"/>
  <c r="BP1007" i="1"/>
  <c r="BJ100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<sst xmlns="http://schemas.openxmlformats.org/spreadsheetml/2006/main" count="147" uniqueCount="73">
  <si>
    <t>Paramètre Géneraux</t>
  </si>
  <si>
    <t>coefficient de friction</t>
  </si>
  <si>
    <t>Ratio de la constante d'Aarseth</t>
  </si>
  <si>
    <t>t</t>
  </si>
  <si>
    <t>f</t>
  </si>
  <si>
    <t>seconde</t>
  </si>
  <si>
    <t>mètre/seconde</t>
  </si>
  <si>
    <t xml:space="preserve"> -</t>
  </si>
  <si>
    <t>Base de temps</t>
  </si>
  <si>
    <t xml:space="preserve">Corps en mouvement </t>
  </si>
  <si>
    <t>Masse</t>
  </si>
  <si>
    <t>Position initiale</t>
  </si>
  <si>
    <t>Vitesse initiale</t>
  </si>
  <si>
    <t>Accélération initiale</t>
  </si>
  <si>
    <t>Dimension</t>
  </si>
  <si>
    <t>m</t>
  </si>
  <si>
    <t>p</t>
  </si>
  <si>
    <t>v</t>
  </si>
  <si>
    <t>a</t>
  </si>
  <si>
    <t>s</t>
  </si>
  <si>
    <t>gramme</t>
  </si>
  <si>
    <t>mètre</t>
  </si>
  <si>
    <t>TROIS CORPS STATIQUES</t>
  </si>
  <si>
    <t>CORPS 1</t>
  </si>
  <si>
    <t>Position</t>
  </si>
  <si>
    <t>Rayon</t>
  </si>
  <si>
    <t>volume</t>
  </si>
  <si>
    <t>Masse volumique moyenne</t>
  </si>
  <si>
    <t>Masse totale</t>
  </si>
  <si>
    <t>Constante d'Aaseth</t>
  </si>
  <si>
    <t>Attraction/Répulsion</t>
  </si>
  <si>
    <t>q</t>
  </si>
  <si>
    <t>r</t>
  </si>
  <si>
    <t>V</t>
  </si>
  <si>
    <t>M</t>
  </si>
  <si>
    <t>λ</t>
  </si>
  <si>
    <t xml:space="preserve">ω </t>
  </si>
  <si>
    <t>ρ</t>
  </si>
  <si>
    <t>Attraction</t>
  </si>
  <si>
    <t>gramme/mètre</t>
  </si>
  <si>
    <t xml:space="preserve">  -</t>
  </si>
  <si>
    <t>CORPS 3</t>
  </si>
  <si>
    <t>CORPS 2</t>
  </si>
  <si>
    <t>corps  1</t>
  </si>
  <si>
    <t xml:space="preserve">corps 2 </t>
  </si>
  <si>
    <t>corps 3</t>
  </si>
  <si>
    <t xml:space="preserve">angle </t>
  </si>
  <si>
    <t>x</t>
  </si>
  <si>
    <t>y</t>
  </si>
  <si>
    <t>angle</t>
  </si>
  <si>
    <t>px</t>
  </si>
  <si>
    <t>py</t>
  </si>
  <si>
    <t>vx</t>
  </si>
  <si>
    <t>vy</t>
  </si>
  <si>
    <t>vitesse</t>
  </si>
  <si>
    <t>acceleration</t>
  </si>
  <si>
    <t>ax1</t>
  </si>
  <si>
    <t>ax2</t>
  </si>
  <si>
    <t>ay1</t>
  </si>
  <si>
    <t>ay2</t>
  </si>
  <si>
    <t>ax3</t>
  </si>
  <si>
    <t>ay3</t>
  </si>
  <si>
    <t>ax</t>
  </si>
  <si>
    <t>ay</t>
  </si>
  <si>
    <t>pythagore</t>
  </si>
  <si>
    <t>d1</t>
  </si>
  <si>
    <t>d2</t>
  </si>
  <si>
    <t>d3</t>
  </si>
  <si>
    <t xml:space="preserve"> </t>
  </si>
  <si>
    <t xml:space="preserve">vaisseau dimension </t>
  </si>
  <si>
    <t>rayon</t>
  </si>
  <si>
    <t>APPUYER SUR ECHAP POUR ARRÊTER LA SIMULATION</t>
  </si>
  <si>
    <t>REPRÉSENTATION  DES CONDITIONS INITIALES INITIALES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</si>
</sst>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E+00"/>
    <numFmt numFmtId="165" formatCode="0.0000E+00"/>
  </numFmts>
  <fonts count="12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24"/>
      <color rgb="FF0000FF"/>
      <name val="Calibri Light"/>
      <family val="2"/>
    </font>
    <font>
      <b/>
      <sz val="11"/>
      <color rgb="FF0000FF"/>
      <name val="Calibri Light"/>
      <family val="2"/>
    </font>
    <font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/>
      <right style="thin">
        <color rgb="FFFF0000"/>
      </right>
      <top/>
      <bottom/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rgb="FFFF0000"/>
      </left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00206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rgb="FF00206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8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/>
    <xf numFmtId="0" fontId="0" fillId="0" borderId="13" xfId="0" applyBorder="1"/>
    <xf numFmtId="0" fontId="3" fillId="0" borderId="0" xfId="0" applyFont="1"/>
    <xf numFmtId="0" fontId="3" fillId="0" borderId="16" xfId="0" applyFont="1" applyBorder="1"/>
    <xf numFmtId="0" fontId="3" fillId="3" borderId="16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/>
    </xf>
    <xf numFmtId="0" fontId="3" fillId="5" borderId="21" xfId="0" applyFont="1" applyFill="1" applyBorder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0" fillId="0" borderId="16" xfId="0" applyBorder="1"/>
    <xf numFmtId="0" fontId="3" fillId="5" borderId="1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3" fillId="4" borderId="18" xfId="0" applyFont="1" applyFill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25" xfId="0" applyFont="1" applyFill="1" applyBorder="1" applyAlignment="1">
      <alignment horizontal="center"/>
    </xf>
    <xf numFmtId="2" fontId="0" fillId="0" borderId="0" xfId="0" applyNumberFormat="1"/>
    <xf numFmtId="0" fontId="3" fillId="5" borderId="20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8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19" xfId="0" applyFont="1" applyFill="1" applyBorder="1" applyAlignment="1">
      <alignment horizontal="center"/>
    </xf>
    <xf numFmtId="0" fontId="3" fillId="5" borderId="21" xfId="0" applyFont="1" applyFill="1" applyBorder="1" applyAlignment="1">
      <alignment horizontal="center"/>
    </xf>
    <xf numFmtId="0" fontId="3" fillId="5" borderId="16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16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21" xfId="0" applyFont="1" applyFill="1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164" fontId="3" fillId="3" borderId="21" xfId="0" applyNumberFormat="1" applyFont="1" applyFill="1" applyBorder="1" applyAlignment="1">
      <alignment horizontal="center"/>
    </xf>
    <xf numFmtId="164" fontId="3" fillId="3" borderId="17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3" fillId="3" borderId="21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5" fillId="3" borderId="18" xfId="0" applyFont="1" applyFill="1" applyBorder="1" applyAlignment="1">
      <alignment horizontal="center"/>
    </xf>
    <xf numFmtId="0" fontId="3" fillId="3" borderId="19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20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3" fillId="3" borderId="15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9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/>
    </xf>
    <xf numFmtId="10" fontId="7" fillId="3" borderId="0" xfId="1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left" vertical="top"/>
    </xf>
    <xf numFmtId="0" fontId="11" fillId="6" borderId="0" xfId="0" applyFont="1" applyFill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585858"/>
      <color rgb="FFFF66CC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2182446495827905E-2"/>
          <c:y val="2.2496278129168289E-2"/>
          <c:w val="0.95708617726597423"/>
          <c:h val="0.96377028861422431"/>
        </c:manualLayout>
      </c:layout>
      <c:scatterChart>
        <c:scatterStyle val="smoothMarker"/>
        <c:varyColors val="0"/>
        <c:ser>
          <c:idx val="0"/>
          <c:order val="0"/>
          <c:tx>
            <c:v>pl1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Feuil1!$P$12:$P$1011</c:f>
              <c:numCache>
                <c:formatCode>General</c:formatCode>
                <c:ptCount val="1000"/>
                <c:pt idx="0">
                  <c:v>24999.901304280684</c:v>
                </c:pt>
                <c:pt idx="1">
                  <c:v>24999.605221019083</c:v>
                </c:pt>
                <c:pt idx="2">
                  <c:v>24999.111761904045</c:v>
                </c:pt>
                <c:pt idx="3">
                  <c:v>24998.4209464165</c:v>
                </c:pt>
                <c:pt idx="4">
                  <c:v>24997.53280182866</c:v>
                </c:pt>
                <c:pt idx="5">
                  <c:v>24996.447363202948</c:v>
                </c:pt>
                <c:pt idx="6">
                  <c:v>24995.164673390624</c:v>
                </c:pt>
                <c:pt idx="7">
                  <c:v>24993.684783030087</c:v>
                </c:pt>
                <c:pt idx="8">
                  <c:v>24992.007750544875</c:v>
                </c:pt>
                <c:pt idx="9">
                  <c:v>24990.133642141358</c:v>
                </c:pt>
                <c:pt idx="10">
                  <c:v>24988.062531806128</c:v>
                </c:pt>
                <c:pt idx="11">
                  <c:v>24985.794501303069</c:v>
                </c:pt>
                <c:pt idx="12">
                  <c:v>24983.329640170148</c:v>
                </c:pt>
                <c:pt idx="13">
                  <c:v>24980.668045715862</c:v>
                </c:pt>
                <c:pt idx="14">
                  <c:v>24977.809823015399</c:v>
                </c:pt>
                <c:pt idx="15">
                  <c:v>24974.755084906501</c:v>
                </c:pt>
                <c:pt idx="16">
                  <c:v>24971.503951984996</c:v>
                </c:pt>
                <c:pt idx="17">
                  <c:v>24968.056552600043</c:v>
                </c:pt>
                <c:pt idx="18">
                  <c:v>24964.413022849069</c:v>
                </c:pt>
                <c:pt idx="19">
                  <c:v>24960.573506572389</c:v>
                </c:pt>
                <c:pt idx="20">
                  <c:v>24956.538155347531</c:v>
                </c:pt>
                <c:pt idx="21">
                  <c:v>24952.307128483255</c:v>
                </c:pt>
                <c:pt idx="22">
                  <c:v>24947.880593013255</c:v>
                </c:pt>
                <c:pt idx="23">
                  <c:v>24943.258723689571</c:v>
                </c:pt>
                <c:pt idx="24">
                  <c:v>24938.441702975688</c:v>
                </c:pt>
                <c:pt idx="25">
                  <c:v>24933.429721039342</c:v>
                </c:pt>
                <c:pt idx="26">
                  <c:v>24928.22297574499</c:v>
                </c:pt>
                <c:pt idx="27">
                  <c:v>24922.821672646027</c:v>
                </c:pt>
                <c:pt idx="28">
                  <c:v>24917.226024976648</c:v>
                </c:pt>
                <c:pt idx="29">
                  <c:v>24911.436253643442</c:v>
                </c:pt>
                <c:pt idx="30">
                  <c:v>24905.452587216671</c:v>
                </c:pt>
                <c:pt idx="31">
                  <c:v>24899.275261921233</c:v>
                </c:pt>
                <c:pt idx="32">
                  <c:v>24892.904521627359</c:v>
                </c:pt>
                <c:pt idx="33">
                  <c:v>24886.340617840968</c:v>
                </c:pt>
                <c:pt idx="34">
                  <c:v>24879.583809693737</c:v>
                </c:pt>
                <c:pt idx="35">
                  <c:v>24872.634363932884</c:v>
                </c:pt>
                <c:pt idx="36">
                  <c:v>24865.492554910634</c:v>
                </c:pt>
                <c:pt idx="37">
                  <c:v>24858.15866457337</c:v>
                </c:pt>
                <c:pt idx="38">
                  <c:v>24850.63298245053</c:v>
                </c:pt>
                <c:pt idx="39">
                  <c:v>24842.915805643155</c:v>
                </c:pt>
                <c:pt idx="40">
                  <c:v>24835.007438812176</c:v>
                </c:pt>
                <c:pt idx="41">
                  <c:v>24826.908194166368</c:v>
                </c:pt>
                <c:pt idx="42">
                  <c:v>24818.618391450051</c:v>
                </c:pt>
                <c:pt idx="43">
                  <c:v>24810.138357930431</c:v>
                </c:pt>
                <c:pt idx="44">
                  <c:v>24801.468428384716</c:v>
                </c:pt>
                <c:pt idx="45">
                  <c:v>24792.608945086879</c:v>
                </c:pt>
                <c:pt idx="46">
                  <c:v>24783.560257794154</c:v>
                </c:pt>
                <c:pt idx="47">
                  <c:v>24774.322723733214</c:v>
                </c:pt>
                <c:pt idx="48">
                  <c:v>24764.896707586093</c:v>
                </c:pt>
                <c:pt idx="49">
                  <c:v>24755.282581475767</c:v>
                </c:pt>
                <c:pt idx="50">
                  <c:v>24745.480724951474</c:v>
                </c:pt>
                <c:pt idx="51">
                  <c:v>24735.491524973721</c:v>
                </c:pt>
                <c:pt idx="52">
                  <c:v>24725.315375899023</c:v>
                </c:pt>
                <c:pt idx="53">
                  <c:v>24714.952679464324</c:v>
                </c:pt>
                <c:pt idx="54">
                  <c:v>24704.403844771128</c:v>
                </c:pt>
                <c:pt idx="55">
                  <c:v>24693.669288269371</c:v>
                </c:pt>
                <c:pt idx="56">
                  <c:v>24682.749433740963</c:v>
                </c:pt>
                <c:pt idx="57">
                  <c:v>24671.644712283061</c:v>
                </c:pt>
                <c:pt idx="58">
                  <c:v>24660.355562291054</c:v>
                </c:pt>
                <c:pt idx="59">
                  <c:v>24648.882429441255</c:v>
                </c:pt>
                <c:pt idx="60">
                  <c:v>24637.225766673306</c:v>
                </c:pt>
                <c:pt idx="61">
                  <c:v>24625.38603417229</c:v>
                </c:pt>
                <c:pt idx="62">
                  <c:v>24613.363699350575</c:v>
                </c:pt>
                <c:pt idx="63">
                  <c:v>24601.159236829353</c:v>
                </c:pt>
                <c:pt idx="64">
                  <c:v>24588.773128419904</c:v>
                </c:pt>
                <c:pt idx="65">
                  <c:v>24576.205863104587</c:v>
                </c:pt>
                <c:pt idx="66">
                  <c:v>24563.457937017512</c:v>
                </c:pt>
                <c:pt idx="67">
                  <c:v>24550.529853424978</c:v>
                </c:pt>
                <c:pt idx="68">
                  <c:v>24537.422122705586</c:v>
                </c:pt>
                <c:pt idx="69">
                  <c:v>24524.135262330099</c:v>
                </c:pt>
                <c:pt idx="70">
                  <c:v>24510.669796841015</c:v>
                </c:pt>
                <c:pt idx="71">
                  <c:v>24497.026257831854</c:v>
                </c:pt>
                <c:pt idx="72">
                  <c:v>24483.20518392618</c:v>
                </c:pt>
                <c:pt idx="73">
                  <c:v>24469.20712075632</c:v>
                </c:pt>
                <c:pt idx="74">
                  <c:v>24455.032620941842</c:v>
                </c:pt>
                <c:pt idx="75">
                  <c:v>24440.682244067724</c:v>
                </c:pt>
                <c:pt idx="76">
                  <c:v>24426.156556662278</c:v>
                </c:pt>
                <c:pt idx="77">
                  <c:v>24411.456132174768</c:v>
                </c:pt>
                <c:pt idx="78">
                  <c:v>24396.581550952782</c:v>
                </c:pt>
                <c:pt idx="79">
                  <c:v>24381.533400219319</c:v>
                </c:pt>
                <c:pt idx="80">
                  <c:v>24366.3122740496</c:v>
                </c:pt>
                <c:pt idx="81">
                  <c:v>24350.918773347628</c:v>
                </c:pt>
                <c:pt idx="82">
                  <c:v>24335.353505822452</c:v>
                </c:pt>
                <c:pt idx="83">
                  <c:v>24319.617085964175</c:v>
                </c:pt>
                <c:pt idx="84">
                  <c:v>24303.710135019719</c:v>
                </c:pt>
                <c:pt idx="85">
                  <c:v>24287.633280968261</c:v>
                </c:pt>
                <c:pt idx="86">
                  <c:v>24271.387158496476</c:v>
                </c:pt>
                <c:pt idx="87">
                  <c:v>24254.972408973459</c:v>
                </c:pt>
                <c:pt idx="88">
                  <c:v>24238.389680425415</c:v>
                </c:pt>
                <c:pt idx="89">
                  <c:v>24221.639627510074</c:v>
                </c:pt>
                <c:pt idx="90">
                  <c:v>24204.722911490844</c:v>
                </c:pt>
                <c:pt idx="91">
                  <c:v>24187.640200210706</c:v>
                </c:pt>
                <c:pt idx="92">
                  <c:v>24170.392168065853</c:v>
                </c:pt>
                <c:pt idx="93">
                  <c:v>24152.97949597906</c:v>
                </c:pt>
                <c:pt idx="94">
                  <c:v>24135.402871372808</c:v>
                </c:pt>
                <c:pt idx="95">
                  <c:v>24117.662988142136</c:v>
                </c:pt>
                <c:pt idx="96">
                  <c:v>24099.760546627258</c:v>
                </c:pt>
                <c:pt idx="97">
                  <c:v>24081.696253585917</c:v>
                </c:pt>
                <c:pt idx="98">
                  <c:v>24063.470822165466</c:v>
                </c:pt>
                <c:pt idx="99">
                  <c:v>24045.084971874734</c:v>
                </c:pt>
                <c:pt idx="100">
                  <c:v>24026.539428555607</c:v>
                </c:pt>
                <c:pt idx="101">
                  <c:v>24007.834924354378</c:v>
                </c:pt>
                <c:pt idx="102">
                  <c:v>23988.972197692852</c:v>
                </c:pt>
                <c:pt idx="103">
                  <c:v>23969.951993239174</c:v>
                </c:pt>
                <c:pt idx="104">
                  <c:v>23950.775061878448</c:v>
                </c:pt>
                <c:pt idx="105">
                  <c:v>23931.442160683091</c:v>
                </c:pt>
                <c:pt idx="106">
                  <c:v>23911.954052882938</c:v>
                </c:pt>
                <c:pt idx="107">
                  <c:v>23892.311507835111</c:v>
                </c:pt>
                <c:pt idx="108">
                  <c:v>23872.515300993666</c:v>
                </c:pt>
                <c:pt idx="109">
                  <c:v>23852.566213878941</c:v>
                </c:pt>
                <c:pt idx="110">
                  <c:v>23832.465034046745</c:v>
                </c:pt>
                <c:pt idx="111">
                  <c:v>23812.212555057235</c:v>
                </c:pt>
                <c:pt idx="112">
                  <c:v>23791.809576443604</c:v>
                </c:pt>
                <c:pt idx="113">
                  <c:v>23771.256903680514</c:v>
                </c:pt>
                <c:pt idx="114">
                  <c:v>23750.555348152291</c:v>
                </c:pt>
                <c:pt idx="115">
                  <c:v>23729.705727120905</c:v>
                </c:pt>
                <c:pt idx="116">
                  <c:v>23708.70886369369</c:v>
                </c:pt>
                <c:pt idx="117">
                  <c:v>23687.565586790864</c:v>
                </c:pt>
                <c:pt idx="118">
                  <c:v>23666.276731112794</c:v>
                </c:pt>
                <c:pt idx="119">
                  <c:v>23644.843137107051</c:v>
                </c:pt>
                <c:pt idx="120">
                  <c:v>23623.265650935227</c:v>
                </c:pt>
                <c:pt idx="121">
                  <c:v>23601.545124439526</c:v>
                </c:pt>
                <c:pt idx="122">
                  <c:v>23579.68241510915</c:v>
                </c:pt>
                <c:pt idx="123">
                  <c:v>23557.67838604642</c:v>
                </c:pt>
                <c:pt idx="124">
                  <c:v>23535.533905932731</c:v>
                </c:pt>
                <c:pt idx="125">
                  <c:v>23513.249848994237</c:v>
                </c:pt>
                <c:pt idx="126">
                  <c:v>23490.827094967353</c:v>
                </c:pt>
                <c:pt idx="127">
                  <c:v>23468.266529064014</c:v>
                </c:pt>
                <c:pt idx="128">
                  <c:v>23445.569041936731</c:v>
                </c:pt>
                <c:pt idx="129">
                  <c:v>23422.735529643433</c:v>
                </c:pt>
                <c:pt idx="130">
                  <c:v>23399.766893612086</c:v>
                </c:pt>
                <c:pt idx="131">
                  <c:v>23376.664040605112</c:v>
                </c:pt>
                <c:pt idx="132">
                  <c:v>23353.427882683591</c:v>
                </c:pt>
                <c:pt idx="133">
                  <c:v>23330.059337171249</c:v>
                </c:pt>
                <c:pt idx="134">
                  <c:v>23306.559326618248</c:v>
                </c:pt>
                <c:pt idx="135">
                  <c:v>23282.92877876477</c:v>
                </c:pt>
                <c:pt idx="136">
                  <c:v>23259.168626504383</c:v>
                </c:pt>
                <c:pt idx="137">
                  <c:v>23235.279807847211</c:v>
                </c:pt>
                <c:pt idx="138">
                  <c:v>23211.26326588291</c:v>
                </c:pt>
                <c:pt idx="139">
                  <c:v>23187.119948743435</c:v>
                </c:pt>
                <c:pt idx="140">
                  <c:v>23162.850809565611</c:v>
                </c:pt>
                <c:pt idx="141">
                  <c:v>23138.456806453491</c:v>
                </c:pt>
                <c:pt idx="142">
                  <c:v>23113.93890244055</c:v>
                </c:pt>
                <c:pt idx="143">
                  <c:v>23089.298065451658</c:v>
                </c:pt>
                <c:pt idx="144">
                  <c:v>23064.53526826487</c:v>
                </c:pt>
                <c:pt idx="145">
                  <c:v>23039.651488473013</c:v>
                </c:pt>
                <c:pt idx="146">
                  <c:v>23014.647708445111</c:v>
                </c:pt>
                <c:pt idx="147">
                  <c:v>22989.52491528758</c:v>
                </c:pt>
                <c:pt idx="148">
                  <c:v>22964.284100805282</c:v>
                </c:pt>
                <c:pt idx="149">
                  <c:v>22938.926261462351</c:v>
                </c:pt>
                <c:pt idx="150">
                  <c:v>22913.452398342866</c:v>
                </c:pt>
                <c:pt idx="151">
                  <c:v>22887.863517111324</c:v>
                </c:pt>
                <c:pt idx="152">
                  <c:v>22862.160627972939</c:v>
                </c:pt>
                <c:pt idx="153">
                  <c:v>22836.344745633767</c:v>
                </c:pt>
                <c:pt idx="154">
                  <c:v>22810.416889260636</c:v>
                </c:pt>
                <c:pt idx="155">
                  <c:v>22784.378082440922</c:v>
                </c:pt>
                <c:pt idx="156">
                  <c:v>22758.229353142135</c:v>
                </c:pt>
                <c:pt idx="157">
                  <c:v>22731.971733671329</c:v>
                </c:pt>
                <c:pt idx="158">
                  <c:v>22705.606260634362</c:v>
                </c:pt>
                <c:pt idx="159">
                  <c:v>22679.133974894965</c:v>
                </c:pt>
                <c:pt idx="160">
                  <c:v>22652.555921533654</c:v>
                </c:pt>
                <c:pt idx="161">
                  <c:v>22625.873149806459</c:v>
                </c:pt>
                <c:pt idx="162">
                  <c:v>22599.08671310353</c:v>
                </c:pt>
                <c:pt idx="163">
                  <c:v>22572.197668907513</c:v>
                </c:pt>
                <c:pt idx="164">
                  <c:v>22545.207078751839</c:v>
                </c:pt>
                <c:pt idx="165">
                  <c:v>22518.116008178786</c:v>
                </c:pt>
                <c:pt idx="166">
                  <c:v>22490.925526697436</c:v>
                </c:pt>
                <c:pt idx="167">
                  <c:v>22463.63670774144</c:v>
                </c:pt>
                <c:pt idx="168">
                  <c:v>22436.250628626643</c:v>
                </c:pt>
                <c:pt idx="169">
                  <c:v>22408.768370508558</c:v>
                </c:pt>
                <c:pt idx="170">
                  <c:v>22381.191018339676</c:v>
                </c:pt>
                <c:pt idx="171">
                  <c:v>22353.519660826641</c:v>
                </c:pt>
                <c:pt idx="172">
                  <c:v>22325.755390387272</c:v>
                </c:pt>
                <c:pt idx="173">
                  <c:v>22297.899303107417</c:v>
                </c:pt>
                <c:pt idx="174">
                  <c:v>22269.952498697712</c:v>
                </c:pt>
                <c:pt idx="175">
                  <c:v>22241.916080450141</c:v>
                </c:pt>
                <c:pt idx="176">
                  <c:v>22213.791155194485</c:v>
                </c:pt>
                <c:pt idx="177">
                  <c:v>22185.578833254644</c:v>
                </c:pt>
                <c:pt idx="178">
                  <c:v>22157.280228404772</c:v>
                </c:pt>
                <c:pt idx="179">
                  <c:v>22128.89645782534</c:v>
                </c:pt>
                <c:pt idx="180">
                  <c:v>22100.428642059007</c:v>
                </c:pt>
                <c:pt idx="181">
                  <c:v>22071.877904966397</c:v>
                </c:pt>
                <c:pt idx="182">
                  <c:v>22043.245373681722</c:v>
                </c:pt>
                <c:pt idx="183">
                  <c:v>22014.53217856829</c:v>
                </c:pt>
                <c:pt idx="184">
                  <c:v>21985.739453173879</c:v>
                </c:pt>
                <c:pt idx="185">
                  <c:v>21956.868334185987</c:v>
                </c:pt>
                <c:pt idx="186">
                  <c:v>21927.919961386957</c:v>
                </c:pt>
                <c:pt idx="187">
                  <c:v>21898.895477608981</c:v>
                </c:pt>
                <c:pt idx="188">
                  <c:v>21869.796028688976</c:v>
                </c:pt>
                <c:pt idx="189">
                  <c:v>21840.622763423362</c:v>
                </c:pt>
                <c:pt idx="190">
                  <c:v>21811.376833522703</c:v>
                </c:pt>
                <c:pt idx="191">
                  <c:v>21782.059393566225</c:v>
                </c:pt>
                <c:pt idx="192">
                  <c:v>21752.671600956266</c:v>
                </c:pt>
                <c:pt idx="193">
                  <c:v>21723.214615872559</c:v>
                </c:pt>
                <c:pt idx="194">
                  <c:v>21693.68960122643</c:v>
                </c:pt>
                <c:pt idx="195">
                  <c:v>21664.097722614904</c:v>
                </c:pt>
                <c:pt idx="196">
                  <c:v>21634.440148274683</c:v>
                </c:pt>
                <c:pt idx="197">
                  <c:v>21604.718049036019</c:v>
                </c:pt>
                <c:pt idx="198">
                  <c:v>21574.932598276493</c:v>
                </c:pt>
                <c:pt idx="199">
                  <c:v>21545.084971874709</c:v>
                </c:pt>
                <c:pt idx="200">
                  <c:v>21515.176348163841</c:v>
                </c:pt>
                <c:pt idx="201">
                  <c:v>21485.207907885146</c:v>
                </c:pt>
                <c:pt idx="202">
                  <c:v>21455.180834141327</c:v>
                </c:pt>
                <c:pt idx="203">
                  <c:v>21425.096312349851</c:v>
                </c:pt>
                <c:pt idx="204">
                  <c:v>21394.955530196115</c:v>
                </c:pt>
                <c:pt idx="205">
                  <c:v>21364.759677586597</c:v>
                </c:pt>
                <c:pt idx="206">
                  <c:v>21334.509946601847</c:v>
                </c:pt>
                <c:pt idx="207">
                  <c:v>21304.207531449454</c:v>
                </c:pt>
                <c:pt idx="208">
                  <c:v>21273.85362841688</c:v>
                </c:pt>
                <c:pt idx="209">
                  <c:v>21243.449435824241</c:v>
                </c:pt>
                <c:pt idx="210">
                  <c:v>21212.996153977005</c:v>
                </c:pt>
                <c:pt idx="211">
                  <c:v>21182.494985118592</c:v>
                </c:pt>
                <c:pt idx="212">
                  <c:v>21151.947133382921</c:v>
                </c:pt>
                <c:pt idx="213">
                  <c:v>21121.353804746872</c:v>
                </c:pt>
                <c:pt idx="214">
                  <c:v>21090.716206982677</c:v>
                </c:pt>
                <c:pt idx="215">
                  <c:v>21060.035549610238</c:v>
                </c:pt>
                <c:pt idx="216">
                  <c:v>21029.313043849372</c:v>
                </c:pt>
                <c:pt idx="217">
                  <c:v>20998.549902572002</c:v>
                </c:pt>
                <c:pt idx="218">
                  <c:v>20967.747340254267</c:v>
                </c:pt>
                <c:pt idx="219">
                  <c:v>20936.906572928587</c:v>
                </c:pt>
                <c:pt idx="220">
                  <c:v>20906.028818135652</c:v>
                </c:pt>
                <c:pt idx="221">
                  <c:v>20875.115294876345</c:v>
                </c:pt>
                <c:pt idx="222">
                  <c:v>20844.167223563632</c:v>
                </c:pt>
                <c:pt idx="223">
                  <c:v>20813.185825974382</c:v>
                </c:pt>
                <c:pt idx="224">
                  <c:v>20782.172325201118</c:v>
                </c:pt>
                <c:pt idx="225">
                  <c:v>20751.127945603748</c:v>
                </c:pt>
                <c:pt idx="226">
                  <c:v>20720.053912761225</c:v>
                </c:pt>
                <c:pt idx="227">
                  <c:v>20688.951453423153</c:v>
                </c:pt>
                <c:pt idx="228">
                  <c:v>20657.821795461376</c:v>
                </c:pt>
                <c:pt idx="229">
                  <c:v>20626.666167821484</c:v>
                </c:pt>
                <c:pt idx="230">
                  <c:v>20595.485800474311</c:v>
                </c:pt>
                <c:pt idx="231">
                  <c:v>20564.281924367369</c:v>
                </c:pt>
                <c:pt idx="232">
                  <c:v>20533.055771376261</c:v>
                </c:pt>
                <c:pt idx="233">
                  <c:v>20501.808574256036</c:v>
                </c:pt>
                <c:pt idx="234">
                  <c:v>20470.541566592532</c:v>
                </c:pt>
                <c:pt idx="235">
                  <c:v>20439.255982753675</c:v>
                </c:pt>
                <c:pt idx="236">
                  <c:v>20407.953057840747</c:v>
                </c:pt>
                <c:pt idx="237">
                  <c:v>20376.634027639622</c:v>
                </c:pt>
                <c:pt idx="238">
                  <c:v>20345.300128571987</c:v>
                </c:pt>
                <c:pt idx="239">
                  <c:v>20313.952597646527</c:v>
                </c:pt>
                <c:pt idx="240">
                  <c:v>20282.592672410083</c:v>
                </c:pt>
                <c:pt idx="241">
                  <c:v>20251.221590898807</c:v>
                </c:pt>
                <c:pt idx="242">
                  <c:v>20219.840591589284</c:v>
                </c:pt>
                <c:pt idx="243">
                  <c:v>20188.450913349629</c:v>
                </c:pt>
                <c:pt idx="244">
                  <c:v>20157.053795390599</c:v>
                </c:pt>
                <c:pt idx="245">
                  <c:v>20125.650477216645</c:v>
                </c:pt>
                <c:pt idx="246">
                  <c:v>20094.242198576998</c:v>
                </c:pt>
                <c:pt idx="247">
                  <c:v>20062.83019941672</c:v>
                </c:pt>
                <c:pt idx="248">
                  <c:v>20031.41571982775</c:v>
                </c:pt>
                <c:pt idx="249">
                  <c:v>19999.999999999956</c:v>
                </c:pt>
                <c:pt idx="250">
                  <c:v>19968.584280172159</c:v>
                </c:pt>
                <c:pt idx="251">
                  <c:v>19937.169800583193</c:v>
                </c:pt>
                <c:pt idx="252">
                  <c:v>19905.757801422915</c:v>
                </c:pt>
                <c:pt idx="253">
                  <c:v>19874.349522783268</c:v>
                </c:pt>
                <c:pt idx="254">
                  <c:v>19842.946204609314</c:v>
                </c:pt>
                <c:pt idx="255">
                  <c:v>19811.549086650281</c:v>
                </c:pt>
                <c:pt idx="256">
                  <c:v>19780.159408410629</c:v>
                </c:pt>
                <c:pt idx="257">
                  <c:v>19748.778409101105</c:v>
                </c:pt>
                <c:pt idx="258">
                  <c:v>19717.40732758983</c:v>
                </c:pt>
                <c:pt idx="259">
                  <c:v>19686.047402353386</c:v>
                </c:pt>
                <c:pt idx="260">
                  <c:v>19654.699871427925</c:v>
                </c:pt>
                <c:pt idx="261">
                  <c:v>19623.36597236029</c:v>
                </c:pt>
                <c:pt idx="262">
                  <c:v>19592.046942159166</c:v>
                </c:pt>
                <c:pt idx="263">
                  <c:v>19560.744017246237</c:v>
                </c:pt>
                <c:pt idx="264">
                  <c:v>19529.458433407381</c:v>
                </c:pt>
                <c:pt idx="265">
                  <c:v>19498.191425743877</c:v>
                </c:pt>
                <c:pt idx="266">
                  <c:v>19466.944228623652</c:v>
                </c:pt>
                <c:pt idx="267">
                  <c:v>19435.718075632543</c:v>
                </c:pt>
                <c:pt idx="268">
                  <c:v>19404.514199525602</c:v>
                </c:pt>
                <c:pt idx="269">
                  <c:v>19373.333832178429</c:v>
                </c:pt>
                <c:pt idx="270">
                  <c:v>19342.178204538537</c:v>
                </c:pt>
                <c:pt idx="271">
                  <c:v>19311.04854657676</c:v>
                </c:pt>
                <c:pt idx="272">
                  <c:v>19279.946087238688</c:v>
                </c:pt>
                <c:pt idx="273">
                  <c:v>19248.872054396164</c:v>
                </c:pt>
                <c:pt idx="274">
                  <c:v>19217.827674798795</c:v>
                </c:pt>
                <c:pt idx="275">
                  <c:v>19186.814174025531</c:v>
                </c:pt>
                <c:pt idx="276">
                  <c:v>19155.83277643628</c:v>
                </c:pt>
                <c:pt idx="277">
                  <c:v>19124.884705123568</c:v>
                </c:pt>
                <c:pt idx="278">
                  <c:v>19093.971181864261</c:v>
                </c:pt>
                <c:pt idx="279">
                  <c:v>19063.093427071326</c:v>
                </c:pt>
                <c:pt idx="280">
                  <c:v>19032.252659745649</c:v>
                </c:pt>
                <c:pt idx="281">
                  <c:v>19001.450097427914</c:v>
                </c:pt>
                <c:pt idx="282">
                  <c:v>18970.686956150541</c:v>
                </c:pt>
                <c:pt idx="283">
                  <c:v>18939.964450389674</c:v>
                </c:pt>
                <c:pt idx="284">
                  <c:v>18909.283793017235</c:v>
                </c:pt>
                <c:pt idx="285">
                  <c:v>18878.646195253041</c:v>
                </c:pt>
                <c:pt idx="286">
                  <c:v>18848.052866616996</c:v>
                </c:pt>
                <c:pt idx="287">
                  <c:v>18817.505014881324</c:v>
                </c:pt>
                <c:pt idx="288">
                  <c:v>18787.003846022912</c:v>
                </c:pt>
                <c:pt idx="289">
                  <c:v>18756.550564175672</c:v>
                </c:pt>
                <c:pt idx="290">
                  <c:v>18726.146371583036</c:v>
                </c:pt>
                <c:pt idx="291">
                  <c:v>18695.792468550462</c:v>
                </c:pt>
                <c:pt idx="292">
                  <c:v>18665.490053398069</c:v>
                </c:pt>
                <c:pt idx="293">
                  <c:v>18635.24032241332</c:v>
                </c:pt>
                <c:pt idx="294">
                  <c:v>18605.044469803801</c:v>
                </c:pt>
                <c:pt idx="295">
                  <c:v>18574.903687650065</c:v>
                </c:pt>
                <c:pt idx="296">
                  <c:v>18544.819165858586</c:v>
                </c:pt>
                <c:pt idx="297">
                  <c:v>18514.792092114771</c:v>
                </c:pt>
                <c:pt idx="298">
                  <c:v>18484.823651836075</c:v>
                </c:pt>
                <c:pt idx="299">
                  <c:v>18454.915028125208</c:v>
                </c:pt>
                <c:pt idx="300">
                  <c:v>18425.06740172342</c:v>
                </c:pt>
                <c:pt idx="301">
                  <c:v>18395.281950963898</c:v>
                </c:pt>
                <c:pt idx="302">
                  <c:v>18365.559851725233</c:v>
                </c:pt>
                <c:pt idx="303">
                  <c:v>18335.902277385012</c:v>
                </c:pt>
                <c:pt idx="304">
                  <c:v>18306.310398773487</c:v>
                </c:pt>
                <c:pt idx="305">
                  <c:v>18276.785384127361</c:v>
                </c:pt>
                <c:pt idx="306">
                  <c:v>18247.32839904365</c:v>
                </c:pt>
                <c:pt idx="307">
                  <c:v>18217.940606433691</c:v>
                </c:pt>
                <c:pt idx="308">
                  <c:v>18188.623166477217</c:v>
                </c:pt>
                <c:pt idx="309">
                  <c:v>18159.377236576554</c:v>
                </c:pt>
                <c:pt idx="310">
                  <c:v>18130.203971310941</c:v>
                </c:pt>
                <c:pt idx="311">
                  <c:v>18101.104522390939</c:v>
                </c:pt>
                <c:pt idx="312">
                  <c:v>18072.080038612963</c:v>
                </c:pt>
                <c:pt idx="313">
                  <c:v>18043.131665813933</c:v>
                </c:pt>
                <c:pt idx="314">
                  <c:v>18014.260546826041</c:v>
                </c:pt>
                <c:pt idx="315">
                  <c:v>17985.46782143163</c:v>
                </c:pt>
                <c:pt idx="316">
                  <c:v>17956.754626318198</c:v>
                </c:pt>
                <c:pt idx="317">
                  <c:v>17928.122095033523</c:v>
                </c:pt>
                <c:pt idx="318">
                  <c:v>17899.571357940913</c:v>
                </c:pt>
                <c:pt idx="319">
                  <c:v>17871.10354217458</c:v>
                </c:pt>
                <c:pt idx="320">
                  <c:v>17842.719771595148</c:v>
                </c:pt>
                <c:pt idx="321">
                  <c:v>17814.42116674528</c:v>
                </c:pt>
                <c:pt idx="322">
                  <c:v>17786.208844805435</c:v>
                </c:pt>
                <c:pt idx="323">
                  <c:v>17758.083919549783</c:v>
                </c:pt>
                <c:pt idx="324">
                  <c:v>17730.047501302208</c:v>
                </c:pt>
                <c:pt idx="325">
                  <c:v>17702.100696892503</c:v>
                </c:pt>
                <c:pt idx="326">
                  <c:v>17674.244609612651</c:v>
                </c:pt>
                <c:pt idx="327">
                  <c:v>17646.480339173278</c:v>
                </c:pt>
                <c:pt idx="328">
                  <c:v>17618.808981660248</c:v>
                </c:pt>
                <c:pt idx="329">
                  <c:v>17591.231629491365</c:v>
                </c:pt>
                <c:pt idx="330">
                  <c:v>17563.74937137328</c:v>
                </c:pt>
                <c:pt idx="331">
                  <c:v>17536.363292258484</c:v>
                </c:pt>
                <c:pt idx="332">
                  <c:v>17509.074473302488</c:v>
                </c:pt>
                <c:pt idx="333">
                  <c:v>17481.883991821138</c:v>
                </c:pt>
                <c:pt idx="334">
                  <c:v>17454.792921248085</c:v>
                </c:pt>
                <c:pt idx="335">
                  <c:v>17427.802331092411</c:v>
                </c:pt>
                <c:pt idx="336">
                  <c:v>17400.913286896393</c:v>
                </c:pt>
                <c:pt idx="337">
                  <c:v>17374.126850193465</c:v>
                </c:pt>
                <c:pt idx="338">
                  <c:v>17347.444078466273</c:v>
                </c:pt>
                <c:pt idx="339">
                  <c:v>17320.866025104959</c:v>
                </c:pt>
                <c:pt idx="340">
                  <c:v>17294.393739365565</c:v>
                </c:pt>
                <c:pt idx="341">
                  <c:v>17268.028266328598</c:v>
                </c:pt>
                <c:pt idx="342">
                  <c:v>17241.770646857793</c:v>
                </c:pt>
                <c:pt idx="343">
                  <c:v>17215.621917559001</c:v>
                </c:pt>
                <c:pt idx="344">
                  <c:v>17189.583110739291</c:v>
                </c:pt>
                <c:pt idx="345">
                  <c:v>17163.65525436616</c:v>
                </c:pt>
                <c:pt idx="346">
                  <c:v>17137.839372026989</c:v>
                </c:pt>
                <c:pt idx="347">
                  <c:v>17112.136482888603</c:v>
                </c:pt>
                <c:pt idx="348">
                  <c:v>17086.547601657061</c:v>
                </c:pt>
                <c:pt idx="349">
                  <c:v>17061.073738537576</c:v>
                </c:pt>
                <c:pt idx="350">
                  <c:v>17035.715899194645</c:v>
                </c:pt>
                <c:pt idx="351">
                  <c:v>17010.475084712351</c:v>
                </c:pt>
                <c:pt idx="352">
                  <c:v>16985.35229155482</c:v>
                </c:pt>
                <c:pt idx="353">
                  <c:v>16960.348511526914</c:v>
                </c:pt>
                <c:pt idx="354">
                  <c:v>16935.464731735061</c:v>
                </c:pt>
                <c:pt idx="355">
                  <c:v>16910.701934548273</c:v>
                </c:pt>
                <c:pt idx="356">
                  <c:v>16886.061097559381</c:v>
                </c:pt>
                <c:pt idx="357">
                  <c:v>16861.54319354644</c:v>
                </c:pt>
                <c:pt idx="358">
                  <c:v>16837.14919043432</c:v>
                </c:pt>
                <c:pt idx="359">
                  <c:v>16812.880051256496</c:v>
                </c:pt>
                <c:pt idx="360">
                  <c:v>16788.736734117021</c:v>
                </c:pt>
                <c:pt idx="361">
                  <c:v>16764.720192152723</c:v>
                </c:pt>
                <c:pt idx="362">
                  <c:v>16740.831373495552</c:v>
                </c:pt>
                <c:pt idx="363">
                  <c:v>16717.071221235161</c:v>
                </c:pt>
                <c:pt idx="364">
                  <c:v>16693.440673381687</c:v>
                </c:pt>
                <c:pt idx="365">
                  <c:v>16669.940662828685</c:v>
                </c:pt>
                <c:pt idx="366">
                  <c:v>16646.572117316344</c:v>
                </c:pt>
                <c:pt idx="367">
                  <c:v>16623.335959394823</c:v>
                </c:pt>
                <c:pt idx="368">
                  <c:v>16600.233106387848</c:v>
                </c:pt>
                <c:pt idx="369">
                  <c:v>16577.264470356502</c:v>
                </c:pt>
                <c:pt idx="370">
                  <c:v>16554.430958063203</c:v>
                </c:pt>
                <c:pt idx="371">
                  <c:v>16531.73347093592</c:v>
                </c:pt>
                <c:pt idx="372">
                  <c:v>16509.172905032581</c:v>
                </c:pt>
                <c:pt idx="373">
                  <c:v>16486.750151005697</c:v>
                </c:pt>
                <c:pt idx="374">
                  <c:v>16464.466094067207</c:v>
                </c:pt>
                <c:pt idx="375">
                  <c:v>16442.321613953518</c:v>
                </c:pt>
                <c:pt idx="376">
                  <c:v>16420.317584890789</c:v>
                </c:pt>
                <c:pt idx="377">
                  <c:v>16398.454875560412</c:v>
                </c:pt>
                <c:pt idx="378">
                  <c:v>16376.734349064713</c:v>
                </c:pt>
                <c:pt idx="379">
                  <c:v>16355.156862892889</c:v>
                </c:pt>
                <c:pt idx="380">
                  <c:v>16333.723268887146</c:v>
                </c:pt>
                <c:pt idx="381">
                  <c:v>16312.434413209077</c:v>
                </c:pt>
                <c:pt idx="382">
                  <c:v>16291.29113630625</c:v>
                </c:pt>
                <c:pt idx="383">
                  <c:v>16270.294272879037</c:v>
                </c:pt>
                <c:pt idx="384">
                  <c:v>16249.444651847649</c:v>
                </c:pt>
                <c:pt idx="385">
                  <c:v>16228.743096319427</c:v>
                </c:pt>
                <c:pt idx="386">
                  <c:v>16208.190423556338</c:v>
                </c:pt>
                <c:pt idx="387">
                  <c:v>16187.787444942709</c:v>
                </c:pt>
                <c:pt idx="388">
                  <c:v>16167.534965953198</c:v>
                </c:pt>
                <c:pt idx="389">
                  <c:v>16147.433786121002</c:v>
                </c:pt>
                <c:pt idx="390">
                  <c:v>16127.48469900628</c:v>
                </c:pt>
                <c:pt idx="391">
                  <c:v>16107.688492164831</c:v>
                </c:pt>
                <c:pt idx="392">
                  <c:v>16088.045947117009</c:v>
                </c:pt>
                <c:pt idx="393">
                  <c:v>16068.557839316854</c:v>
                </c:pt>
                <c:pt idx="394">
                  <c:v>16049.224938121497</c:v>
                </c:pt>
                <c:pt idx="395">
                  <c:v>16030.048006760773</c:v>
                </c:pt>
                <c:pt idx="396">
                  <c:v>16011.027802307095</c:v>
                </c:pt>
                <c:pt idx="397">
                  <c:v>15992.165075645567</c:v>
                </c:pt>
                <c:pt idx="398">
                  <c:v>15973.460571444341</c:v>
                </c:pt>
                <c:pt idx="399">
                  <c:v>15954.915028125213</c:v>
                </c:pt>
                <c:pt idx="400">
                  <c:v>15936.529177834482</c:v>
                </c:pt>
                <c:pt idx="401">
                  <c:v>15918.303746414033</c:v>
                </c:pt>
                <c:pt idx="402">
                  <c:v>15900.239453372691</c:v>
                </c:pt>
                <c:pt idx="403">
                  <c:v>15882.337011857813</c:v>
                </c:pt>
                <c:pt idx="404">
                  <c:v>15864.597128627143</c:v>
                </c:pt>
                <c:pt idx="405">
                  <c:v>15847.020504020889</c:v>
                </c:pt>
                <c:pt idx="406">
                  <c:v>15829.607831934096</c:v>
                </c:pt>
                <c:pt idx="407">
                  <c:v>15812.359799789245</c:v>
                </c:pt>
                <c:pt idx="408">
                  <c:v>15795.277088509109</c:v>
                </c:pt>
                <c:pt idx="409">
                  <c:v>15778.360372489879</c:v>
                </c:pt>
                <c:pt idx="410">
                  <c:v>15761.610319574538</c:v>
                </c:pt>
                <c:pt idx="411">
                  <c:v>15745.027591026494</c:v>
                </c:pt>
                <c:pt idx="412">
                  <c:v>15728.61284150348</c:v>
                </c:pt>
                <c:pt idx="413">
                  <c:v>15712.366719031694</c:v>
                </c:pt>
                <c:pt idx="414">
                  <c:v>15696.289864980237</c:v>
                </c:pt>
                <c:pt idx="415">
                  <c:v>15680.382914035779</c:v>
                </c:pt>
                <c:pt idx="416">
                  <c:v>15664.646494177505</c:v>
                </c:pt>
                <c:pt idx="417">
                  <c:v>15649.081226652328</c:v>
                </c:pt>
                <c:pt idx="418">
                  <c:v>15633.687725950356</c:v>
                </c:pt>
                <c:pt idx="419">
                  <c:v>15618.466599780641</c:v>
                </c:pt>
                <c:pt idx="420">
                  <c:v>15603.418449047176</c:v>
                </c:pt>
                <c:pt idx="421">
                  <c:v>15588.543867825192</c:v>
                </c:pt>
                <c:pt idx="422">
                  <c:v>15573.843443337682</c:v>
                </c:pt>
                <c:pt idx="423">
                  <c:v>15559.317755932236</c:v>
                </c:pt>
                <c:pt idx="424">
                  <c:v>15544.967379058118</c:v>
                </c:pt>
                <c:pt idx="425">
                  <c:v>15530.79287924364</c:v>
                </c:pt>
                <c:pt idx="426">
                  <c:v>15516.79481607378</c:v>
                </c:pt>
                <c:pt idx="427">
                  <c:v>15502.973742168106</c:v>
                </c:pt>
                <c:pt idx="428">
                  <c:v>15489.330203158946</c:v>
                </c:pt>
                <c:pt idx="429">
                  <c:v>15475.864737669865</c:v>
                </c:pt>
                <c:pt idx="430">
                  <c:v>15462.577877294378</c:v>
                </c:pt>
                <c:pt idx="431">
                  <c:v>15449.470146574982</c:v>
                </c:pt>
                <c:pt idx="432">
                  <c:v>15436.542062982448</c:v>
                </c:pt>
                <c:pt idx="433">
                  <c:v>15423.794136895374</c:v>
                </c:pt>
                <c:pt idx="434">
                  <c:v>15411.226871580056</c:v>
                </c:pt>
                <c:pt idx="435">
                  <c:v>15398.840763170612</c:v>
                </c:pt>
                <c:pt idx="436">
                  <c:v>15386.636300649388</c:v>
                </c:pt>
                <c:pt idx="437">
                  <c:v>15374.613965827673</c:v>
                </c:pt>
                <c:pt idx="438">
                  <c:v>15362.774233326658</c:v>
                </c:pt>
                <c:pt idx="439">
                  <c:v>15351.117570558708</c:v>
                </c:pt>
                <c:pt idx="440">
                  <c:v>15339.64443770891</c:v>
                </c:pt>
                <c:pt idx="441">
                  <c:v>15328.355287716906</c:v>
                </c:pt>
                <c:pt idx="442">
                  <c:v>15317.250566259005</c:v>
                </c:pt>
                <c:pt idx="443">
                  <c:v>15306.330711730596</c:v>
                </c:pt>
                <c:pt idx="444">
                  <c:v>15295.596155228839</c:v>
                </c:pt>
                <c:pt idx="445">
                  <c:v>15285.047320535647</c:v>
                </c:pt>
                <c:pt idx="446">
                  <c:v>15274.684624100944</c:v>
                </c:pt>
                <c:pt idx="447">
                  <c:v>15264.508475026247</c:v>
                </c:pt>
                <c:pt idx="448">
                  <c:v>15254.519275048497</c:v>
                </c:pt>
                <c:pt idx="449">
                  <c:v>15244.717418524202</c:v>
                </c:pt>
                <c:pt idx="450">
                  <c:v>15235.103292413876</c:v>
                </c:pt>
                <c:pt idx="451">
                  <c:v>15225.677276266757</c:v>
                </c:pt>
                <c:pt idx="452">
                  <c:v>15216.439742205819</c:v>
                </c:pt>
                <c:pt idx="453">
                  <c:v>15207.391054913092</c:v>
                </c:pt>
                <c:pt idx="454">
                  <c:v>15198.531571615258</c:v>
                </c:pt>
                <c:pt idx="455">
                  <c:v>15189.861642069543</c:v>
                </c:pt>
                <c:pt idx="456">
                  <c:v>15181.381608549924</c:v>
                </c:pt>
                <c:pt idx="457">
                  <c:v>15173.091805833605</c:v>
                </c:pt>
                <c:pt idx="458">
                  <c:v>15164.992561187799</c:v>
                </c:pt>
                <c:pt idx="459">
                  <c:v>15157.084194356819</c:v>
                </c:pt>
                <c:pt idx="460">
                  <c:v>15149.367017549446</c:v>
                </c:pt>
                <c:pt idx="461">
                  <c:v>15141.841335426607</c:v>
                </c:pt>
                <c:pt idx="462">
                  <c:v>15134.507445089344</c:v>
                </c:pt>
                <c:pt idx="463">
                  <c:v>15127.365636067092</c:v>
                </c:pt>
                <c:pt idx="464">
                  <c:v>15120.416190306241</c:v>
                </c:pt>
                <c:pt idx="465">
                  <c:v>15113.65938215901</c:v>
                </c:pt>
                <c:pt idx="466">
                  <c:v>15107.095478372619</c:v>
                </c:pt>
                <c:pt idx="467">
                  <c:v>15100.724738078745</c:v>
                </c:pt>
                <c:pt idx="468">
                  <c:v>15094.547412783309</c:v>
                </c:pt>
                <c:pt idx="469">
                  <c:v>15088.563746356536</c:v>
                </c:pt>
                <c:pt idx="470">
                  <c:v>15082.773975023334</c:v>
                </c:pt>
                <c:pt idx="471">
                  <c:v>15077.178327353955</c:v>
                </c:pt>
                <c:pt idx="472">
                  <c:v>15071.777024254992</c:v>
                </c:pt>
                <c:pt idx="473">
                  <c:v>15066.570278960644</c:v>
                </c:pt>
                <c:pt idx="474">
                  <c:v>15061.558297024294</c:v>
                </c:pt>
                <c:pt idx="475">
                  <c:v>15056.741276310415</c:v>
                </c:pt>
                <c:pt idx="476">
                  <c:v>15052.119406986731</c:v>
                </c:pt>
                <c:pt idx="477">
                  <c:v>15047.692871516731</c:v>
                </c:pt>
                <c:pt idx="478">
                  <c:v>15043.461844652453</c:v>
                </c:pt>
                <c:pt idx="479">
                  <c:v>15039.426493427598</c:v>
                </c:pt>
                <c:pt idx="480">
                  <c:v>15035.586977150921</c:v>
                </c:pt>
                <c:pt idx="481">
                  <c:v>15031.943447399946</c:v>
                </c:pt>
                <c:pt idx="482">
                  <c:v>15028.496048014993</c:v>
                </c:pt>
                <c:pt idx="483">
                  <c:v>15025.244915093488</c:v>
                </c:pt>
                <c:pt idx="484">
                  <c:v>15022.19017698459</c:v>
                </c:pt>
                <c:pt idx="485">
                  <c:v>15019.331954284127</c:v>
                </c:pt>
                <c:pt idx="486">
                  <c:v>15016.670359829841</c:v>
                </c:pt>
                <c:pt idx="487">
                  <c:v>15014.205498696923</c:v>
                </c:pt>
                <c:pt idx="488">
                  <c:v>15011.937468193868</c:v>
                </c:pt>
                <c:pt idx="489">
                  <c:v>15009.866357858635</c:v>
                </c:pt>
                <c:pt idx="490">
                  <c:v>15007.992249455119</c:v>
                </c:pt>
                <c:pt idx="491">
                  <c:v>15006.315216969906</c:v>
                </c:pt>
                <c:pt idx="492">
                  <c:v>15004.835326609373</c:v>
                </c:pt>
                <c:pt idx="493">
                  <c:v>15003.552636797049</c:v>
                </c:pt>
                <c:pt idx="494">
                  <c:v>15002.46719817134</c:v>
                </c:pt>
                <c:pt idx="495">
                  <c:v>15001.579053583497</c:v>
                </c:pt>
                <c:pt idx="496">
                  <c:v>15000.888238095953</c:v>
                </c:pt>
                <c:pt idx="497">
                  <c:v>15000.394778980917</c:v>
                </c:pt>
                <c:pt idx="498">
                  <c:v>15000.098695719313</c:v>
                </c:pt>
                <c:pt idx="499">
                  <c:v>15000</c:v>
                </c:pt>
                <c:pt idx="500">
                  <c:v>15000.098695719316</c:v>
                </c:pt>
                <c:pt idx="501">
                  <c:v>15000.394778980921</c:v>
                </c:pt>
                <c:pt idx="502">
                  <c:v>15000.888238095957</c:v>
                </c:pt>
                <c:pt idx="503">
                  <c:v>15001.579053583504</c:v>
                </c:pt>
                <c:pt idx="504">
                  <c:v>15002.467198171345</c:v>
                </c:pt>
                <c:pt idx="505">
                  <c:v>15003.552636797058</c:v>
                </c:pt>
                <c:pt idx="506">
                  <c:v>15004.835326609382</c:v>
                </c:pt>
                <c:pt idx="507">
                  <c:v>15006.315216969917</c:v>
                </c:pt>
                <c:pt idx="508">
                  <c:v>15007.992249455132</c:v>
                </c:pt>
                <c:pt idx="509">
                  <c:v>15009.866357858649</c:v>
                </c:pt>
                <c:pt idx="510">
                  <c:v>15011.937468193883</c:v>
                </c:pt>
                <c:pt idx="511">
                  <c:v>15014.205498696938</c:v>
                </c:pt>
                <c:pt idx="512">
                  <c:v>15016.670359829859</c:v>
                </c:pt>
                <c:pt idx="513">
                  <c:v>15019.331954284147</c:v>
                </c:pt>
                <c:pt idx="514">
                  <c:v>15022.190176984612</c:v>
                </c:pt>
                <c:pt idx="515">
                  <c:v>15025.24491509351</c:v>
                </c:pt>
                <c:pt idx="516">
                  <c:v>15028.496048015018</c:v>
                </c:pt>
                <c:pt idx="517">
                  <c:v>15031.943447399972</c:v>
                </c:pt>
                <c:pt idx="518">
                  <c:v>15035.586977150946</c:v>
                </c:pt>
                <c:pt idx="519">
                  <c:v>15039.426493427625</c:v>
                </c:pt>
                <c:pt idx="520">
                  <c:v>15043.461844652484</c:v>
                </c:pt>
                <c:pt idx="521">
                  <c:v>15047.69287151676</c:v>
                </c:pt>
                <c:pt idx="522">
                  <c:v>15052.119406986762</c:v>
                </c:pt>
                <c:pt idx="523">
                  <c:v>15056.741276310448</c:v>
                </c:pt>
                <c:pt idx="524">
                  <c:v>15061.55829702433</c:v>
                </c:pt>
                <c:pt idx="525">
                  <c:v>15066.570278960678</c:v>
                </c:pt>
                <c:pt idx="526">
                  <c:v>15071.777024255029</c:v>
                </c:pt>
                <c:pt idx="527">
                  <c:v>15077.178327353995</c:v>
                </c:pt>
                <c:pt idx="528">
                  <c:v>15082.773975023374</c:v>
                </c:pt>
                <c:pt idx="529">
                  <c:v>15088.56374635658</c:v>
                </c:pt>
                <c:pt idx="530">
                  <c:v>15094.547412783351</c:v>
                </c:pt>
                <c:pt idx="531">
                  <c:v>15100.724738078789</c:v>
                </c:pt>
                <c:pt idx="532">
                  <c:v>15107.095478372663</c:v>
                </c:pt>
                <c:pt idx="533">
                  <c:v>15113.659382159058</c:v>
                </c:pt>
                <c:pt idx="534">
                  <c:v>15120.416190306289</c:v>
                </c:pt>
                <c:pt idx="535">
                  <c:v>15127.365636067141</c:v>
                </c:pt>
                <c:pt idx="536">
                  <c:v>15134.507445089395</c:v>
                </c:pt>
                <c:pt idx="537">
                  <c:v>15141.841335426659</c:v>
                </c:pt>
                <c:pt idx="538">
                  <c:v>15149.367017549499</c:v>
                </c:pt>
                <c:pt idx="539">
                  <c:v>15157.084194356874</c:v>
                </c:pt>
                <c:pt idx="540">
                  <c:v>15164.992561187855</c:v>
                </c:pt>
                <c:pt idx="541">
                  <c:v>15173.091805833661</c:v>
                </c:pt>
                <c:pt idx="542">
                  <c:v>15181.381608549984</c:v>
                </c:pt>
                <c:pt idx="543">
                  <c:v>15189.861642069603</c:v>
                </c:pt>
                <c:pt idx="544">
                  <c:v>15198.531571615318</c:v>
                </c:pt>
                <c:pt idx="545">
                  <c:v>15207.391054913154</c:v>
                </c:pt>
                <c:pt idx="546">
                  <c:v>15216.439742205883</c:v>
                </c:pt>
                <c:pt idx="547">
                  <c:v>15225.677276266822</c:v>
                </c:pt>
                <c:pt idx="548">
                  <c:v>15235.103292413944</c:v>
                </c:pt>
                <c:pt idx="549">
                  <c:v>15244.717418524269</c:v>
                </c:pt>
                <c:pt idx="550">
                  <c:v>15254.519275048566</c:v>
                </c:pt>
                <c:pt idx="551">
                  <c:v>15264.50847502632</c:v>
                </c:pt>
                <c:pt idx="552">
                  <c:v>15274.684624101017</c:v>
                </c:pt>
                <c:pt idx="553">
                  <c:v>15285.047320535719</c:v>
                </c:pt>
                <c:pt idx="554">
                  <c:v>15295.596155228915</c:v>
                </c:pt>
                <c:pt idx="555">
                  <c:v>15306.330711730672</c:v>
                </c:pt>
                <c:pt idx="556">
                  <c:v>15317.250566259081</c:v>
                </c:pt>
                <c:pt idx="557">
                  <c:v>15328.355287716986</c:v>
                </c:pt>
                <c:pt idx="558">
                  <c:v>15339.64443770899</c:v>
                </c:pt>
                <c:pt idx="559">
                  <c:v>15351.117570558788</c:v>
                </c:pt>
                <c:pt idx="560">
                  <c:v>15362.774233326742</c:v>
                </c:pt>
                <c:pt idx="561">
                  <c:v>15374.613965827757</c:v>
                </c:pt>
                <c:pt idx="562">
                  <c:v>15386.636300649476</c:v>
                </c:pt>
                <c:pt idx="563">
                  <c:v>15398.840763170698</c:v>
                </c:pt>
                <c:pt idx="564">
                  <c:v>15411.226871580144</c:v>
                </c:pt>
                <c:pt idx="565">
                  <c:v>15423.794136895463</c:v>
                </c:pt>
                <c:pt idx="566">
                  <c:v>15436.542062982538</c:v>
                </c:pt>
                <c:pt idx="567">
                  <c:v>15449.470146575075</c:v>
                </c:pt>
                <c:pt idx="568">
                  <c:v>15462.577877294469</c:v>
                </c:pt>
                <c:pt idx="569">
                  <c:v>15475.864737669957</c:v>
                </c:pt>
                <c:pt idx="570">
                  <c:v>15489.330203159043</c:v>
                </c:pt>
                <c:pt idx="571">
                  <c:v>15502.9737421682</c:v>
                </c:pt>
                <c:pt idx="572">
                  <c:v>15516.794816073878</c:v>
                </c:pt>
                <c:pt idx="573">
                  <c:v>15530.79287924374</c:v>
                </c:pt>
                <c:pt idx="574">
                  <c:v>15544.96737905822</c:v>
                </c:pt>
                <c:pt idx="575">
                  <c:v>15559.317755932338</c:v>
                </c:pt>
                <c:pt idx="576">
                  <c:v>15573.843443337784</c:v>
                </c:pt>
                <c:pt idx="577">
                  <c:v>15588.543867825294</c:v>
                </c:pt>
                <c:pt idx="578">
                  <c:v>15603.41844904728</c:v>
                </c:pt>
                <c:pt idx="579">
                  <c:v>15618.466599780746</c:v>
                </c:pt>
                <c:pt idx="580">
                  <c:v>15633.687725950464</c:v>
                </c:pt>
                <c:pt idx="581">
                  <c:v>15649.081226652437</c:v>
                </c:pt>
                <c:pt idx="582">
                  <c:v>15664.646494177616</c:v>
                </c:pt>
                <c:pt idx="583">
                  <c:v>15680.38291403589</c:v>
                </c:pt>
                <c:pt idx="584">
                  <c:v>15696.28986498035</c:v>
                </c:pt>
                <c:pt idx="585">
                  <c:v>15712.366719031808</c:v>
                </c:pt>
                <c:pt idx="586">
                  <c:v>15728.612841503593</c:v>
                </c:pt>
                <c:pt idx="587">
                  <c:v>15745.02759102661</c:v>
                </c:pt>
                <c:pt idx="588">
                  <c:v>15761.610319574655</c:v>
                </c:pt>
                <c:pt idx="589">
                  <c:v>15778.360372489997</c:v>
                </c:pt>
                <c:pt idx="590">
                  <c:v>15795.277088509229</c:v>
                </c:pt>
                <c:pt idx="591">
                  <c:v>15812.359799789365</c:v>
                </c:pt>
                <c:pt idx="592">
                  <c:v>15829.60783193422</c:v>
                </c:pt>
                <c:pt idx="593">
                  <c:v>15847.020504021013</c:v>
                </c:pt>
                <c:pt idx="594">
                  <c:v>15864.597128627267</c:v>
                </c:pt>
                <c:pt idx="595">
                  <c:v>15882.337011857941</c:v>
                </c:pt>
                <c:pt idx="596">
                  <c:v>15900.239453372817</c:v>
                </c:pt>
                <c:pt idx="597">
                  <c:v>15918.30374641416</c:v>
                </c:pt>
                <c:pt idx="598">
                  <c:v>15936.529177834609</c:v>
                </c:pt>
                <c:pt idx="599">
                  <c:v>15954.915028125342</c:v>
                </c:pt>
                <c:pt idx="600">
                  <c:v>15973.460571444471</c:v>
                </c:pt>
                <c:pt idx="601">
                  <c:v>15992.1650756457</c:v>
                </c:pt>
                <c:pt idx="602">
                  <c:v>16011.027802307228</c:v>
                </c:pt>
                <c:pt idx="603">
                  <c:v>16030.048006760908</c:v>
                </c:pt>
                <c:pt idx="604">
                  <c:v>16049.224938121633</c:v>
                </c:pt>
                <c:pt idx="605">
                  <c:v>16068.557839316991</c:v>
                </c:pt>
                <c:pt idx="606">
                  <c:v>16088.045947117145</c:v>
                </c:pt>
                <c:pt idx="607">
                  <c:v>16107.688492164969</c:v>
                </c:pt>
                <c:pt idx="608">
                  <c:v>16127.48469900642</c:v>
                </c:pt>
                <c:pt idx="609">
                  <c:v>16147.433786121142</c:v>
                </c:pt>
                <c:pt idx="610">
                  <c:v>16167.53496595334</c:v>
                </c:pt>
                <c:pt idx="611">
                  <c:v>16187.787444942851</c:v>
                </c:pt>
                <c:pt idx="612">
                  <c:v>16208.190423556482</c:v>
                </c:pt>
                <c:pt idx="613">
                  <c:v>16228.743096319573</c:v>
                </c:pt>
                <c:pt idx="614">
                  <c:v>16249.444651847796</c:v>
                </c:pt>
                <c:pt idx="615">
                  <c:v>16270.294272879182</c:v>
                </c:pt>
                <c:pt idx="616">
                  <c:v>16291.291136306399</c:v>
                </c:pt>
                <c:pt idx="617">
                  <c:v>16312.434413209226</c:v>
                </c:pt>
                <c:pt idx="618">
                  <c:v>16333.723268887297</c:v>
                </c:pt>
                <c:pt idx="619">
                  <c:v>16355.15686289304</c:v>
                </c:pt>
                <c:pt idx="620">
                  <c:v>16376.734349064865</c:v>
                </c:pt>
                <c:pt idx="621">
                  <c:v>16398.454875560565</c:v>
                </c:pt>
                <c:pt idx="622">
                  <c:v>16420.317584890945</c:v>
                </c:pt>
                <c:pt idx="623">
                  <c:v>16442.321613953674</c:v>
                </c:pt>
                <c:pt idx="624">
                  <c:v>16464.466094067364</c:v>
                </c:pt>
                <c:pt idx="625">
                  <c:v>16486.750151005857</c:v>
                </c:pt>
                <c:pt idx="626">
                  <c:v>16509.172905032741</c:v>
                </c:pt>
                <c:pt idx="627">
                  <c:v>16531.73347093608</c:v>
                </c:pt>
                <c:pt idx="628">
                  <c:v>16554.430958063364</c:v>
                </c:pt>
                <c:pt idx="629">
                  <c:v>16577.264470356662</c:v>
                </c:pt>
                <c:pt idx="630">
                  <c:v>16600.233106388012</c:v>
                </c:pt>
                <c:pt idx="631">
                  <c:v>16623.335959394986</c:v>
                </c:pt>
                <c:pt idx="632">
                  <c:v>16646.572117316508</c:v>
                </c:pt>
                <c:pt idx="633">
                  <c:v>16669.940662828853</c:v>
                </c:pt>
                <c:pt idx="634">
                  <c:v>16693.440673381851</c:v>
                </c:pt>
                <c:pt idx="635">
                  <c:v>16717.071221235328</c:v>
                </c:pt>
                <c:pt idx="636">
                  <c:v>16740.831373495716</c:v>
                </c:pt>
                <c:pt idx="637">
                  <c:v>16764.720192152887</c:v>
                </c:pt>
                <c:pt idx="638">
                  <c:v>16788.736734117185</c:v>
                </c:pt>
                <c:pt idx="639">
                  <c:v>16812.880051256659</c:v>
                </c:pt>
                <c:pt idx="640">
                  <c:v>16837.149190434484</c:v>
                </c:pt>
                <c:pt idx="641">
                  <c:v>16861.543193546604</c:v>
                </c:pt>
                <c:pt idx="642">
                  <c:v>16886.061097559541</c:v>
                </c:pt>
                <c:pt idx="643">
                  <c:v>16910.70193454843</c:v>
                </c:pt>
                <c:pt idx="644">
                  <c:v>16935.464731735221</c:v>
                </c:pt>
                <c:pt idx="645">
                  <c:v>16960.348511527074</c:v>
                </c:pt>
                <c:pt idx="646">
                  <c:v>16985.352291554977</c:v>
                </c:pt>
                <c:pt idx="647">
                  <c:v>17010.475084712503</c:v>
                </c:pt>
                <c:pt idx="648">
                  <c:v>17035.715899194802</c:v>
                </c:pt>
                <c:pt idx="649">
                  <c:v>17061.073738537732</c:v>
                </c:pt>
                <c:pt idx="650">
                  <c:v>17086.547601657214</c:v>
                </c:pt>
                <c:pt idx="651">
                  <c:v>17112.136482888756</c:v>
                </c:pt>
                <c:pt idx="652">
                  <c:v>17137.839372027138</c:v>
                </c:pt>
                <c:pt idx="653">
                  <c:v>17163.655254366309</c:v>
                </c:pt>
                <c:pt idx="654">
                  <c:v>17189.583110739437</c:v>
                </c:pt>
                <c:pt idx="655">
                  <c:v>17215.62191755915</c:v>
                </c:pt>
                <c:pt idx="656">
                  <c:v>17241.770646857938</c:v>
                </c:pt>
                <c:pt idx="657">
                  <c:v>17268.02826632874</c:v>
                </c:pt>
                <c:pt idx="658">
                  <c:v>17294.393739365707</c:v>
                </c:pt>
                <c:pt idx="659">
                  <c:v>17320.866025105101</c:v>
                </c:pt>
                <c:pt idx="660">
                  <c:v>17347.444078466411</c:v>
                </c:pt>
                <c:pt idx="661">
                  <c:v>17374.126850193603</c:v>
                </c:pt>
                <c:pt idx="662">
                  <c:v>17400.913286896532</c:v>
                </c:pt>
                <c:pt idx="663">
                  <c:v>17427.802331092546</c:v>
                </c:pt>
                <c:pt idx="664">
                  <c:v>17454.792921248219</c:v>
                </c:pt>
                <c:pt idx="665">
                  <c:v>17481.883991821273</c:v>
                </c:pt>
                <c:pt idx="666">
                  <c:v>17509.074473302622</c:v>
                </c:pt>
                <c:pt idx="667">
                  <c:v>17536.363292258615</c:v>
                </c:pt>
                <c:pt idx="668">
                  <c:v>17563.749371373411</c:v>
                </c:pt>
                <c:pt idx="669">
                  <c:v>17591.231629491493</c:v>
                </c:pt>
                <c:pt idx="670">
                  <c:v>17618.808981660372</c:v>
                </c:pt>
                <c:pt idx="671">
                  <c:v>17646.480339173406</c:v>
                </c:pt>
                <c:pt idx="672">
                  <c:v>17674.244609612775</c:v>
                </c:pt>
                <c:pt idx="673">
                  <c:v>17702.100696892623</c:v>
                </c:pt>
                <c:pt idx="674">
                  <c:v>17730.047501302328</c:v>
                </c:pt>
                <c:pt idx="675">
                  <c:v>17758.083919549899</c:v>
                </c:pt>
                <c:pt idx="676">
                  <c:v>17786.208844805551</c:v>
                </c:pt>
                <c:pt idx="677">
                  <c:v>17814.421166745393</c:v>
                </c:pt>
                <c:pt idx="678">
                  <c:v>17842.719771595261</c:v>
                </c:pt>
                <c:pt idx="679">
                  <c:v>17871.103542174693</c:v>
                </c:pt>
                <c:pt idx="680">
                  <c:v>17899.571357941022</c:v>
                </c:pt>
                <c:pt idx="681">
                  <c:v>17928.122095033632</c:v>
                </c:pt>
                <c:pt idx="682">
                  <c:v>17956.754626318303</c:v>
                </c:pt>
                <c:pt idx="683">
                  <c:v>17985.467821431736</c:v>
                </c:pt>
                <c:pt idx="684">
                  <c:v>18014.260546826143</c:v>
                </c:pt>
                <c:pt idx="685">
                  <c:v>18043.131665814031</c:v>
                </c:pt>
                <c:pt idx="686">
                  <c:v>18072.080038613061</c:v>
                </c:pt>
                <c:pt idx="687">
                  <c:v>18101.104522391037</c:v>
                </c:pt>
                <c:pt idx="688">
                  <c:v>18130.203971311039</c:v>
                </c:pt>
                <c:pt idx="689">
                  <c:v>18159.377236576649</c:v>
                </c:pt>
                <c:pt idx="690">
                  <c:v>18188.623166477308</c:v>
                </c:pt>
                <c:pt idx="691">
                  <c:v>18217.940606433782</c:v>
                </c:pt>
                <c:pt idx="692">
                  <c:v>18247.328399043738</c:v>
                </c:pt>
                <c:pt idx="693">
                  <c:v>18276.785384127445</c:v>
                </c:pt>
                <c:pt idx="694">
                  <c:v>18306.310398773574</c:v>
                </c:pt>
                <c:pt idx="695">
                  <c:v>18335.902277385096</c:v>
                </c:pt>
                <c:pt idx="696">
                  <c:v>18365.559851725313</c:v>
                </c:pt>
                <c:pt idx="697">
                  <c:v>18395.281950963978</c:v>
                </c:pt>
                <c:pt idx="698">
                  <c:v>18425.0674017235</c:v>
                </c:pt>
                <c:pt idx="699">
                  <c:v>18454.915028125284</c:v>
                </c:pt>
                <c:pt idx="700">
                  <c:v>18484.823651836148</c:v>
                </c:pt>
                <c:pt idx="701">
                  <c:v>18514.792092114843</c:v>
                </c:pt>
                <c:pt idx="702">
                  <c:v>18544.819165858655</c:v>
                </c:pt>
                <c:pt idx="703">
                  <c:v>18574.903687650134</c:v>
                </c:pt>
                <c:pt idx="704">
                  <c:v>18605.044469803866</c:v>
                </c:pt>
                <c:pt idx="705">
                  <c:v>18635.240322413381</c:v>
                </c:pt>
                <c:pt idx="706">
                  <c:v>18665.490053398131</c:v>
                </c:pt>
                <c:pt idx="707">
                  <c:v>18695.79246855052</c:v>
                </c:pt>
                <c:pt idx="708">
                  <c:v>18726.146371583094</c:v>
                </c:pt>
                <c:pt idx="709">
                  <c:v>18756.550564175726</c:v>
                </c:pt>
                <c:pt idx="710">
                  <c:v>18787.003846022963</c:v>
                </c:pt>
                <c:pt idx="711">
                  <c:v>18817.505014881375</c:v>
                </c:pt>
                <c:pt idx="712">
                  <c:v>18848.052866617043</c:v>
                </c:pt>
                <c:pt idx="713">
                  <c:v>18878.646195253088</c:v>
                </c:pt>
                <c:pt idx="714">
                  <c:v>18909.283793017279</c:v>
                </c:pt>
                <c:pt idx="715">
                  <c:v>18939.964450389718</c:v>
                </c:pt>
                <c:pt idx="716">
                  <c:v>18970.686956150581</c:v>
                </c:pt>
                <c:pt idx="717">
                  <c:v>19001.450097427951</c:v>
                </c:pt>
                <c:pt idx="718">
                  <c:v>19032.252659745682</c:v>
                </c:pt>
                <c:pt idx="719">
                  <c:v>19063.093427071359</c:v>
                </c:pt>
                <c:pt idx="720">
                  <c:v>19093.971181864294</c:v>
                </c:pt>
                <c:pt idx="721">
                  <c:v>19124.884705123597</c:v>
                </c:pt>
                <c:pt idx="722">
                  <c:v>19155.832776436306</c:v>
                </c:pt>
                <c:pt idx="723">
                  <c:v>19186.814174025556</c:v>
                </c:pt>
                <c:pt idx="724">
                  <c:v>19217.82767479882</c:v>
                </c:pt>
                <c:pt idx="725">
                  <c:v>19248.872054396186</c:v>
                </c:pt>
                <c:pt idx="726">
                  <c:v>19279.946087238706</c:v>
                </c:pt>
                <c:pt idx="727">
                  <c:v>19311.048546576778</c:v>
                </c:pt>
                <c:pt idx="728">
                  <c:v>19342.178204538552</c:v>
                </c:pt>
                <c:pt idx="729">
                  <c:v>19373.333832178443</c:v>
                </c:pt>
                <c:pt idx="730">
                  <c:v>19404.514199525613</c:v>
                </c:pt>
                <c:pt idx="731">
                  <c:v>19435.718075632551</c:v>
                </c:pt>
                <c:pt idx="732">
                  <c:v>19466.944228623659</c:v>
                </c:pt>
                <c:pt idx="733">
                  <c:v>19498.19142574388</c:v>
                </c:pt>
                <c:pt idx="734">
                  <c:v>19529.458433407381</c:v>
                </c:pt>
                <c:pt idx="735">
                  <c:v>19560.744017246234</c:v>
                </c:pt>
                <c:pt idx="736">
                  <c:v>19592.046942159162</c:v>
                </c:pt>
                <c:pt idx="737">
                  <c:v>19623.365972360283</c:v>
                </c:pt>
                <c:pt idx="738">
                  <c:v>19654.699871427918</c:v>
                </c:pt>
                <c:pt idx="739">
                  <c:v>19686.047402353375</c:v>
                </c:pt>
                <c:pt idx="740">
                  <c:v>19717.407327589819</c:v>
                </c:pt>
                <c:pt idx="741">
                  <c:v>19748.778409101091</c:v>
                </c:pt>
                <c:pt idx="742">
                  <c:v>19780.159408410615</c:v>
                </c:pt>
                <c:pt idx="743">
                  <c:v>19811.549086650262</c:v>
                </c:pt>
                <c:pt idx="744">
                  <c:v>19842.946204609292</c:v>
                </c:pt>
                <c:pt idx="745">
                  <c:v>19874.349522783243</c:v>
                </c:pt>
                <c:pt idx="746">
                  <c:v>19905.757801422889</c:v>
                </c:pt>
                <c:pt idx="747">
                  <c:v>19937.169800583164</c:v>
                </c:pt>
                <c:pt idx="748">
                  <c:v>19968.58428017213</c:v>
                </c:pt>
                <c:pt idx="749">
                  <c:v>19999.999999999924</c:v>
                </c:pt>
                <c:pt idx="750">
                  <c:v>20031.415719827717</c:v>
                </c:pt>
                <c:pt idx="751">
                  <c:v>20062.830199416683</c:v>
                </c:pt>
                <c:pt idx="752">
                  <c:v>20094.242198576958</c:v>
                </c:pt>
                <c:pt idx="753">
                  <c:v>20125.650477216604</c:v>
                </c:pt>
                <c:pt idx="754">
                  <c:v>20157.053795390555</c:v>
                </c:pt>
                <c:pt idx="755">
                  <c:v>20188.450913349585</c:v>
                </c:pt>
                <c:pt idx="756">
                  <c:v>20219.840591589236</c:v>
                </c:pt>
                <c:pt idx="757">
                  <c:v>20251.221590898756</c:v>
                </c:pt>
                <c:pt idx="758">
                  <c:v>20282.592672410028</c:v>
                </c:pt>
                <c:pt idx="759">
                  <c:v>20313.952597646472</c:v>
                </c:pt>
                <c:pt idx="760">
                  <c:v>20345.300128571933</c:v>
                </c:pt>
                <c:pt idx="761">
                  <c:v>20376.634027639564</c:v>
                </c:pt>
                <c:pt idx="762">
                  <c:v>20407.953057840685</c:v>
                </c:pt>
                <c:pt idx="763">
                  <c:v>20439.255982753613</c:v>
                </c:pt>
                <c:pt idx="764">
                  <c:v>20470.541566592467</c:v>
                </c:pt>
                <c:pt idx="765">
                  <c:v>20501.808574255967</c:v>
                </c:pt>
                <c:pt idx="766">
                  <c:v>20533.055771376192</c:v>
                </c:pt>
                <c:pt idx="767">
                  <c:v>20564.281924367297</c:v>
                </c:pt>
                <c:pt idx="768">
                  <c:v>20595.485800474235</c:v>
                </c:pt>
                <c:pt idx="769">
                  <c:v>20626.666167821408</c:v>
                </c:pt>
                <c:pt idx="770">
                  <c:v>20657.821795461296</c:v>
                </c:pt>
                <c:pt idx="771">
                  <c:v>20688.951453423073</c:v>
                </c:pt>
                <c:pt idx="772">
                  <c:v>20720.053912761141</c:v>
                </c:pt>
                <c:pt idx="773">
                  <c:v>20751.127945603665</c:v>
                </c:pt>
                <c:pt idx="774">
                  <c:v>20782.172325201031</c:v>
                </c:pt>
                <c:pt idx="775">
                  <c:v>20813.185825974291</c:v>
                </c:pt>
                <c:pt idx="776">
                  <c:v>20844.167223563541</c:v>
                </c:pt>
                <c:pt idx="777">
                  <c:v>20875.11529487625</c:v>
                </c:pt>
                <c:pt idx="778">
                  <c:v>20906.028818135557</c:v>
                </c:pt>
                <c:pt idx="779">
                  <c:v>20936.906572928492</c:v>
                </c:pt>
                <c:pt idx="780">
                  <c:v>20967.747340254165</c:v>
                </c:pt>
                <c:pt idx="781">
                  <c:v>20998.5499025719</c:v>
                </c:pt>
                <c:pt idx="782">
                  <c:v>21029.31304384927</c:v>
                </c:pt>
                <c:pt idx="783">
                  <c:v>21060.035549610133</c:v>
                </c:pt>
                <c:pt idx="784">
                  <c:v>21090.716206982572</c:v>
                </c:pt>
                <c:pt idx="785">
                  <c:v>21121.353804746763</c:v>
                </c:pt>
                <c:pt idx="786">
                  <c:v>21151.947133382808</c:v>
                </c:pt>
                <c:pt idx="787">
                  <c:v>21182.494985118476</c:v>
                </c:pt>
                <c:pt idx="788">
                  <c:v>21212.996153976888</c:v>
                </c:pt>
                <c:pt idx="789">
                  <c:v>21243.449435824125</c:v>
                </c:pt>
                <c:pt idx="790">
                  <c:v>21273.85362841676</c:v>
                </c:pt>
                <c:pt idx="791">
                  <c:v>21304.20753144933</c:v>
                </c:pt>
                <c:pt idx="792">
                  <c:v>21334.509946601724</c:v>
                </c:pt>
                <c:pt idx="793">
                  <c:v>21364.759677586469</c:v>
                </c:pt>
                <c:pt idx="794">
                  <c:v>21394.955530195988</c:v>
                </c:pt>
                <c:pt idx="795">
                  <c:v>21425.09631234972</c:v>
                </c:pt>
                <c:pt idx="796">
                  <c:v>21455.1808341412</c:v>
                </c:pt>
                <c:pt idx="797">
                  <c:v>21485.207907885011</c:v>
                </c:pt>
                <c:pt idx="798">
                  <c:v>21515.176348163706</c:v>
                </c:pt>
                <c:pt idx="799">
                  <c:v>21545.08497187457</c:v>
                </c:pt>
                <c:pt idx="800">
                  <c:v>21574.932598276358</c:v>
                </c:pt>
                <c:pt idx="801">
                  <c:v>21604.718049035881</c:v>
                </c:pt>
                <c:pt idx="802">
                  <c:v>21634.440148274542</c:v>
                </c:pt>
                <c:pt idx="803">
                  <c:v>21664.097722614762</c:v>
                </c:pt>
                <c:pt idx="804">
                  <c:v>21693.689601226284</c:v>
                </c:pt>
                <c:pt idx="805">
                  <c:v>21723.21461587241</c:v>
                </c:pt>
                <c:pt idx="806">
                  <c:v>21752.671600956121</c:v>
                </c:pt>
                <c:pt idx="807">
                  <c:v>21782.059393566076</c:v>
                </c:pt>
                <c:pt idx="808">
                  <c:v>21811.37683352255</c:v>
                </c:pt>
                <c:pt idx="809">
                  <c:v>21840.622763423209</c:v>
                </c:pt>
                <c:pt idx="810">
                  <c:v>21869.796028688819</c:v>
                </c:pt>
                <c:pt idx="811">
                  <c:v>21898.895477608821</c:v>
                </c:pt>
                <c:pt idx="812">
                  <c:v>21927.919961386797</c:v>
                </c:pt>
                <c:pt idx="813">
                  <c:v>21956.868334185827</c:v>
                </c:pt>
                <c:pt idx="814">
                  <c:v>21985.739453173715</c:v>
                </c:pt>
                <c:pt idx="815">
                  <c:v>22014.532178568126</c:v>
                </c:pt>
                <c:pt idx="816">
                  <c:v>22043.245373681555</c:v>
                </c:pt>
                <c:pt idx="817">
                  <c:v>22071.87790496623</c:v>
                </c:pt>
                <c:pt idx="818">
                  <c:v>22100.42864205884</c:v>
                </c:pt>
                <c:pt idx="819">
                  <c:v>22128.896457825169</c:v>
                </c:pt>
                <c:pt idx="820">
                  <c:v>22157.280228404601</c:v>
                </c:pt>
                <c:pt idx="821">
                  <c:v>22185.578833254469</c:v>
                </c:pt>
                <c:pt idx="822">
                  <c:v>22213.791155194311</c:v>
                </c:pt>
                <c:pt idx="823">
                  <c:v>22241.916080449962</c:v>
                </c:pt>
                <c:pt idx="824">
                  <c:v>22269.952498697534</c:v>
                </c:pt>
                <c:pt idx="825">
                  <c:v>22297.899303107239</c:v>
                </c:pt>
                <c:pt idx="826">
                  <c:v>22325.75539038709</c:v>
                </c:pt>
                <c:pt idx="827">
                  <c:v>22353.51966082646</c:v>
                </c:pt>
                <c:pt idx="828">
                  <c:v>22381.191018339494</c:v>
                </c:pt>
                <c:pt idx="829">
                  <c:v>22408.768370508373</c:v>
                </c:pt>
                <c:pt idx="830">
                  <c:v>22436.250628626458</c:v>
                </c:pt>
                <c:pt idx="831">
                  <c:v>22463.636707741251</c:v>
                </c:pt>
                <c:pt idx="832">
                  <c:v>22490.925526697247</c:v>
                </c:pt>
                <c:pt idx="833">
                  <c:v>22518.116008178597</c:v>
                </c:pt>
                <c:pt idx="834">
                  <c:v>22545.20707875165</c:v>
                </c:pt>
                <c:pt idx="835">
                  <c:v>22572.197668907324</c:v>
                </c:pt>
                <c:pt idx="836">
                  <c:v>22599.086713103337</c:v>
                </c:pt>
                <c:pt idx="837">
                  <c:v>22625.873149806266</c:v>
                </c:pt>
                <c:pt idx="838">
                  <c:v>22652.555921533458</c:v>
                </c:pt>
                <c:pt idx="839">
                  <c:v>22679.133974894772</c:v>
                </c:pt>
                <c:pt idx="840">
                  <c:v>22705.606260634166</c:v>
                </c:pt>
                <c:pt idx="841">
                  <c:v>22731.971733671129</c:v>
                </c:pt>
                <c:pt idx="842">
                  <c:v>22758.229353141935</c:v>
                </c:pt>
                <c:pt idx="843">
                  <c:v>22784.378082440722</c:v>
                </c:pt>
                <c:pt idx="844">
                  <c:v>22810.416889260436</c:v>
                </c:pt>
                <c:pt idx="845">
                  <c:v>22836.344745633563</c:v>
                </c:pt>
                <c:pt idx="846">
                  <c:v>22862.160627972735</c:v>
                </c:pt>
                <c:pt idx="847">
                  <c:v>22887.86351711112</c:v>
                </c:pt>
                <c:pt idx="848">
                  <c:v>22913.452398342662</c:v>
                </c:pt>
                <c:pt idx="849">
                  <c:v>22938.926261462148</c:v>
                </c:pt>
                <c:pt idx="850">
                  <c:v>22964.284100805075</c:v>
                </c:pt>
                <c:pt idx="851">
                  <c:v>22989.524915287373</c:v>
                </c:pt>
                <c:pt idx="852">
                  <c:v>23014.647708444903</c:v>
                </c:pt>
                <c:pt idx="853">
                  <c:v>23039.651488472806</c:v>
                </c:pt>
                <c:pt idx="854">
                  <c:v>23064.535268264659</c:v>
                </c:pt>
                <c:pt idx="855">
                  <c:v>23089.298065451447</c:v>
                </c:pt>
                <c:pt idx="856">
                  <c:v>23113.938902440339</c:v>
                </c:pt>
                <c:pt idx="857">
                  <c:v>23138.45680645328</c:v>
                </c:pt>
                <c:pt idx="858">
                  <c:v>23162.850809565396</c:v>
                </c:pt>
                <c:pt idx="859">
                  <c:v>23187.119948743224</c:v>
                </c:pt>
                <c:pt idx="860">
                  <c:v>23211.263265882699</c:v>
                </c:pt>
                <c:pt idx="861">
                  <c:v>23235.279807846997</c:v>
                </c:pt>
                <c:pt idx="862">
                  <c:v>23259.168626504168</c:v>
                </c:pt>
                <c:pt idx="863">
                  <c:v>23282.928778764555</c:v>
                </c:pt>
                <c:pt idx="864">
                  <c:v>23306.559326618033</c:v>
                </c:pt>
                <c:pt idx="865">
                  <c:v>23330.059337171031</c:v>
                </c:pt>
                <c:pt idx="866">
                  <c:v>23353.427882683376</c:v>
                </c:pt>
                <c:pt idx="867">
                  <c:v>23376.664040604897</c:v>
                </c:pt>
                <c:pt idx="868">
                  <c:v>23399.766893611868</c:v>
                </c:pt>
                <c:pt idx="869">
                  <c:v>23422.735529643218</c:v>
                </c:pt>
                <c:pt idx="870">
                  <c:v>23445.569041936516</c:v>
                </c:pt>
                <c:pt idx="871">
                  <c:v>23468.2665290638</c:v>
                </c:pt>
                <c:pt idx="872">
                  <c:v>23490.827094967135</c:v>
                </c:pt>
                <c:pt idx="873">
                  <c:v>23513.249848994019</c:v>
                </c:pt>
                <c:pt idx="874">
                  <c:v>23535.533905932512</c:v>
                </c:pt>
                <c:pt idx="875">
                  <c:v>23557.678386046198</c:v>
                </c:pt>
                <c:pt idx="876">
                  <c:v>23579.682415108928</c:v>
                </c:pt>
                <c:pt idx="877">
                  <c:v>23601.545124439308</c:v>
                </c:pt>
                <c:pt idx="878">
                  <c:v>23623.265650935005</c:v>
                </c:pt>
                <c:pt idx="879">
                  <c:v>23644.843137106833</c:v>
                </c:pt>
                <c:pt idx="880">
                  <c:v>23666.276731112575</c:v>
                </c:pt>
                <c:pt idx="881">
                  <c:v>23687.565586790643</c:v>
                </c:pt>
                <c:pt idx="882">
                  <c:v>23708.708863693471</c:v>
                </c:pt>
                <c:pt idx="883">
                  <c:v>23729.705727120687</c:v>
                </c:pt>
                <c:pt idx="884">
                  <c:v>23750.555348152073</c:v>
                </c:pt>
                <c:pt idx="885">
                  <c:v>23771.256903680296</c:v>
                </c:pt>
                <c:pt idx="886">
                  <c:v>23791.809576443386</c:v>
                </c:pt>
                <c:pt idx="887">
                  <c:v>23812.212555057016</c:v>
                </c:pt>
                <c:pt idx="888">
                  <c:v>23832.465034046527</c:v>
                </c:pt>
                <c:pt idx="889">
                  <c:v>23852.566213878723</c:v>
                </c:pt>
                <c:pt idx="890">
                  <c:v>23872.515300993447</c:v>
                </c:pt>
                <c:pt idx="891">
                  <c:v>23892.311507834893</c:v>
                </c:pt>
                <c:pt idx="892">
                  <c:v>23911.95405288272</c:v>
                </c:pt>
                <c:pt idx="893">
                  <c:v>23931.442160682873</c:v>
                </c:pt>
                <c:pt idx="894">
                  <c:v>23950.77506187823</c:v>
                </c:pt>
                <c:pt idx="895">
                  <c:v>23969.951993238956</c:v>
                </c:pt>
                <c:pt idx="896">
                  <c:v>23988.972197692638</c:v>
                </c:pt>
                <c:pt idx="897">
                  <c:v>24007.834924354163</c:v>
                </c:pt>
                <c:pt idx="898">
                  <c:v>24026.539428555392</c:v>
                </c:pt>
                <c:pt idx="899">
                  <c:v>24045.084971874519</c:v>
                </c:pt>
                <c:pt idx="900">
                  <c:v>24063.470822165255</c:v>
                </c:pt>
                <c:pt idx="901">
                  <c:v>24081.696253585702</c:v>
                </c:pt>
                <c:pt idx="902">
                  <c:v>24099.760546627047</c:v>
                </c:pt>
                <c:pt idx="903">
                  <c:v>24117.662988141921</c:v>
                </c:pt>
                <c:pt idx="904">
                  <c:v>24135.402871372597</c:v>
                </c:pt>
                <c:pt idx="905">
                  <c:v>24152.979495978849</c:v>
                </c:pt>
                <c:pt idx="906">
                  <c:v>24170.392168065642</c:v>
                </c:pt>
                <c:pt idx="907">
                  <c:v>24187.640200210499</c:v>
                </c:pt>
                <c:pt idx="908">
                  <c:v>24204.722911490637</c:v>
                </c:pt>
                <c:pt idx="909">
                  <c:v>24221.639627509867</c:v>
                </c:pt>
                <c:pt idx="910">
                  <c:v>24238.389680425207</c:v>
                </c:pt>
                <c:pt idx="911">
                  <c:v>24254.972408973252</c:v>
                </c:pt>
                <c:pt idx="912">
                  <c:v>24271.387158496269</c:v>
                </c:pt>
                <c:pt idx="913">
                  <c:v>24287.633280968057</c:v>
                </c:pt>
                <c:pt idx="914">
                  <c:v>24303.710135019515</c:v>
                </c:pt>
                <c:pt idx="915">
                  <c:v>24319.617085963975</c:v>
                </c:pt>
                <c:pt idx="916">
                  <c:v>24335.353505822248</c:v>
                </c:pt>
                <c:pt idx="917">
                  <c:v>24350.918773347428</c:v>
                </c:pt>
                <c:pt idx="918">
                  <c:v>24366.312274049404</c:v>
                </c:pt>
                <c:pt idx="919">
                  <c:v>24381.533400219123</c:v>
                </c:pt>
                <c:pt idx="920">
                  <c:v>24396.581550952586</c:v>
                </c:pt>
                <c:pt idx="921">
                  <c:v>24411.456132174571</c:v>
                </c:pt>
                <c:pt idx="922">
                  <c:v>24426.156556662085</c:v>
                </c:pt>
                <c:pt idx="923">
                  <c:v>24440.682244067531</c:v>
                </c:pt>
                <c:pt idx="924">
                  <c:v>24455.032620941649</c:v>
                </c:pt>
                <c:pt idx="925">
                  <c:v>24469.207120756131</c:v>
                </c:pt>
                <c:pt idx="926">
                  <c:v>24483.205183925991</c:v>
                </c:pt>
                <c:pt idx="927">
                  <c:v>24497.026257831669</c:v>
                </c:pt>
                <c:pt idx="928">
                  <c:v>24510.66979684083</c:v>
                </c:pt>
                <c:pt idx="929">
                  <c:v>24524.135262329917</c:v>
                </c:pt>
                <c:pt idx="930">
                  <c:v>24537.422122705404</c:v>
                </c:pt>
                <c:pt idx="931">
                  <c:v>24550.5298534248</c:v>
                </c:pt>
                <c:pt idx="932">
                  <c:v>24563.457937017338</c:v>
                </c:pt>
                <c:pt idx="933">
                  <c:v>24576.205863104413</c:v>
                </c:pt>
                <c:pt idx="934">
                  <c:v>24588.773128419733</c:v>
                </c:pt>
                <c:pt idx="935">
                  <c:v>24601.159236829179</c:v>
                </c:pt>
                <c:pt idx="936">
                  <c:v>24613.363699350404</c:v>
                </c:pt>
                <c:pt idx="937">
                  <c:v>24625.386034172123</c:v>
                </c:pt>
                <c:pt idx="938">
                  <c:v>24637.225766673138</c:v>
                </c:pt>
                <c:pt idx="939">
                  <c:v>24648.882429441092</c:v>
                </c:pt>
                <c:pt idx="940">
                  <c:v>24660.355562290893</c:v>
                </c:pt>
                <c:pt idx="941">
                  <c:v>24671.644712282898</c:v>
                </c:pt>
                <c:pt idx="942">
                  <c:v>24682.749433740802</c:v>
                </c:pt>
                <c:pt idx="943">
                  <c:v>24693.669288269215</c:v>
                </c:pt>
                <c:pt idx="944">
                  <c:v>24704.403844770972</c:v>
                </c:pt>
                <c:pt idx="945">
                  <c:v>24714.952679464172</c:v>
                </c:pt>
                <c:pt idx="946">
                  <c:v>24725.315375898874</c:v>
                </c:pt>
                <c:pt idx="947">
                  <c:v>24735.491524973571</c:v>
                </c:pt>
                <c:pt idx="948">
                  <c:v>24745.480724951325</c:v>
                </c:pt>
                <c:pt idx="949">
                  <c:v>24755.282581475622</c:v>
                </c:pt>
                <c:pt idx="950">
                  <c:v>24764.896707585951</c:v>
                </c:pt>
                <c:pt idx="951">
                  <c:v>24774.322723733076</c:v>
                </c:pt>
                <c:pt idx="952">
                  <c:v>24783.560257794015</c:v>
                </c:pt>
                <c:pt idx="953">
                  <c:v>24792.608945086744</c:v>
                </c:pt>
                <c:pt idx="954">
                  <c:v>24801.468428384582</c:v>
                </c:pt>
                <c:pt idx="955">
                  <c:v>24810.1383579303</c:v>
                </c:pt>
                <c:pt idx="956">
                  <c:v>24818.61839144992</c:v>
                </c:pt>
                <c:pt idx="957">
                  <c:v>24826.908194166244</c:v>
                </c:pt>
                <c:pt idx="958">
                  <c:v>24835.007438812052</c:v>
                </c:pt>
                <c:pt idx="959">
                  <c:v>24842.915805643035</c:v>
                </c:pt>
                <c:pt idx="960">
                  <c:v>24850.63298245041</c:v>
                </c:pt>
                <c:pt idx="961">
                  <c:v>24858.158664573253</c:v>
                </c:pt>
                <c:pt idx="962">
                  <c:v>24865.492554910517</c:v>
                </c:pt>
                <c:pt idx="963">
                  <c:v>24872.634363932775</c:v>
                </c:pt>
                <c:pt idx="964">
                  <c:v>24879.583809693628</c:v>
                </c:pt>
                <c:pt idx="965">
                  <c:v>24886.340617840862</c:v>
                </c:pt>
                <c:pt idx="966">
                  <c:v>24892.904521627257</c:v>
                </c:pt>
                <c:pt idx="967">
                  <c:v>24899.275261921135</c:v>
                </c:pt>
                <c:pt idx="968">
                  <c:v>24905.452587216572</c:v>
                </c:pt>
                <c:pt idx="969">
                  <c:v>24911.436253643347</c:v>
                </c:pt>
                <c:pt idx="970">
                  <c:v>24917.226024976557</c:v>
                </c:pt>
                <c:pt idx="971">
                  <c:v>24922.821672645936</c:v>
                </c:pt>
                <c:pt idx="972">
                  <c:v>24928.222975744902</c:v>
                </c:pt>
                <c:pt idx="973">
                  <c:v>24933.429721039258</c:v>
                </c:pt>
                <c:pt idx="974">
                  <c:v>24938.441702975608</c:v>
                </c:pt>
                <c:pt idx="975">
                  <c:v>24943.258723689491</c:v>
                </c:pt>
                <c:pt idx="976">
                  <c:v>24947.880593013178</c:v>
                </c:pt>
                <c:pt idx="977">
                  <c:v>24952.307128483182</c:v>
                </c:pt>
                <c:pt idx="978">
                  <c:v>24956.538155347465</c:v>
                </c:pt>
                <c:pt idx="979">
                  <c:v>24960.573506572324</c:v>
                </c:pt>
                <c:pt idx="980">
                  <c:v>24964.413022849003</c:v>
                </c:pt>
                <c:pt idx="981">
                  <c:v>24968.056552599981</c:v>
                </c:pt>
                <c:pt idx="982">
                  <c:v>24971.503951984938</c:v>
                </c:pt>
                <c:pt idx="983">
                  <c:v>24974.755084906446</c:v>
                </c:pt>
                <c:pt idx="984">
                  <c:v>24977.809823015348</c:v>
                </c:pt>
                <c:pt idx="985">
                  <c:v>24980.668045715815</c:v>
                </c:pt>
                <c:pt idx="986">
                  <c:v>24983.329640170105</c:v>
                </c:pt>
                <c:pt idx="987">
                  <c:v>24985.794501303029</c:v>
                </c:pt>
                <c:pt idx="988">
                  <c:v>24988.062531806088</c:v>
                </c:pt>
                <c:pt idx="989">
                  <c:v>24990.133642141322</c:v>
                </c:pt>
                <c:pt idx="990">
                  <c:v>24992.007750544843</c:v>
                </c:pt>
                <c:pt idx="991">
                  <c:v>24993.684783030061</c:v>
                </c:pt>
                <c:pt idx="992">
                  <c:v>24995.164673390602</c:v>
                </c:pt>
                <c:pt idx="993">
                  <c:v>24996.447363202926</c:v>
                </c:pt>
                <c:pt idx="994">
                  <c:v>24997.532801828638</c:v>
                </c:pt>
                <c:pt idx="995">
                  <c:v>24998.420946416485</c:v>
                </c:pt>
                <c:pt idx="996">
                  <c:v>24999.111761904034</c:v>
                </c:pt>
                <c:pt idx="997">
                  <c:v>24999.605221019076</c:v>
                </c:pt>
                <c:pt idx="998">
                  <c:v>24999.901304280684</c:v>
                </c:pt>
                <c:pt idx="999">
                  <c:v>25000</c:v>
                </c:pt>
              </c:numCache>
            </c:numRef>
          </c:xVal>
          <c:yVal>
            <c:numRef>
              <c:f>Feuil1!$Q$12:$Q$1011</c:f>
              <c:numCache>
                <c:formatCode>General</c:formatCode>
                <c:ptCount val="1000"/>
                <c:pt idx="0">
                  <c:v>7531.4157198277944</c:v>
                </c:pt>
                <c:pt idx="1">
                  <c:v>7562.8301994167632</c:v>
                </c:pt>
                <c:pt idx="2">
                  <c:v>7594.2421985770407</c:v>
                </c:pt>
                <c:pt idx="3">
                  <c:v>7625.6504772166872</c:v>
                </c:pt>
                <c:pt idx="4">
                  <c:v>7657.0537953906414</c:v>
                </c:pt>
                <c:pt idx="5">
                  <c:v>7688.4509133496731</c:v>
                </c:pt>
                <c:pt idx="6">
                  <c:v>7719.8405915893245</c:v>
                </c:pt>
                <c:pt idx="7">
                  <c:v>7751.2215908988474</c:v>
                </c:pt>
                <c:pt idx="8">
                  <c:v>7782.5926724101228</c:v>
                </c:pt>
                <c:pt idx="9">
                  <c:v>7813.9525976465666</c:v>
                </c:pt>
                <c:pt idx="10">
                  <c:v>7845.3001285720293</c:v>
                </c:pt>
                <c:pt idx="11">
                  <c:v>7876.6340276396631</c:v>
                </c:pt>
                <c:pt idx="12">
                  <c:v>7907.9530578407876</c:v>
                </c:pt>
                <c:pt idx="13">
                  <c:v>7939.2559827537161</c:v>
                </c:pt>
                <c:pt idx="14">
                  <c:v>7970.5415665925711</c:v>
                </c:pt>
                <c:pt idx="15">
                  <c:v>8001.8085742560743</c:v>
                </c:pt>
                <c:pt idx="16">
                  <c:v>8033.0557713762992</c:v>
                </c:pt>
                <c:pt idx="17">
                  <c:v>8064.2819243674085</c:v>
                </c:pt>
                <c:pt idx="18">
                  <c:v>8095.4858004743483</c:v>
                </c:pt>
                <c:pt idx="19">
                  <c:v>8126.6661678215214</c:v>
                </c:pt>
                <c:pt idx="20">
                  <c:v>8157.821795461412</c:v>
                </c:pt>
                <c:pt idx="21">
                  <c:v>8188.9514534231903</c:v>
                </c:pt>
                <c:pt idx="22">
                  <c:v>8220.053912761261</c:v>
                </c:pt>
                <c:pt idx="23">
                  <c:v>8251.1279456037846</c:v>
                </c:pt>
                <c:pt idx="24">
                  <c:v>8282.1723252011543</c:v>
                </c:pt>
                <c:pt idx="25">
                  <c:v>8313.1858259744185</c:v>
                </c:pt>
                <c:pt idx="26">
                  <c:v>8344.1672235636688</c:v>
                </c:pt>
                <c:pt idx="27">
                  <c:v>8375.1152948763793</c:v>
                </c:pt>
                <c:pt idx="28">
                  <c:v>8406.0288181356864</c:v>
                </c:pt>
                <c:pt idx="29">
                  <c:v>8436.9065729286231</c:v>
                </c:pt>
                <c:pt idx="30">
                  <c:v>8467.7473402543001</c:v>
                </c:pt>
                <c:pt idx="31">
                  <c:v>8498.5499025720346</c:v>
                </c:pt>
                <c:pt idx="32">
                  <c:v>8529.3130438494063</c:v>
                </c:pt>
                <c:pt idx="33">
                  <c:v>8560.0355496102729</c:v>
                </c:pt>
                <c:pt idx="34">
                  <c:v>8590.7162069827118</c:v>
                </c:pt>
                <c:pt idx="35">
                  <c:v>8621.3538047469046</c:v>
                </c:pt>
                <c:pt idx="36">
                  <c:v>8651.9471333829533</c:v>
                </c:pt>
                <c:pt idx="37">
                  <c:v>8682.4949851186229</c:v>
                </c:pt>
                <c:pt idx="38">
                  <c:v>8712.9961539770375</c:v>
                </c:pt>
                <c:pt idx="39">
                  <c:v>8743.4494358242737</c:v>
                </c:pt>
                <c:pt idx="40">
                  <c:v>8773.8536284169113</c:v>
                </c:pt>
                <c:pt idx="41">
                  <c:v>8804.207531449485</c:v>
                </c:pt>
                <c:pt idx="42">
                  <c:v>8834.5099466018783</c:v>
                </c:pt>
                <c:pt idx="43">
                  <c:v>8864.7596775866259</c:v>
                </c:pt>
                <c:pt idx="44">
                  <c:v>8894.9555301961464</c:v>
                </c:pt>
                <c:pt idx="45">
                  <c:v>8925.0963123498805</c:v>
                </c:pt>
                <c:pt idx="46">
                  <c:v>8955.1808341413598</c:v>
                </c:pt>
                <c:pt idx="47">
                  <c:v>8985.2079078851748</c:v>
                </c:pt>
                <c:pt idx="48">
                  <c:v>9015.17634816387</c:v>
                </c:pt>
                <c:pt idx="49">
                  <c:v>9045.0849718747377</c:v>
                </c:pt>
                <c:pt idx="50">
                  <c:v>9074.932598276524</c:v>
                </c:pt>
                <c:pt idx="51">
                  <c:v>9104.7180490360479</c:v>
                </c:pt>
                <c:pt idx="52">
                  <c:v>9134.4401482747126</c:v>
                </c:pt>
                <c:pt idx="53">
                  <c:v>9164.0977226149334</c:v>
                </c:pt>
                <c:pt idx="54">
                  <c:v>9193.6896012264569</c:v>
                </c:pt>
                <c:pt idx="55">
                  <c:v>9223.2146158725845</c:v>
                </c:pt>
                <c:pt idx="56">
                  <c:v>9252.6716009562952</c:v>
                </c:pt>
                <c:pt idx="57">
                  <c:v>9282.0593935662528</c:v>
                </c:pt>
                <c:pt idx="58">
                  <c:v>9311.3768335227287</c:v>
                </c:pt>
                <c:pt idx="59">
                  <c:v>9340.6227634233892</c:v>
                </c:pt>
                <c:pt idx="60">
                  <c:v>9369.7960286890011</c:v>
                </c:pt>
                <c:pt idx="61">
                  <c:v>9398.895477609005</c:v>
                </c:pt>
                <c:pt idx="62">
                  <c:v>9427.9199613869823</c:v>
                </c:pt>
                <c:pt idx="63">
                  <c:v>9456.8683341860124</c:v>
                </c:pt>
                <c:pt idx="64">
                  <c:v>9485.7394531739028</c:v>
                </c:pt>
                <c:pt idx="65">
                  <c:v>9514.5321785683136</c:v>
                </c:pt>
                <c:pt idx="66">
                  <c:v>9543.2453736817442</c:v>
                </c:pt>
                <c:pt idx="67">
                  <c:v>9571.8779049664208</c:v>
                </c:pt>
                <c:pt idx="68">
                  <c:v>9600.4286420590306</c:v>
                </c:pt>
                <c:pt idx="69">
                  <c:v>9628.8964578253617</c:v>
                </c:pt>
                <c:pt idx="70">
                  <c:v>9657.2802284047939</c:v>
                </c:pt>
                <c:pt idx="71">
                  <c:v>9685.5788332546636</c:v>
                </c:pt>
                <c:pt idx="72">
                  <c:v>9713.7911551945072</c:v>
                </c:pt>
                <c:pt idx="73">
                  <c:v>9741.9160804501607</c:v>
                </c:pt>
                <c:pt idx="74">
                  <c:v>9769.952498697734</c:v>
                </c:pt>
                <c:pt idx="75">
                  <c:v>9797.8993031074388</c:v>
                </c:pt>
                <c:pt idx="76">
                  <c:v>9825.7553903872904</c:v>
                </c:pt>
                <c:pt idx="77">
                  <c:v>9853.5196608266633</c:v>
                </c:pt>
                <c:pt idx="78">
                  <c:v>9881.191018339694</c:v>
                </c:pt>
                <c:pt idx="79">
                  <c:v>9908.7683705085765</c:v>
                </c:pt>
                <c:pt idx="80">
                  <c:v>9936.2506286266616</c:v>
                </c:pt>
                <c:pt idx="81">
                  <c:v>9963.6367077414579</c:v>
                </c:pt>
                <c:pt idx="82">
                  <c:v>9990.9255266974542</c:v>
                </c:pt>
                <c:pt idx="83">
                  <c:v>10018.116008178804</c:v>
                </c:pt>
                <c:pt idx="84">
                  <c:v>10045.207078751857</c:v>
                </c:pt>
                <c:pt idx="85">
                  <c:v>10072.197668907533</c:v>
                </c:pt>
                <c:pt idx="86">
                  <c:v>10099.086713103548</c:v>
                </c:pt>
                <c:pt idx="87">
                  <c:v>10125.873149806481</c:v>
                </c:pt>
                <c:pt idx="88">
                  <c:v>10152.555921533673</c:v>
                </c:pt>
                <c:pt idx="89">
                  <c:v>10179.133974894985</c:v>
                </c:pt>
                <c:pt idx="90">
                  <c:v>10205.60626063438</c:v>
                </c:pt>
                <c:pt idx="91">
                  <c:v>10231.971733671347</c:v>
                </c:pt>
                <c:pt idx="92">
                  <c:v>10258.229353142153</c:v>
                </c:pt>
                <c:pt idx="93">
                  <c:v>10284.378082440942</c:v>
                </c:pt>
                <c:pt idx="94">
                  <c:v>10310.416889260656</c:v>
                </c:pt>
                <c:pt idx="95">
                  <c:v>10336.344745633785</c:v>
                </c:pt>
                <c:pt idx="96">
                  <c:v>10362.160627972957</c:v>
                </c:pt>
                <c:pt idx="97">
                  <c:v>10387.863517111342</c:v>
                </c:pt>
                <c:pt idx="98">
                  <c:v>10413.452398342884</c:v>
                </c:pt>
                <c:pt idx="99">
                  <c:v>10438.926261462369</c:v>
                </c:pt>
                <c:pt idx="100">
                  <c:v>10464.2841008053</c:v>
                </c:pt>
                <c:pt idx="101">
                  <c:v>10489.524915287599</c:v>
                </c:pt>
                <c:pt idx="102">
                  <c:v>10514.647708445129</c:v>
                </c:pt>
                <c:pt idx="103">
                  <c:v>10539.651488473031</c:v>
                </c:pt>
                <c:pt idx="104">
                  <c:v>10564.535268264888</c:v>
                </c:pt>
                <c:pt idx="105">
                  <c:v>10589.298065451676</c:v>
                </c:pt>
                <c:pt idx="106">
                  <c:v>10613.938902440568</c:v>
                </c:pt>
                <c:pt idx="107">
                  <c:v>10638.456806453509</c:v>
                </c:pt>
                <c:pt idx="108">
                  <c:v>10662.850809565627</c:v>
                </c:pt>
                <c:pt idx="109">
                  <c:v>10687.119948743453</c:v>
                </c:pt>
                <c:pt idx="110">
                  <c:v>10711.263265882928</c:v>
                </c:pt>
                <c:pt idx="111">
                  <c:v>10735.279807847228</c:v>
                </c:pt>
                <c:pt idx="112">
                  <c:v>10759.168626504401</c:v>
                </c:pt>
                <c:pt idx="113">
                  <c:v>10782.928778764788</c:v>
                </c:pt>
                <c:pt idx="114">
                  <c:v>10806.559326618266</c:v>
                </c:pt>
                <c:pt idx="115">
                  <c:v>10830.059337171264</c:v>
                </c:pt>
                <c:pt idx="116">
                  <c:v>10853.427882683607</c:v>
                </c:pt>
                <c:pt idx="117">
                  <c:v>10876.66404060513</c:v>
                </c:pt>
                <c:pt idx="118">
                  <c:v>10899.766893612104</c:v>
                </c:pt>
                <c:pt idx="119">
                  <c:v>10922.735529643451</c:v>
                </c:pt>
                <c:pt idx="120">
                  <c:v>10945.569041936749</c:v>
                </c:pt>
                <c:pt idx="121">
                  <c:v>10968.266529064033</c:v>
                </c:pt>
                <c:pt idx="122">
                  <c:v>10990.827094967372</c:v>
                </c:pt>
                <c:pt idx="123">
                  <c:v>11013.249848994254</c:v>
                </c:pt>
                <c:pt idx="124">
                  <c:v>11035.533905932745</c:v>
                </c:pt>
                <c:pt idx="125">
                  <c:v>11057.678386046435</c:v>
                </c:pt>
                <c:pt idx="126">
                  <c:v>11079.682415109164</c:v>
                </c:pt>
                <c:pt idx="127">
                  <c:v>11101.545124439543</c:v>
                </c:pt>
                <c:pt idx="128">
                  <c:v>11123.265650935242</c:v>
                </c:pt>
                <c:pt idx="129">
                  <c:v>11144.843137107066</c:v>
                </c:pt>
                <c:pt idx="130">
                  <c:v>11166.276731112808</c:v>
                </c:pt>
                <c:pt idx="131">
                  <c:v>11187.565586790879</c:v>
                </c:pt>
                <c:pt idx="132">
                  <c:v>11208.708863693706</c:v>
                </c:pt>
                <c:pt idx="133">
                  <c:v>11229.70572712092</c:v>
                </c:pt>
                <c:pt idx="134">
                  <c:v>11250.555348152307</c:v>
                </c:pt>
                <c:pt idx="135">
                  <c:v>11271.256903680529</c:v>
                </c:pt>
                <c:pt idx="136">
                  <c:v>11291.809576443618</c:v>
                </c:pt>
                <c:pt idx="137">
                  <c:v>11312.212555057249</c:v>
                </c:pt>
                <c:pt idx="138">
                  <c:v>11332.46503404676</c:v>
                </c:pt>
                <c:pt idx="139">
                  <c:v>11352.566213878956</c:v>
                </c:pt>
                <c:pt idx="140">
                  <c:v>11372.515300993678</c:v>
                </c:pt>
                <c:pt idx="141">
                  <c:v>11392.311507835127</c:v>
                </c:pt>
                <c:pt idx="142">
                  <c:v>11411.954052882951</c:v>
                </c:pt>
                <c:pt idx="143">
                  <c:v>11431.442160683106</c:v>
                </c:pt>
                <c:pt idx="144">
                  <c:v>11450.775061878463</c:v>
                </c:pt>
                <c:pt idx="145">
                  <c:v>11469.951993239187</c:v>
                </c:pt>
                <c:pt idx="146">
                  <c:v>11488.972197692865</c:v>
                </c:pt>
                <c:pt idx="147">
                  <c:v>11507.834924354393</c:v>
                </c:pt>
                <c:pt idx="148">
                  <c:v>11526.539428555621</c:v>
                </c:pt>
                <c:pt idx="149">
                  <c:v>11545.084971874749</c:v>
                </c:pt>
                <c:pt idx="150">
                  <c:v>11563.47082216548</c:v>
                </c:pt>
                <c:pt idx="151">
                  <c:v>11581.696253585931</c:v>
                </c:pt>
                <c:pt idx="152">
                  <c:v>11599.760546627273</c:v>
                </c:pt>
                <c:pt idx="153">
                  <c:v>11617.662988142147</c:v>
                </c:pt>
                <c:pt idx="154">
                  <c:v>11635.40287137282</c:v>
                </c:pt>
                <c:pt idx="155">
                  <c:v>11652.979495979074</c:v>
                </c:pt>
                <c:pt idx="156">
                  <c:v>11670.392168065868</c:v>
                </c:pt>
                <c:pt idx="157">
                  <c:v>11687.640200210721</c:v>
                </c:pt>
                <c:pt idx="158">
                  <c:v>11704.722911490855</c:v>
                </c:pt>
                <c:pt idx="159">
                  <c:v>11721.639627510085</c:v>
                </c:pt>
                <c:pt idx="160">
                  <c:v>11738.389680425427</c:v>
                </c:pt>
                <c:pt idx="161">
                  <c:v>11754.97240897347</c:v>
                </c:pt>
                <c:pt idx="162">
                  <c:v>11771.387158496487</c:v>
                </c:pt>
                <c:pt idx="163">
                  <c:v>11787.633280968272</c:v>
                </c:pt>
                <c:pt idx="164">
                  <c:v>11803.71013501973</c:v>
                </c:pt>
                <c:pt idx="165">
                  <c:v>11819.617085964186</c:v>
                </c:pt>
                <c:pt idx="166">
                  <c:v>11835.353505822462</c:v>
                </c:pt>
                <c:pt idx="167">
                  <c:v>11850.918773347639</c:v>
                </c:pt>
                <c:pt idx="168">
                  <c:v>11866.312274049611</c:v>
                </c:pt>
                <c:pt idx="169">
                  <c:v>11881.53340021933</c:v>
                </c:pt>
                <c:pt idx="170">
                  <c:v>11896.581550952793</c:v>
                </c:pt>
                <c:pt idx="171">
                  <c:v>11911.456132174779</c:v>
                </c:pt>
                <c:pt idx="172">
                  <c:v>11926.156556662287</c:v>
                </c:pt>
                <c:pt idx="173">
                  <c:v>11940.682244067733</c:v>
                </c:pt>
                <c:pt idx="174">
                  <c:v>11955.032620941849</c:v>
                </c:pt>
                <c:pt idx="175">
                  <c:v>11969.207120756331</c:v>
                </c:pt>
                <c:pt idx="176">
                  <c:v>11983.205183926191</c:v>
                </c:pt>
                <c:pt idx="177">
                  <c:v>11997.026257831865</c:v>
                </c:pt>
                <c:pt idx="178">
                  <c:v>12010.669796841026</c:v>
                </c:pt>
                <c:pt idx="179">
                  <c:v>12024.135262330108</c:v>
                </c:pt>
                <c:pt idx="180">
                  <c:v>12037.422122705597</c:v>
                </c:pt>
                <c:pt idx="181">
                  <c:v>12050.529853424989</c:v>
                </c:pt>
                <c:pt idx="182">
                  <c:v>12063.457937017525</c:v>
                </c:pt>
                <c:pt idx="183">
                  <c:v>12076.205863104598</c:v>
                </c:pt>
                <c:pt idx="184">
                  <c:v>12088.773128419916</c:v>
                </c:pt>
                <c:pt idx="185">
                  <c:v>12101.159236829362</c:v>
                </c:pt>
                <c:pt idx="186">
                  <c:v>12113.363699350586</c:v>
                </c:pt>
                <c:pt idx="187">
                  <c:v>12125.386034172301</c:v>
                </c:pt>
                <c:pt idx="188">
                  <c:v>12137.225766673317</c:v>
                </c:pt>
                <c:pt idx="189">
                  <c:v>12148.882429441266</c:v>
                </c:pt>
                <c:pt idx="190">
                  <c:v>12160.355562291064</c:v>
                </c:pt>
                <c:pt idx="191">
                  <c:v>12171.64471228307</c:v>
                </c:pt>
                <c:pt idx="192">
                  <c:v>12182.749433740972</c:v>
                </c:pt>
                <c:pt idx="193">
                  <c:v>12193.669288269381</c:v>
                </c:pt>
                <c:pt idx="194">
                  <c:v>12204.403844771137</c:v>
                </c:pt>
                <c:pt idx="195">
                  <c:v>12214.952679464332</c:v>
                </c:pt>
                <c:pt idx="196">
                  <c:v>12225.315375899034</c:v>
                </c:pt>
                <c:pt idx="197">
                  <c:v>12235.491524973731</c:v>
                </c:pt>
                <c:pt idx="198">
                  <c:v>12245.480724951482</c:v>
                </c:pt>
                <c:pt idx="199">
                  <c:v>12255.282581475778</c:v>
                </c:pt>
                <c:pt idx="200">
                  <c:v>12264.896707586104</c:v>
                </c:pt>
                <c:pt idx="201">
                  <c:v>12274.322723733225</c:v>
                </c:pt>
                <c:pt idx="202">
                  <c:v>12283.560257794161</c:v>
                </c:pt>
                <c:pt idx="203">
                  <c:v>12292.608945086889</c:v>
                </c:pt>
                <c:pt idx="204">
                  <c:v>12301.468428384724</c:v>
                </c:pt>
                <c:pt idx="205">
                  <c:v>12310.138357930438</c:v>
                </c:pt>
                <c:pt idx="206">
                  <c:v>12318.618391450058</c:v>
                </c:pt>
                <c:pt idx="207">
                  <c:v>12326.908194166379</c:v>
                </c:pt>
                <c:pt idx="208">
                  <c:v>12335.007438812183</c:v>
                </c:pt>
                <c:pt idx="209">
                  <c:v>12342.915805643162</c:v>
                </c:pt>
                <c:pt idx="210">
                  <c:v>12350.632982450537</c:v>
                </c:pt>
                <c:pt idx="211">
                  <c:v>12358.158664573377</c:v>
                </c:pt>
                <c:pt idx="212">
                  <c:v>12365.492554910641</c:v>
                </c:pt>
                <c:pt idx="213">
                  <c:v>12372.634363932893</c:v>
                </c:pt>
                <c:pt idx="214">
                  <c:v>12379.583809693744</c:v>
                </c:pt>
                <c:pt idx="215">
                  <c:v>12386.340617840975</c:v>
                </c:pt>
                <c:pt idx="216">
                  <c:v>12392.904521627366</c:v>
                </c:pt>
                <c:pt idx="217">
                  <c:v>12399.275261921241</c:v>
                </c:pt>
                <c:pt idx="218">
                  <c:v>12405.452587216678</c:v>
                </c:pt>
                <c:pt idx="219">
                  <c:v>12411.436253643449</c:v>
                </c:pt>
                <c:pt idx="220">
                  <c:v>12417.226024976655</c:v>
                </c:pt>
                <c:pt idx="221">
                  <c:v>12422.821672646034</c:v>
                </c:pt>
                <c:pt idx="222">
                  <c:v>12428.222975744997</c:v>
                </c:pt>
                <c:pt idx="223">
                  <c:v>12433.429721039345</c:v>
                </c:pt>
                <c:pt idx="224">
                  <c:v>12438.441702975695</c:v>
                </c:pt>
                <c:pt idx="225">
                  <c:v>12443.258723689576</c:v>
                </c:pt>
                <c:pt idx="226">
                  <c:v>12447.88059301326</c:v>
                </c:pt>
                <c:pt idx="227">
                  <c:v>12452.307128483262</c:v>
                </c:pt>
                <c:pt idx="228">
                  <c:v>12456.538155347538</c:v>
                </c:pt>
                <c:pt idx="229">
                  <c:v>12460.573506572393</c:v>
                </c:pt>
                <c:pt idx="230">
                  <c:v>12464.413022849072</c:v>
                </c:pt>
                <c:pt idx="231">
                  <c:v>12468.056552600046</c:v>
                </c:pt>
                <c:pt idx="232">
                  <c:v>12471.503951985</c:v>
                </c:pt>
                <c:pt idx="233">
                  <c:v>12474.755084906505</c:v>
                </c:pt>
                <c:pt idx="234">
                  <c:v>12477.809823015403</c:v>
                </c:pt>
                <c:pt idx="235">
                  <c:v>12480.668045715865</c:v>
                </c:pt>
                <c:pt idx="236">
                  <c:v>12483.329640170152</c:v>
                </c:pt>
                <c:pt idx="237">
                  <c:v>12485.794501303073</c:v>
                </c:pt>
                <c:pt idx="238">
                  <c:v>12488.062531806128</c:v>
                </c:pt>
                <c:pt idx="239">
                  <c:v>12490.133642141362</c:v>
                </c:pt>
                <c:pt idx="240">
                  <c:v>12492.007750544877</c:v>
                </c:pt>
                <c:pt idx="241">
                  <c:v>12493.68478303009</c:v>
                </c:pt>
                <c:pt idx="242">
                  <c:v>12495.164673390625</c:v>
                </c:pt>
                <c:pt idx="243">
                  <c:v>12496.447363202948</c:v>
                </c:pt>
                <c:pt idx="244">
                  <c:v>12497.53280182866</c:v>
                </c:pt>
                <c:pt idx="245">
                  <c:v>12498.4209464165</c:v>
                </c:pt>
                <c:pt idx="246">
                  <c:v>12499.111761904045</c:v>
                </c:pt>
                <c:pt idx="247">
                  <c:v>12499.605221019081</c:v>
                </c:pt>
                <c:pt idx="248">
                  <c:v>12499.901304280687</c:v>
                </c:pt>
                <c:pt idx="249">
                  <c:v>12500</c:v>
                </c:pt>
                <c:pt idx="250">
                  <c:v>12499.901304280686</c:v>
                </c:pt>
                <c:pt idx="251">
                  <c:v>12499.605221019079</c:v>
                </c:pt>
                <c:pt idx="252">
                  <c:v>12499.111761904045</c:v>
                </c:pt>
                <c:pt idx="253">
                  <c:v>12498.4209464165</c:v>
                </c:pt>
                <c:pt idx="254">
                  <c:v>12497.532801828656</c:v>
                </c:pt>
                <c:pt idx="255">
                  <c:v>12496.447363202944</c:v>
                </c:pt>
                <c:pt idx="256">
                  <c:v>12495.164673390622</c:v>
                </c:pt>
                <c:pt idx="257">
                  <c:v>12493.684783030085</c:v>
                </c:pt>
                <c:pt idx="258">
                  <c:v>12492.007750544872</c:v>
                </c:pt>
                <c:pt idx="259">
                  <c:v>12490.133642141354</c:v>
                </c:pt>
                <c:pt idx="260">
                  <c:v>12488.062531806123</c:v>
                </c:pt>
                <c:pt idx="261">
                  <c:v>12485.794501303066</c:v>
                </c:pt>
                <c:pt idx="262">
                  <c:v>12483.329640170145</c:v>
                </c:pt>
                <c:pt idx="263">
                  <c:v>12480.668045715858</c:v>
                </c:pt>
                <c:pt idx="264">
                  <c:v>12477.809823015396</c:v>
                </c:pt>
                <c:pt idx="265">
                  <c:v>12474.755084906496</c:v>
                </c:pt>
                <c:pt idx="266">
                  <c:v>12471.503951984989</c:v>
                </c:pt>
                <c:pt idx="267">
                  <c:v>12468.056552600036</c:v>
                </c:pt>
                <c:pt idx="268">
                  <c:v>12464.413022849061</c:v>
                </c:pt>
                <c:pt idx="269">
                  <c:v>12460.573506572382</c:v>
                </c:pt>
                <c:pt idx="270">
                  <c:v>12456.538155347527</c:v>
                </c:pt>
                <c:pt idx="271">
                  <c:v>12452.307128483249</c:v>
                </c:pt>
                <c:pt idx="272">
                  <c:v>12447.880593013248</c:v>
                </c:pt>
                <c:pt idx="273">
                  <c:v>12443.258723689563</c:v>
                </c:pt>
                <c:pt idx="274">
                  <c:v>12438.441702975681</c:v>
                </c:pt>
                <c:pt idx="275">
                  <c:v>12433.429721039331</c:v>
                </c:pt>
                <c:pt idx="276">
                  <c:v>12428.222975744982</c:v>
                </c:pt>
                <c:pt idx="277">
                  <c:v>12422.821672646018</c:v>
                </c:pt>
                <c:pt idx="278">
                  <c:v>12417.22602497664</c:v>
                </c:pt>
                <c:pt idx="279">
                  <c:v>12411.436253643435</c:v>
                </c:pt>
                <c:pt idx="280">
                  <c:v>12405.45258721666</c:v>
                </c:pt>
                <c:pt idx="281">
                  <c:v>12399.275261921222</c:v>
                </c:pt>
                <c:pt idx="282">
                  <c:v>12392.90452162735</c:v>
                </c:pt>
                <c:pt idx="283">
                  <c:v>12386.340617840957</c:v>
                </c:pt>
                <c:pt idx="284">
                  <c:v>12379.583809693726</c:v>
                </c:pt>
                <c:pt idx="285">
                  <c:v>12372.634363932873</c:v>
                </c:pt>
                <c:pt idx="286">
                  <c:v>12365.492554910619</c:v>
                </c:pt>
                <c:pt idx="287">
                  <c:v>12358.158664573357</c:v>
                </c:pt>
                <c:pt idx="288">
                  <c:v>12350.632982450516</c:v>
                </c:pt>
                <c:pt idx="289">
                  <c:v>12342.915805643142</c:v>
                </c:pt>
                <c:pt idx="290">
                  <c:v>12335.007438812161</c:v>
                </c:pt>
                <c:pt idx="291">
                  <c:v>12326.908194166355</c:v>
                </c:pt>
                <c:pt idx="292">
                  <c:v>12318.618391450033</c:v>
                </c:pt>
                <c:pt idx="293">
                  <c:v>12310.138357930413</c:v>
                </c:pt>
                <c:pt idx="294">
                  <c:v>12301.4684283847</c:v>
                </c:pt>
                <c:pt idx="295">
                  <c:v>12292.608945086864</c:v>
                </c:pt>
                <c:pt idx="296">
                  <c:v>12283.560257794135</c:v>
                </c:pt>
                <c:pt idx="297">
                  <c:v>12274.322723733199</c:v>
                </c:pt>
                <c:pt idx="298">
                  <c:v>12264.896707586076</c:v>
                </c:pt>
                <c:pt idx="299">
                  <c:v>12255.282581475749</c:v>
                </c:pt>
                <c:pt idx="300">
                  <c:v>12245.480724951454</c:v>
                </c:pt>
                <c:pt idx="301">
                  <c:v>12235.491524973702</c:v>
                </c:pt>
                <c:pt idx="302">
                  <c:v>12225.315375899005</c:v>
                </c:pt>
                <c:pt idx="303">
                  <c:v>12214.952679464302</c:v>
                </c:pt>
                <c:pt idx="304">
                  <c:v>12204.403844771106</c:v>
                </c:pt>
                <c:pt idx="305">
                  <c:v>12193.66928826935</c:v>
                </c:pt>
                <c:pt idx="306">
                  <c:v>12182.749433740941</c:v>
                </c:pt>
                <c:pt idx="307">
                  <c:v>12171.64471228304</c:v>
                </c:pt>
                <c:pt idx="308">
                  <c:v>12160.355562291033</c:v>
                </c:pt>
                <c:pt idx="309">
                  <c:v>12148.882429441235</c:v>
                </c:pt>
                <c:pt idx="310">
                  <c:v>12137.225766673284</c:v>
                </c:pt>
                <c:pt idx="311">
                  <c:v>12125.386034172268</c:v>
                </c:pt>
                <c:pt idx="312">
                  <c:v>12113.36369935055</c:v>
                </c:pt>
                <c:pt idx="313">
                  <c:v>12101.159236829328</c:v>
                </c:pt>
                <c:pt idx="314">
                  <c:v>12088.773128419882</c:v>
                </c:pt>
                <c:pt idx="315">
                  <c:v>12076.205863104562</c:v>
                </c:pt>
                <c:pt idx="316">
                  <c:v>12063.457937017489</c:v>
                </c:pt>
                <c:pt idx="317">
                  <c:v>12050.529853424952</c:v>
                </c:pt>
                <c:pt idx="318">
                  <c:v>12037.422122705559</c:v>
                </c:pt>
                <c:pt idx="319">
                  <c:v>12024.13526233007</c:v>
                </c:pt>
                <c:pt idx="320">
                  <c:v>12010.669796840986</c:v>
                </c:pt>
                <c:pt idx="321">
                  <c:v>11997.026257831829</c:v>
                </c:pt>
                <c:pt idx="322">
                  <c:v>11983.205183926151</c:v>
                </c:pt>
                <c:pt idx="323">
                  <c:v>11969.207120756291</c:v>
                </c:pt>
                <c:pt idx="324">
                  <c:v>11955.032620941809</c:v>
                </c:pt>
                <c:pt idx="325">
                  <c:v>11940.682244067693</c:v>
                </c:pt>
                <c:pt idx="326">
                  <c:v>11926.156556662247</c:v>
                </c:pt>
                <c:pt idx="327">
                  <c:v>11911.456132174735</c:v>
                </c:pt>
                <c:pt idx="328">
                  <c:v>11896.581550952749</c:v>
                </c:pt>
                <c:pt idx="329">
                  <c:v>11881.533400219287</c:v>
                </c:pt>
                <c:pt idx="330">
                  <c:v>11866.312274049569</c:v>
                </c:pt>
                <c:pt idx="331">
                  <c:v>11850.918773347596</c:v>
                </c:pt>
                <c:pt idx="332">
                  <c:v>11835.353505822417</c:v>
                </c:pt>
                <c:pt idx="333">
                  <c:v>11819.617085964142</c:v>
                </c:pt>
                <c:pt idx="334">
                  <c:v>11803.710135019684</c:v>
                </c:pt>
                <c:pt idx="335">
                  <c:v>11787.633280968226</c:v>
                </c:pt>
                <c:pt idx="336">
                  <c:v>11771.38715849644</c:v>
                </c:pt>
                <c:pt idx="337">
                  <c:v>11754.972408973423</c:v>
                </c:pt>
                <c:pt idx="338">
                  <c:v>11738.38968042538</c:v>
                </c:pt>
                <c:pt idx="339">
                  <c:v>11721.639627510038</c:v>
                </c:pt>
                <c:pt idx="340">
                  <c:v>11704.722911490808</c:v>
                </c:pt>
                <c:pt idx="341">
                  <c:v>11687.64020021067</c:v>
                </c:pt>
                <c:pt idx="342">
                  <c:v>11670.392168065817</c:v>
                </c:pt>
                <c:pt idx="343">
                  <c:v>11652.979495979023</c:v>
                </c:pt>
                <c:pt idx="344">
                  <c:v>11635.402871372771</c:v>
                </c:pt>
                <c:pt idx="345">
                  <c:v>11617.662988142098</c:v>
                </c:pt>
                <c:pt idx="346">
                  <c:v>11599.760546627222</c:v>
                </c:pt>
                <c:pt idx="347">
                  <c:v>11581.69625358588</c:v>
                </c:pt>
                <c:pt idx="348">
                  <c:v>11563.470822165429</c:v>
                </c:pt>
                <c:pt idx="349">
                  <c:v>11545.084971874696</c:v>
                </c:pt>
                <c:pt idx="350">
                  <c:v>11526.539428555567</c:v>
                </c:pt>
                <c:pt idx="351">
                  <c:v>11507.83492435434</c:v>
                </c:pt>
                <c:pt idx="352">
                  <c:v>11488.972197692812</c:v>
                </c:pt>
                <c:pt idx="353">
                  <c:v>11469.951993239134</c:v>
                </c:pt>
                <c:pt idx="354">
                  <c:v>11450.775061878408</c:v>
                </c:pt>
                <c:pt idx="355">
                  <c:v>11431.442160683049</c:v>
                </c:pt>
                <c:pt idx="356">
                  <c:v>11411.954052882895</c:v>
                </c:pt>
                <c:pt idx="357">
                  <c:v>11392.311507835071</c:v>
                </c:pt>
                <c:pt idx="358">
                  <c:v>11372.515300993622</c:v>
                </c:pt>
                <c:pt idx="359">
                  <c:v>11352.566213878899</c:v>
                </c:pt>
                <c:pt idx="360">
                  <c:v>11332.465034046701</c:v>
                </c:pt>
                <c:pt idx="361">
                  <c:v>11312.212555057191</c:v>
                </c:pt>
                <c:pt idx="362">
                  <c:v>11291.80957644356</c:v>
                </c:pt>
                <c:pt idx="363">
                  <c:v>11271.256903680471</c:v>
                </c:pt>
                <c:pt idx="364">
                  <c:v>11250.555348152247</c:v>
                </c:pt>
                <c:pt idx="365">
                  <c:v>11229.705727120861</c:v>
                </c:pt>
                <c:pt idx="366">
                  <c:v>11208.708863693646</c:v>
                </c:pt>
                <c:pt idx="367">
                  <c:v>11187.565586790819</c:v>
                </c:pt>
                <c:pt idx="368">
                  <c:v>11166.276731112748</c:v>
                </c:pt>
                <c:pt idx="369">
                  <c:v>11144.843137107006</c:v>
                </c:pt>
                <c:pt idx="370">
                  <c:v>11123.26565093518</c:v>
                </c:pt>
                <c:pt idx="371">
                  <c:v>11101.545124439481</c:v>
                </c:pt>
                <c:pt idx="372">
                  <c:v>11079.682415109102</c:v>
                </c:pt>
                <c:pt idx="373">
                  <c:v>11057.678386046373</c:v>
                </c:pt>
                <c:pt idx="374">
                  <c:v>11035.533905932683</c:v>
                </c:pt>
                <c:pt idx="375">
                  <c:v>11013.24984899419</c:v>
                </c:pt>
                <c:pt idx="376">
                  <c:v>10990.827094967308</c:v>
                </c:pt>
                <c:pt idx="377">
                  <c:v>10968.266529063969</c:v>
                </c:pt>
                <c:pt idx="378">
                  <c:v>10945.569041936686</c:v>
                </c:pt>
                <c:pt idx="379">
                  <c:v>10922.735529643385</c:v>
                </c:pt>
                <c:pt idx="380">
                  <c:v>10899.766893612039</c:v>
                </c:pt>
                <c:pt idx="381">
                  <c:v>10876.664040605065</c:v>
                </c:pt>
                <c:pt idx="382">
                  <c:v>10853.427882683542</c:v>
                </c:pt>
                <c:pt idx="383">
                  <c:v>10830.059337171198</c:v>
                </c:pt>
                <c:pt idx="384">
                  <c:v>10806.559326618199</c:v>
                </c:pt>
                <c:pt idx="385">
                  <c:v>10782.928778764723</c:v>
                </c:pt>
                <c:pt idx="386">
                  <c:v>10759.168626504334</c:v>
                </c:pt>
                <c:pt idx="387">
                  <c:v>10735.279807847161</c:v>
                </c:pt>
                <c:pt idx="388">
                  <c:v>10711.263265882859</c:v>
                </c:pt>
                <c:pt idx="389">
                  <c:v>10687.119948743386</c:v>
                </c:pt>
                <c:pt idx="390">
                  <c:v>10662.85080956556</c:v>
                </c:pt>
                <c:pt idx="391">
                  <c:v>10638.456806453438</c:v>
                </c:pt>
                <c:pt idx="392">
                  <c:v>10613.938902440499</c:v>
                </c:pt>
                <c:pt idx="393">
                  <c:v>10589.298065451607</c:v>
                </c:pt>
                <c:pt idx="394">
                  <c:v>10564.535268264817</c:v>
                </c:pt>
                <c:pt idx="395">
                  <c:v>10539.651488472962</c:v>
                </c:pt>
                <c:pt idx="396">
                  <c:v>10514.647708445058</c:v>
                </c:pt>
                <c:pt idx="397">
                  <c:v>10489.524915287528</c:v>
                </c:pt>
                <c:pt idx="398">
                  <c:v>10464.284100805229</c:v>
                </c:pt>
                <c:pt idx="399">
                  <c:v>10438.926261462298</c:v>
                </c:pt>
                <c:pt idx="400">
                  <c:v>10413.452398342812</c:v>
                </c:pt>
                <c:pt idx="401">
                  <c:v>10387.863517111269</c:v>
                </c:pt>
                <c:pt idx="402">
                  <c:v>10362.160627972884</c:v>
                </c:pt>
                <c:pt idx="403">
                  <c:v>10336.344745633713</c:v>
                </c:pt>
                <c:pt idx="404">
                  <c:v>10310.416889260583</c:v>
                </c:pt>
                <c:pt idx="405">
                  <c:v>10284.37808244087</c:v>
                </c:pt>
                <c:pt idx="406">
                  <c:v>10258.22935314208</c:v>
                </c:pt>
                <c:pt idx="407">
                  <c:v>10231.971733671273</c:v>
                </c:pt>
                <c:pt idx="408">
                  <c:v>10205.606260634308</c:v>
                </c:pt>
                <c:pt idx="409">
                  <c:v>10179.13397489491</c:v>
                </c:pt>
                <c:pt idx="410">
                  <c:v>10152.555921533596</c:v>
                </c:pt>
                <c:pt idx="411">
                  <c:v>10125.873149806404</c:v>
                </c:pt>
                <c:pt idx="412">
                  <c:v>10099.086713103472</c:v>
                </c:pt>
                <c:pt idx="413">
                  <c:v>10072.197668907458</c:v>
                </c:pt>
                <c:pt idx="414">
                  <c:v>10045.207078751781</c:v>
                </c:pt>
                <c:pt idx="415">
                  <c:v>10018.116008178727</c:v>
                </c:pt>
                <c:pt idx="416">
                  <c:v>9990.9255266973778</c:v>
                </c:pt>
                <c:pt idx="417">
                  <c:v>9963.6367077413815</c:v>
                </c:pt>
                <c:pt idx="418">
                  <c:v>9936.2506286265834</c:v>
                </c:pt>
                <c:pt idx="419">
                  <c:v>9908.7683705084983</c:v>
                </c:pt>
                <c:pt idx="420">
                  <c:v>9881.1910183396176</c:v>
                </c:pt>
                <c:pt idx="421">
                  <c:v>9853.5196608265833</c:v>
                </c:pt>
                <c:pt idx="422">
                  <c:v>9825.7553903872122</c:v>
                </c:pt>
                <c:pt idx="423">
                  <c:v>9797.8993031073587</c:v>
                </c:pt>
                <c:pt idx="424">
                  <c:v>9769.9524986976539</c:v>
                </c:pt>
                <c:pt idx="425">
                  <c:v>9741.9160804500807</c:v>
                </c:pt>
                <c:pt idx="426">
                  <c:v>9713.7911551944253</c:v>
                </c:pt>
                <c:pt idx="427">
                  <c:v>9685.5788332545817</c:v>
                </c:pt>
                <c:pt idx="428">
                  <c:v>9657.280228404712</c:v>
                </c:pt>
                <c:pt idx="429">
                  <c:v>9628.8964578252799</c:v>
                </c:pt>
                <c:pt idx="430">
                  <c:v>9600.4286420589488</c:v>
                </c:pt>
                <c:pt idx="431">
                  <c:v>9571.8779049663372</c:v>
                </c:pt>
                <c:pt idx="432">
                  <c:v>9543.2453736816606</c:v>
                </c:pt>
                <c:pt idx="433">
                  <c:v>9514.5321785682281</c:v>
                </c:pt>
                <c:pt idx="434">
                  <c:v>9485.7394531738173</c:v>
                </c:pt>
                <c:pt idx="435">
                  <c:v>9456.8683341859269</c:v>
                </c:pt>
                <c:pt idx="436">
                  <c:v>9427.9199613868968</c:v>
                </c:pt>
                <c:pt idx="437">
                  <c:v>9398.8954776089195</c:v>
                </c:pt>
                <c:pt idx="438">
                  <c:v>9369.7960286889138</c:v>
                </c:pt>
                <c:pt idx="439">
                  <c:v>9340.6227634233019</c:v>
                </c:pt>
                <c:pt idx="440">
                  <c:v>9311.3768335226396</c:v>
                </c:pt>
                <c:pt idx="441">
                  <c:v>9282.0593935661655</c:v>
                </c:pt>
                <c:pt idx="442">
                  <c:v>9252.671600956206</c:v>
                </c:pt>
                <c:pt idx="443">
                  <c:v>9223.2146158724954</c:v>
                </c:pt>
                <c:pt idx="444">
                  <c:v>9193.689601226366</c:v>
                </c:pt>
                <c:pt idx="445">
                  <c:v>9164.0977226148425</c:v>
                </c:pt>
                <c:pt idx="446">
                  <c:v>9134.4401482746216</c:v>
                </c:pt>
                <c:pt idx="447">
                  <c:v>9104.7180490359551</c:v>
                </c:pt>
                <c:pt idx="448">
                  <c:v>9074.9325982764312</c:v>
                </c:pt>
                <c:pt idx="449">
                  <c:v>9045.0849718746449</c:v>
                </c:pt>
                <c:pt idx="450">
                  <c:v>9015.1763481637772</c:v>
                </c:pt>
                <c:pt idx="451">
                  <c:v>8985.207907885082</c:v>
                </c:pt>
                <c:pt idx="452">
                  <c:v>8955.1808341412652</c:v>
                </c:pt>
                <c:pt idx="453">
                  <c:v>8925.0963123497859</c:v>
                </c:pt>
                <c:pt idx="454">
                  <c:v>8894.9555301960518</c:v>
                </c:pt>
                <c:pt idx="455">
                  <c:v>8864.7596775865313</c:v>
                </c:pt>
                <c:pt idx="456">
                  <c:v>8834.5099466017818</c:v>
                </c:pt>
                <c:pt idx="457">
                  <c:v>8804.2075314493886</c:v>
                </c:pt>
                <c:pt idx="458">
                  <c:v>8773.8536284168149</c:v>
                </c:pt>
                <c:pt idx="459">
                  <c:v>8743.4494358241773</c:v>
                </c:pt>
                <c:pt idx="460">
                  <c:v>8712.9961539769392</c:v>
                </c:pt>
                <c:pt idx="461">
                  <c:v>8682.4949851185265</c:v>
                </c:pt>
                <c:pt idx="462">
                  <c:v>8651.9471333828551</c:v>
                </c:pt>
                <c:pt idx="463">
                  <c:v>8621.3538047468082</c:v>
                </c:pt>
                <c:pt idx="464">
                  <c:v>8590.7162069826136</c:v>
                </c:pt>
                <c:pt idx="465">
                  <c:v>8560.0355496101747</c:v>
                </c:pt>
                <c:pt idx="466">
                  <c:v>8529.3130438493063</c:v>
                </c:pt>
                <c:pt idx="467">
                  <c:v>8498.5499025719346</c:v>
                </c:pt>
                <c:pt idx="468">
                  <c:v>8467.7473402542018</c:v>
                </c:pt>
                <c:pt idx="469">
                  <c:v>8436.906572928523</c:v>
                </c:pt>
                <c:pt idx="470">
                  <c:v>8406.0288181355863</c:v>
                </c:pt>
                <c:pt idx="471">
                  <c:v>8375.1152948762792</c:v>
                </c:pt>
                <c:pt idx="472">
                  <c:v>8344.1672235635669</c:v>
                </c:pt>
                <c:pt idx="473">
                  <c:v>8313.1858259743167</c:v>
                </c:pt>
                <c:pt idx="474">
                  <c:v>8282.1723252010524</c:v>
                </c:pt>
                <c:pt idx="475">
                  <c:v>8251.1279456036827</c:v>
                </c:pt>
                <c:pt idx="476">
                  <c:v>8220.0539127611573</c:v>
                </c:pt>
                <c:pt idx="477">
                  <c:v>8188.9514534230866</c:v>
                </c:pt>
                <c:pt idx="478">
                  <c:v>8157.8217954613083</c:v>
                </c:pt>
                <c:pt idx="479">
                  <c:v>8126.6661678214168</c:v>
                </c:pt>
                <c:pt idx="480">
                  <c:v>8095.4858004742437</c:v>
                </c:pt>
                <c:pt idx="481">
                  <c:v>8064.2819243673039</c:v>
                </c:pt>
                <c:pt idx="482">
                  <c:v>8033.0557713761946</c:v>
                </c:pt>
                <c:pt idx="483">
                  <c:v>8001.8085742559688</c:v>
                </c:pt>
                <c:pt idx="484">
                  <c:v>7970.5415665924656</c:v>
                </c:pt>
                <c:pt idx="485">
                  <c:v>7939.2559827536097</c:v>
                </c:pt>
                <c:pt idx="486">
                  <c:v>7907.9530578406811</c:v>
                </c:pt>
                <c:pt idx="487">
                  <c:v>7876.6340276395567</c:v>
                </c:pt>
                <c:pt idx="488">
                  <c:v>7845.300128571922</c:v>
                </c:pt>
                <c:pt idx="489">
                  <c:v>7813.9525976464593</c:v>
                </c:pt>
                <c:pt idx="490">
                  <c:v>7782.5926724100145</c:v>
                </c:pt>
                <c:pt idx="491">
                  <c:v>7751.22159089874</c:v>
                </c:pt>
                <c:pt idx="492">
                  <c:v>7719.8405915892163</c:v>
                </c:pt>
                <c:pt idx="493">
                  <c:v>7688.450913349564</c:v>
                </c:pt>
                <c:pt idx="494">
                  <c:v>7657.0537953905323</c:v>
                </c:pt>
                <c:pt idx="495">
                  <c:v>7625.6504772165781</c:v>
                </c:pt>
                <c:pt idx="496">
                  <c:v>7594.2421985769315</c:v>
                </c:pt>
                <c:pt idx="497">
                  <c:v>7562.8301994166532</c:v>
                </c:pt>
                <c:pt idx="498">
                  <c:v>7531.4157198276844</c:v>
                </c:pt>
                <c:pt idx="499">
                  <c:v>7499.99999999989</c:v>
                </c:pt>
                <c:pt idx="500">
                  <c:v>7468.5842801720946</c:v>
                </c:pt>
                <c:pt idx="501">
                  <c:v>7437.1698005831258</c:v>
                </c:pt>
                <c:pt idx="502">
                  <c:v>7405.7578014228475</c:v>
                </c:pt>
                <c:pt idx="503">
                  <c:v>7374.3495227832009</c:v>
                </c:pt>
                <c:pt idx="504">
                  <c:v>7342.9462046092467</c:v>
                </c:pt>
                <c:pt idx="505">
                  <c:v>7311.549086650215</c:v>
                </c:pt>
                <c:pt idx="506">
                  <c:v>7280.1594084105636</c:v>
                </c:pt>
                <c:pt idx="507">
                  <c:v>7248.7784091010399</c:v>
                </c:pt>
                <c:pt idx="508">
                  <c:v>7217.4073275897645</c:v>
                </c:pt>
                <c:pt idx="509">
                  <c:v>7186.0474023533206</c:v>
                </c:pt>
                <c:pt idx="510">
                  <c:v>7154.6998714278579</c:v>
                </c:pt>
                <c:pt idx="511">
                  <c:v>7123.3659723602232</c:v>
                </c:pt>
                <c:pt idx="512">
                  <c:v>7092.0469421590988</c:v>
                </c:pt>
                <c:pt idx="513">
                  <c:v>7060.7440172461702</c:v>
                </c:pt>
                <c:pt idx="514">
                  <c:v>7029.4584334073143</c:v>
                </c:pt>
                <c:pt idx="515">
                  <c:v>6998.1914257438111</c:v>
                </c:pt>
                <c:pt idx="516">
                  <c:v>6966.9442286235862</c:v>
                </c:pt>
                <c:pt idx="517">
                  <c:v>6935.7180756324769</c:v>
                </c:pt>
                <c:pt idx="518">
                  <c:v>6904.5141995255362</c:v>
                </c:pt>
                <c:pt idx="519">
                  <c:v>6873.333832178364</c:v>
                </c:pt>
                <c:pt idx="520">
                  <c:v>6842.1782045384725</c:v>
                </c:pt>
                <c:pt idx="521">
                  <c:v>6811.0485465766942</c:v>
                </c:pt>
                <c:pt idx="522">
                  <c:v>6779.9460872386235</c:v>
                </c:pt>
                <c:pt idx="523">
                  <c:v>6748.872054396099</c:v>
                </c:pt>
                <c:pt idx="524">
                  <c:v>6717.8276747987302</c:v>
                </c:pt>
                <c:pt idx="525">
                  <c:v>6686.8141740254659</c:v>
                </c:pt>
                <c:pt idx="526">
                  <c:v>6655.8327764362148</c:v>
                </c:pt>
                <c:pt idx="527">
                  <c:v>6624.8847051235034</c:v>
                </c:pt>
                <c:pt idx="528">
                  <c:v>6593.9711818641972</c:v>
                </c:pt>
                <c:pt idx="529">
                  <c:v>6563.0934270712605</c:v>
                </c:pt>
                <c:pt idx="530">
                  <c:v>6532.2526597455826</c:v>
                </c:pt>
                <c:pt idx="531">
                  <c:v>6501.450097427848</c:v>
                </c:pt>
                <c:pt idx="532">
                  <c:v>6470.6869561504773</c:v>
                </c:pt>
                <c:pt idx="533">
                  <c:v>6439.9644503896097</c:v>
                </c:pt>
                <c:pt idx="534">
                  <c:v>6409.28379301717</c:v>
                </c:pt>
                <c:pt idx="535">
                  <c:v>6378.6461952529771</c:v>
                </c:pt>
                <c:pt idx="536">
                  <c:v>6348.0528666169303</c:v>
                </c:pt>
                <c:pt idx="537">
                  <c:v>6317.5050148812597</c:v>
                </c:pt>
                <c:pt idx="538">
                  <c:v>6287.0038460228461</c:v>
                </c:pt>
                <c:pt idx="539">
                  <c:v>6256.550564175609</c:v>
                </c:pt>
                <c:pt idx="540">
                  <c:v>6226.1463715829723</c:v>
                </c:pt>
                <c:pt idx="541">
                  <c:v>6195.7924685503976</c:v>
                </c:pt>
                <c:pt idx="542">
                  <c:v>6165.4900533980053</c:v>
                </c:pt>
                <c:pt idx="543">
                  <c:v>6135.2403224132568</c:v>
                </c:pt>
                <c:pt idx="544">
                  <c:v>6105.0444698037363</c:v>
                </c:pt>
                <c:pt idx="545">
                  <c:v>6074.9036876500013</c:v>
                </c:pt>
                <c:pt idx="546">
                  <c:v>6044.8191658585229</c:v>
                </c:pt>
                <c:pt idx="547">
                  <c:v>6014.7920921147079</c:v>
                </c:pt>
                <c:pt idx="548">
                  <c:v>5984.8236518360127</c:v>
                </c:pt>
                <c:pt idx="549">
                  <c:v>5954.915028125145</c:v>
                </c:pt>
                <c:pt idx="550">
                  <c:v>5925.0674017233587</c:v>
                </c:pt>
                <c:pt idx="551">
                  <c:v>5895.2819509638348</c:v>
                </c:pt>
                <c:pt idx="552">
                  <c:v>5865.5598517251701</c:v>
                </c:pt>
                <c:pt idx="553">
                  <c:v>5835.9022773849492</c:v>
                </c:pt>
                <c:pt idx="554">
                  <c:v>5806.3103987734257</c:v>
                </c:pt>
                <c:pt idx="555">
                  <c:v>5776.7853841272972</c:v>
                </c:pt>
                <c:pt idx="556">
                  <c:v>5747.3283990435875</c:v>
                </c:pt>
                <c:pt idx="557">
                  <c:v>5717.940606433629</c:v>
                </c:pt>
                <c:pt idx="558">
                  <c:v>5688.623166477154</c:v>
                </c:pt>
                <c:pt idx="559">
                  <c:v>5659.3772365764926</c:v>
                </c:pt>
                <c:pt idx="560">
                  <c:v>5630.2039713108807</c:v>
                </c:pt>
                <c:pt idx="561">
                  <c:v>5601.1045223908768</c:v>
                </c:pt>
                <c:pt idx="562">
                  <c:v>5572.0800386128994</c:v>
                </c:pt>
                <c:pt idx="563">
                  <c:v>5543.1316658138712</c:v>
                </c:pt>
                <c:pt idx="564">
                  <c:v>5514.2605468259799</c:v>
                </c:pt>
                <c:pt idx="565">
                  <c:v>5485.46782143157</c:v>
                </c:pt>
                <c:pt idx="566">
                  <c:v>5456.7546263181375</c:v>
                </c:pt>
                <c:pt idx="567">
                  <c:v>5428.1220950334628</c:v>
                </c:pt>
                <c:pt idx="568">
                  <c:v>5399.5713579408521</c:v>
                </c:pt>
                <c:pt idx="569">
                  <c:v>5371.10354217452</c:v>
                </c:pt>
                <c:pt idx="570">
                  <c:v>5342.7197715950888</c:v>
                </c:pt>
                <c:pt idx="571">
                  <c:v>5314.4211667452191</c:v>
                </c:pt>
                <c:pt idx="572">
                  <c:v>5286.2088448053764</c:v>
                </c:pt>
                <c:pt idx="573">
                  <c:v>5258.0839195497229</c:v>
                </c:pt>
                <c:pt idx="574">
                  <c:v>5230.0475013021496</c:v>
                </c:pt>
                <c:pt idx="575">
                  <c:v>5202.1006968924448</c:v>
                </c:pt>
                <c:pt idx="576">
                  <c:v>5174.2446096125923</c:v>
                </c:pt>
                <c:pt idx="577">
                  <c:v>5146.4803391732212</c:v>
                </c:pt>
                <c:pt idx="578">
                  <c:v>5118.8089816601896</c:v>
                </c:pt>
                <c:pt idx="579">
                  <c:v>5091.231629491308</c:v>
                </c:pt>
                <c:pt idx="580">
                  <c:v>5063.7493713732238</c:v>
                </c:pt>
                <c:pt idx="581">
                  <c:v>5036.3632922584275</c:v>
                </c:pt>
                <c:pt idx="582">
                  <c:v>5009.0744733024312</c:v>
                </c:pt>
                <c:pt idx="583">
                  <c:v>4981.8839918210815</c:v>
                </c:pt>
                <c:pt idx="584">
                  <c:v>4954.7929212480285</c:v>
                </c:pt>
                <c:pt idx="585">
                  <c:v>4927.8023310923536</c:v>
                </c:pt>
                <c:pt idx="586">
                  <c:v>4900.9132868963388</c:v>
                </c:pt>
                <c:pt idx="587">
                  <c:v>4874.1268501934082</c:v>
                </c:pt>
                <c:pt idx="588">
                  <c:v>4847.4440784662165</c:v>
                </c:pt>
                <c:pt idx="589">
                  <c:v>4820.8660251049041</c:v>
                </c:pt>
                <c:pt idx="590">
                  <c:v>4794.3937393655078</c:v>
                </c:pt>
                <c:pt idx="591">
                  <c:v>4768.0282663285416</c:v>
                </c:pt>
                <c:pt idx="592">
                  <c:v>4741.7706468577362</c:v>
                </c:pt>
                <c:pt idx="593">
                  <c:v>4715.6219175589476</c:v>
                </c:pt>
                <c:pt idx="594">
                  <c:v>4689.5831107392351</c:v>
                </c:pt>
                <c:pt idx="595">
                  <c:v>4663.6552543661055</c:v>
                </c:pt>
                <c:pt idx="596">
                  <c:v>4637.8393720269341</c:v>
                </c:pt>
                <c:pt idx="597">
                  <c:v>4612.1364828885507</c:v>
                </c:pt>
                <c:pt idx="598">
                  <c:v>4586.5476016570083</c:v>
                </c:pt>
                <c:pt idx="599">
                  <c:v>4561.0737385375232</c:v>
                </c:pt>
                <c:pt idx="600">
                  <c:v>4535.7158991945935</c:v>
                </c:pt>
                <c:pt idx="601">
                  <c:v>4510.4750847122959</c:v>
                </c:pt>
                <c:pt idx="602">
                  <c:v>4485.3522915547665</c:v>
                </c:pt>
                <c:pt idx="603">
                  <c:v>4460.3485115268631</c:v>
                </c:pt>
                <c:pt idx="604">
                  <c:v>4435.4647317350082</c:v>
                </c:pt>
                <c:pt idx="605">
                  <c:v>4410.7019345482195</c:v>
                </c:pt>
                <c:pt idx="606">
                  <c:v>4386.061097559329</c:v>
                </c:pt>
                <c:pt idx="607">
                  <c:v>4361.5431935463894</c:v>
                </c:pt>
                <c:pt idx="608">
                  <c:v>4337.1491904342693</c:v>
                </c:pt>
                <c:pt idx="609">
                  <c:v>4312.8800512564439</c:v>
                </c:pt>
                <c:pt idx="610">
                  <c:v>4288.7367341169702</c:v>
                </c:pt>
                <c:pt idx="611">
                  <c:v>4264.7201921526721</c:v>
                </c:pt>
                <c:pt idx="612">
                  <c:v>4240.8313734955</c:v>
                </c:pt>
                <c:pt idx="613">
                  <c:v>4217.0712212351118</c:v>
                </c:pt>
                <c:pt idx="614">
                  <c:v>4193.440673381635</c:v>
                </c:pt>
                <c:pt idx="615">
                  <c:v>4169.940662828637</c:v>
                </c:pt>
                <c:pt idx="616">
                  <c:v>4146.5721173162947</c:v>
                </c:pt>
                <c:pt idx="617">
                  <c:v>4123.3359593947735</c:v>
                </c:pt>
                <c:pt idx="618">
                  <c:v>4100.2331063878</c:v>
                </c:pt>
                <c:pt idx="619">
                  <c:v>4077.2644703564533</c:v>
                </c:pt>
                <c:pt idx="620">
                  <c:v>4054.4309580631543</c:v>
                </c:pt>
                <c:pt idx="621">
                  <c:v>4031.733470935872</c:v>
                </c:pt>
                <c:pt idx="622">
                  <c:v>4009.1729050325343</c:v>
                </c:pt>
                <c:pt idx="623">
                  <c:v>3986.7501510056518</c:v>
                </c:pt>
                <c:pt idx="624">
                  <c:v>3964.4660940671611</c:v>
                </c:pt>
                <c:pt idx="625">
                  <c:v>3942.321613953472</c:v>
                </c:pt>
                <c:pt idx="626">
                  <c:v>3920.3175848907435</c:v>
                </c:pt>
                <c:pt idx="627">
                  <c:v>3898.4548755603655</c:v>
                </c:pt>
                <c:pt idx="628">
                  <c:v>3876.7343490646672</c:v>
                </c:pt>
                <c:pt idx="629">
                  <c:v>3855.1568628928435</c:v>
                </c:pt>
                <c:pt idx="630">
                  <c:v>3833.7232688871013</c:v>
                </c:pt>
                <c:pt idx="631">
                  <c:v>3812.4344132090323</c:v>
                </c:pt>
                <c:pt idx="632">
                  <c:v>3791.2911363062062</c:v>
                </c:pt>
                <c:pt idx="633">
                  <c:v>3770.2942728789922</c:v>
                </c:pt>
                <c:pt idx="634">
                  <c:v>3749.4446518476057</c:v>
                </c:pt>
                <c:pt idx="635">
                  <c:v>3728.7430963193847</c:v>
                </c:pt>
                <c:pt idx="636">
                  <c:v>3708.190423556297</c:v>
                </c:pt>
                <c:pt idx="637">
                  <c:v>3687.7874449426686</c:v>
                </c:pt>
                <c:pt idx="638">
                  <c:v>3667.5349659531603</c:v>
                </c:pt>
                <c:pt idx="639">
                  <c:v>3647.4337861209656</c:v>
                </c:pt>
                <c:pt idx="640">
                  <c:v>3627.4846990062442</c:v>
                </c:pt>
                <c:pt idx="641">
                  <c:v>3607.6884921647984</c:v>
                </c:pt>
                <c:pt idx="642">
                  <c:v>3588.0459471169765</c:v>
                </c:pt>
                <c:pt idx="643">
                  <c:v>3568.5578393168248</c:v>
                </c:pt>
                <c:pt idx="644">
                  <c:v>3549.2249381214692</c:v>
                </c:pt>
                <c:pt idx="645">
                  <c:v>3530.0480067607459</c:v>
                </c:pt>
                <c:pt idx="646">
                  <c:v>3511.0278023070696</c:v>
                </c:pt>
                <c:pt idx="647">
                  <c:v>3492.1650756455438</c:v>
                </c:pt>
                <c:pt idx="648">
                  <c:v>3473.4605714443182</c:v>
                </c:pt>
                <c:pt idx="649">
                  <c:v>3454.9150281251927</c:v>
                </c:pt>
                <c:pt idx="650">
                  <c:v>3436.5291778344622</c:v>
                </c:pt>
                <c:pt idx="651">
                  <c:v>3418.3037464140139</c:v>
                </c:pt>
                <c:pt idx="652">
                  <c:v>3400.2394533726738</c:v>
                </c:pt>
                <c:pt idx="653">
                  <c:v>3382.3370118577996</c:v>
                </c:pt>
                <c:pt idx="654">
                  <c:v>3364.5971286271297</c:v>
                </c:pt>
                <c:pt idx="655">
                  <c:v>3347.0205040208775</c:v>
                </c:pt>
                <c:pt idx="656">
                  <c:v>3329.6078319340859</c:v>
                </c:pt>
                <c:pt idx="657">
                  <c:v>3312.3597997892348</c:v>
                </c:pt>
                <c:pt idx="658">
                  <c:v>3295.2770885090995</c:v>
                </c:pt>
                <c:pt idx="659">
                  <c:v>3278.3603724898712</c:v>
                </c:pt>
                <c:pt idx="660">
                  <c:v>3261.6103195745318</c:v>
                </c:pt>
                <c:pt idx="661">
                  <c:v>3245.02759102649</c:v>
                </c:pt>
                <c:pt idx="662">
                  <c:v>3228.6128415034755</c:v>
                </c:pt>
                <c:pt idx="663">
                  <c:v>3212.3667190316919</c:v>
                </c:pt>
                <c:pt idx="664">
                  <c:v>3196.2898649802364</c:v>
                </c:pt>
                <c:pt idx="665">
                  <c:v>3180.3829140357793</c:v>
                </c:pt>
                <c:pt idx="666">
                  <c:v>3164.6464941775075</c:v>
                </c:pt>
                <c:pt idx="667">
                  <c:v>3149.0812266523308</c:v>
                </c:pt>
                <c:pt idx="668">
                  <c:v>3133.687725950359</c:v>
                </c:pt>
                <c:pt idx="669">
                  <c:v>3118.4665997806442</c:v>
                </c:pt>
                <c:pt idx="670">
                  <c:v>3103.4184490471816</c:v>
                </c:pt>
                <c:pt idx="671">
                  <c:v>3088.5438678251976</c:v>
                </c:pt>
                <c:pt idx="672">
                  <c:v>3073.8434433376897</c:v>
                </c:pt>
                <c:pt idx="673">
                  <c:v>3059.3177559322439</c:v>
                </c:pt>
                <c:pt idx="674">
                  <c:v>3044.9673790581292</c:v>
                </c:pt>
                <c:pt idx="675">
                  <c:v>3030.7928792436505</c:v>
                </c:pt>
                <c:pt idx="676">
                  <c:v>3016.7948160737915</c:v>
                </c:pt>
                <c:pt idx="677">
                  <c:v>3002.9737421681166</c:v>
                </c:pt>
                <c:pt idx="678">
                  <c:v>2989.3302031589592</c:v>
                </c:pt>
                <c:pt idx="679">
                  <c:v>2975.8647376698764</c:v>
                </c:pt>
                <c:pt idx="680">
                  <c:v>2962.5778772943904</c:v>
                </c:pt>
                <c:pt idx="681">
                  <c:v>2949.4701465749986</c:v>
                </c:pt>
                <c:pt idx="682">
                  <c:v>2936.5420629824639</c:v>
                </c:pt>
                <c:pt idx="683">
                  <c:v>2923.7941368953916</c:v>
                </c:pt>
                <c:pt idx="684">
                  <c:v>2911.2268715800747</c:v>
                </c:pt>
                <c:pt idx="685">
                  <c:v>2898.8407631706295</c:v>
                </c:pt>
                <c:pt idx="686">
                  <c:v>2886.6363006494075</c:v>
                </c:pt>
                <c:pt idx="687">
                  <c:v>2874.6139658276925</c:v>
                </c:pt>
                <c:pt idx="688">
                  <c:v>2862.7742333266779</c:v>
                </c:pt>
                <c:pt idx="689">
                  <c:v>2851.1175705587275</c:v>
                </c:pt>
                <c:pt idx="690">
                  <c:v>2839.644437708931</c:v>
                </c:pt>
                <c:pt idx="691">
                  <c:v>2828.3552877169268</c:v>
                </c:pt>
                <c:pt idx="692">
                  <c:v>2817.2505662590256</c:v>
                </c:pt>
                <c:pt idx="693">
                  <c:v>2806.3307117306176</c:v>
                </c:pt>
                <c:pt idx="694">
                  <c:v>2795.5961552288618</c:v>
                </c:pt>
                <c:pt idx="695">
                  <c:v>2785.0473205356675</c:v>
                </c:pt>
                <c:pt idx="696">
                  <c:v>2774.6846241009671</c:v>
                </c:pt>
                <c:pt idx="697">
                  <c:v>2764.5084750262704</c:v>
                </c:pt>
                <c:pt idx="698">
                  <c:v>2754.5192750485194</c:v>
                </c:pt>
                <c:pt idx="699">
                  <c:v>2744.7174185242256</c:v>
                </c:pt>
                <c:pt idx="700">
                  <c:v>2735.1032924138999</c:v>
                </c:pt>
                <c:pt idx="701">
                  <c:v>2725.6772762667806</c:v>
                </c:pt>
                <c:pt idx="702">
                  <c:v>2716.4397422058428</c:v>
                </c:pt>
                <c:pt idx="703">
                  <c:v>2707.3910549131169</c:v>
                </c:pt>
                <c:pt idx="704">
                  <c:v>2698.5315716152818</c:v>
                </c:pt>
                <c:pt idx="705">
                  <c:v>2689.861642069568</c:v>
                </c:pt>
                <c:pt idx="706">
                  <c:v>2681.3816085499493</c:v>
                </c:pt>
                <c:pt idx="707">
                  <c:v>2673.0918058336292</c:v>
                </c:pt>
                <c:pt idx="708">
                  <c:v>2664.9925611878243</c:v>
                </c:pt>
                <c:pt idx="709">
                  <c:v>2657.0841943568439</c:v>
                </c:pt>
                <c:pt idx="710">
                  <c:v>2649.3670175494708</c:v>
                </c:pt>
                <c:pt idx="711">
                  <c:v>2641.8413354266304</c:v>
                </c:pt>
                <c:pt idx="712">
                  <c:v>2634.507445089368</c:v>
                </c:pt>
                <c:pt idx="713">
                  <c:v>2627.3656360671157</c:v>
                </c:pt>
                <c:pt idx="714">
                  <c:v>2620.4161903062641</c:v>
                </c:pt>
                <c:pt idx="715">
                  <c:v>2613.659382159035</c:v>
                </c:pt>
                <c:pt idx="716">
                  <c:v>2607.095478372642</c:v>
                </c:pt>
                <c:pt idx="717">
                  <c:v>2600.7247380787685</c:v>
                </c:pt>
                <c:pt idx="718">
                  <c:v>2594.5474127833331</c:v>
                </c:pt>
                <c:pt idx="719">
                  <c:v>2588.5637463565599</c:v>
                </c:pt>
                <c:pt idx="720">
                  <c:v>2582.773975023355</c:v>
                </c:pt>
                <c:pt idx="721">
                  <c:v>2577.1783273539768</c:v>
                </c:pt>
                <c:pt idx="722">
                  <c:v>2571.7770242550132</c:v>
                </c:pt>
                <c:pt idx="723">
                  <c:v>2566.5702789606639</c:v>
                </c:pt>
                <c:pt idx="724">
                  <c:v>2561.5582970243158</c:v>
                </c:pt>
                <c:pt idx="725">
                  <c:v>2556.7412763104339</c:v>
                </c:pt>
                <c:pt idx="726">
                  <c:v>2552.1194069867497</c:v>
                </c:pt>
                <c:pt idx="727">
                  <c:v>2547.6928715167487</c:v>
                </c:pt>
                <c:pt idx="728">
                  <c:v>2543.4618446524719</c:v>
                </c:pt>
                <c:pt idx="729">
                  <c:v>2539.4264934276152</c:v>
                </c:pt>
                <c:pt idx="730">
                  <c:v>2535.5869771509369</c:v>
                </c:pt>
                <c:pt idx="731">
                  <c:v>2531.9434473999627</c:v>
                </c:pt>
                <c:pt idx="732">
                  <c:v>2528.4960480150103</c:v>
                </c:pt>
                <c:pt idx="733">
                  <c:v>2525.2449150935036</c:v>
                </c:pt>
                <c:pt idx="734">
                  <c:v>2522.1901769846045</c:v>
                </c:pt>
                <c:pt idx="735">
                  <c:v>2519.3319542841418</c:v>
                </c:pt>
                <c:pt idx="736">
                  <c:v>2516.6703598298545</c:v>
                </c:pt>
                <c:pt idx="737">
                  <c:v>2514.2054986969342</c:v>
                </c:pt>
                <c:pt idx="738">
                  <c:v>2511.937468193878</c:v>
                </c:pt>
                <c:pt idx="739">
                  <c:v>2509.8663578586456</c:v>
                </c:pt>
                <c:pt idx="740">
                  <c:v>2507.9922494551283</c:v>
                </c:pt>
                <c:pt idx="741">
                  <c:v>2506.3152169699151</c:v>
                </c:pt>
                <c:pt idx="742">
                  <c:v>2504.8353266093791</c:v>
                </c:pt>
                <c:pt idx="743">
                  <c:v>2503.552636797056</c:v>
                </c:pt>
                <c:pt idx="744">
                  <c:v>2502.4671981713445</c:v>
                </c:pt>
                <c:pt idx="745">
                  <c:v>2501.5790535835022</c:v>
                </c:pt>
                <c:pt idx="746">
                  <c:v>2500.8882380959567</c:v>
                </c:pt>
                <c:pt idx="747">
                  <c:v>2500.3947789809208</c:v>
                </c:pt>
                <c:pt idx="748">
                  <c:v>2500.0986957193154</c:v>
                </c:pt>
                <c:pt idx="749">
                  <c:v>2500</c:v>
                </c:pt>
                <c:pt idx="750">
                  <c:v>2500.0986957193136</c:v>
                </c:pt>
                <c:pt idx="751">
                  <c:v>2500.3947789809181</c:v>
                </c:pt>
                <c:pt idx="752">
                  <c:v>2500.8882380959531</c:v>
                </c:pt>
                <c:pt idx="753">
                  <c:v>2501.5790535834985</c:v>
                </c:pt>
                <c:pt idx="754">
                  <c:v>2502.46719817134</c:v>
                </c:pt>
                <c:pt idx="755">
                  <c:v>2503.5526367970506</c:v>
                </c:pt>
                <c:pt idx="756">
                  <c:v>2504.8353266093727</c:v>
                </c:pt>
                <c:pt idx="757">
                  <c:v>2506.3152169699079</c:v>
                </c:pt>
                <c:pt idx="758">
                  <c:v>2507.9922494551192</c:v>
                </c:pt>
                <c:pt idx="759">
                  <c:v>2509.8663578586365</c:v>
                </c:pt>
                <c:pt idx="760">
                  <c:v>2511.9374681938671</c:v>
                </c:pt>
                <c:pt idx="761">
                  <c:v>2514.2054986969224</c:v>
                </c:pt>
                <c:pt idx="762">
                  <c:v>2516.6703598298427</c:v>
                </c:pt>
                <c:pt idx="763">
                  <c:v>2519.3319542841282</c:v>
                </c:pt>
                <c:pt idx="764">
                  <c:v>2522.1901769845899</c:v>
                </c:pt>
                <c:pt idx="765">
                  <c:v>2525.244915093489</c:v>
                </c:pt>
                <c:pt idx="766">
                  <c:v>2528.4960480149939</c:v>
                </c:pt>
                <c:pt idx="767">
                  <c:v>2531.9434473999454</c:v>
                </c:pt>
                <c:pt idx="768">
                  <c:v>2535.5869771509178</c:v>
                </c:pt>
                <c:pt idx="769">
                  <c:v>2539.4264934275961</c:v>
                </c:pt>
                <c:pt idx="770">
                  <c:v>2543.4618446524519</c:v>
                </c:pt>
                <c:pt idx="771">
                  <c:v>2547.6928715167278</c:v>
                </c:pt>
                <c:pt idx="772">
                  <c:v>2552.1194069867279</c:v>
                </c:pt>
                <c:pt idx="773">
                  <c:v>2556.7412763104112</c:v>
                </c:pt>
                <c:pt idx="774">
                  <c:v>2561.5582970242913</c:v>
                </c:pt>
                <c:pt idx="775">
                  <c:v>2566.5702789606385</c:v>
                </c:pt>
                <c:pt idx="776">
                  <c:v>2571.7770242549877</c:v>
                </c:pt>
                <c:pt idx="777">
                  <c:v>2577.1783273539504</c:v>
                </c:pt>
                <c:pt idx="778">
                  <c:v>2582.7739750233277</c:v>
                </c:pt>
                <c:pt idx="779">
                  <c:v>2588.5637463565317</c:v>
                </c:pt>
                <c:pt idx="780">
                  <c:v>2594.5474127833031</c:v>
                </c:pt>
                <c:pt idx="781">
                  <c:v>2600.7247380787376</c:v>
                </c:pt>
                <c:pt idx="782">
                  <c:v>2607.0954783726102</c:v>
                </c:pt>
                <c:pt idx="783">
                  <c:v>2613.6593821590022</c:v>
                </c:pt>
                <c:pt idx="784">
                  <c:v>2620.4161903062313</c:v>
                </c:pt>
                <c:pt idx="785">
                  <c:v>2627.3656360670811</c:v>
                </c:pt>
                <c:pt idx="786">
                  <c:v>2634.5074450893326</c:v>
                </c:pt>
                <c:pt idx="787">
                  <c:v>2641.8413354265949</c:v>
                </c:pt>
                <c:pt idx="788">
                  <c:v>2649.3670175494335</c:v>
                </c:pt>
                <c:pt idx="789">
                  <c:v>2657.0841943568057</c:v>
                </c:pt>
                <c:pt idx="790">
                  <c:v>2664.9925611877852</c:v>
                </c:pt>
                <c:pt idx="791">
                  <c:v>2673.0918058335892</c:v>
                </c:pt>
                <c:pt idx="792">
                  <c:v>2681.3816085499084</c:v>
                </c:pt>
                <c:pt idx="793">
                  <c:v>2689.8616420695262</c:v>
                </c:pt>
                <c:pt idx="794">
                  <c:v>2698.531571615239</c:v>
                </c:pt>
                <c:pt idx="795">
                  <c:v>2707.3910549130733</c:v>
                </c:pt>
                <c:pt idx="796">
                  <c:v>2716.4397422057982</c:v>
                </c:pt>
                <c:pt idx="797">
                  <c:v>2725.6772762667351</c:v>
                </c:pt>
                <c:pt idx="798">
                  <c:v>2735.1032924138535</c:v>
                </c:pt>
                <c:pt idx="799">
                  <c:v>2744.7174185241784</c:v>
                </c:pt>
                <c:pt idx="800">
                  <c:v>2754.5192750484712</c:v>
                </c:pt>
                <c:pt idx="801">
                  <c:v>2764.5084750262213</c:v>
                </c:pt>
                <c:pt idx="802">
                  <c:v>2774.6846241009171</c:v>
                </c:pt>
                <c:pt idx="803">
                  <c:v>2785.0473205356166</c:v>
                </c:pt>
                <c:pt idx="804">
                  <c:v>2795.5961552288109</c:v>
                </c:pt>
                <c:pt idx="805">
                  <c:v>2806.3307117305649</c:v>
                </c:pt>
                <c:pt idx="806">
                  <c:v>2817.2505662589729</c:v>
                </c:pt>
                <c:pt idx="807">
                  <c:v>2828.3552877168722</c:v>
                </c:pt>
                <c:pt idx="808">
                  <c:v>2839.6444377088756</c:v>
                </c:pt>
                <c:pt idx="809">
                  <c:v>2851.117570558672</c:v>
                </c:pt>
                <c:pt idx="810">
                  <c:v>2862.7742333266206</c:v>
                </c:pt>
                <c:pt idx="811">
                  <c:v>2874.6139658276352</c:v>
                </c:pt>
                <c:pt idx="812">
                  <c:v>2886.6363006493493</c:v>
                </c:pt>
                <c:pt idx="813">
                  <c:v>2898.8407631705695</c:v>
                </c:pt>
                <c:pt idx="814">
                  <c:v>2911.2268715800128</c:v>
                </c:pt>
                <c:pt idx="815">
                  <c:v>2923.7941368953298</c:v>
                </c:pt>
                <c:pt idx="816">
                  <c:v>2936.5420629824011</c:v>
                </c:pt>
                <c:pt idx="817">
                  <c:v>2949.4701465749349</c:v>
                </c:pt>
                <c:pt idx="818">
                  <c:v>2962.5778772943268</c:v>
                </c:pt>
                <c:pt idx="819">
                  <c:v>2975.8647376698118</c:v>
                </c:pt>
                <c:pt idx="820">
                  <c:v>2989.3302031588928</c:v>
                </c:pt>
                <c:pt idx="821">
                  <c:v>3002.9737421680493</c:v>
                </c:pt>
                <c:pt idx="822">
                  <c:v>3016.7948160737233</c:v>
                </c:pt>
                <c:pt idx="823">
                  <c:v>3030.7928792435814</c:v>
                </c:pt>
                <c:pt idx="824">
                  <c:v>3044.9673790580591</c:v>
                </c:pt>
                <c:pt idx="825">
                  <c:v>3059.3177559321739</c:v>
                </c:pt>
                <c:pt idx="826">
                  <c:v>3073.8434433376178</c:v>
                </c:pt>
                <c:pt idx="827">
                  <c:v>3088.5438678251257</c:v>
                </c:pt>
                <c:pt idx="828">
                  <c:v>3103.4184490471089</c:v>
                </c:pt>
                <c:pt idx="829">
                  <c:v>3118.4665997805696</c:v>
                </c:pt>
                <c:pt idx="830">
                  <c:v>3133.6877259502853</c:v>
                </c:pt>
                <c:pt idx="831">
                  <c:v>3149.0812266522553</c:v>
                </c:pt>
                <c:pt idx="832">
                  <c:v>3164.6464941774311</c:v>
                </c:pt>
                <c:pt idx="833">
                  <c:v>3180.382914035702</c:v>
                </c:pt>
                <c:pt idx="834">
                  <c:v>3196.2898649801582</c:v>
                </c:pt>
                <c:pt idx="835">
                  <c:v>3212.3667190316128</c:v>
                </c:pt>
                <c:pt idx="836">
                  <c:v>3228.6128415033963</c:v>
                </c:pt>
                <c:pt idx="837">
                  <c:v>3245.0275910264099</c:v>
                </c:pt>
                <c:pt idx="838">
                  <c:v>3261.6103195744508</c:v>
                </c:pt>
                <c:pt idx="839">
                  <c:v>3278.3603724897894</c:v>
                </c:pt>
                <c:pt idx="840">
                  <c:v>3295.2770885090167</c:v>
                </c:pt>
                <c:pt idx="841">
                  <c:v>3312.3597997891511</c:v>
                </c:pt>
                <c:pt idx="842">
                  <c:v>3329.6078319340013</c:v>
                </c:pt>
                <c:pt idx="843">
                  <c:v>3347.020504020792</c:v>
                </c:pt>
                <c:pt idx="844">
                  <c:v>3364.5971286270442</c:v>
                </c:pt>
                <c:pt idx="845">
                  <c:v>3382.3370118577132</c:v>
                </c:pt>
                <c:pt idx="846">
                  <c:v>3400.2394533725865</c:v>
                </c:pt>
                <c:pt idx="847">
                  <c:v>3418.3037464139256</c:v>
                </c:pt>
                <c:pt idx="848">
                  <c:v>3436.5291778343731</c:v>
                </c:pt>
                <c:pt idx="849">
                  <c:v>3454.9150281251027</c:v>
                </c:pt>
                <c:pt idx="850">
                  <c:v>3473.4605714442278</c:v>
                </c:pt>
                <c:pt idx="851">
                  <c:v>3492.1650756454519</c:v>
                </c:pt>
                <c:pt idx="852">
                  <c:v>3511.0278023069773</c:v>
                </c:pt>
                <c:pt idx="853">
                  <c:v>3530.0480067606532</c:v>
                </c:pt>
                <c:pt idx="854">
                  <c:v>3549.2249381213751</c:v>
                </c:pt>
                <c:pt idx="855">
                  <c:v>3568.5578393167298</c:v>
                </c:pt>
                <c:pt idx="856">
                  <c:v>3588.0459471168815</c:v>
                </c:pt>
                <c:pt idx="857">
                  <c:v>3607.6884921647024</c:v>
                </c:pt>
                <c:pt idx="858">
                  <c:v>3627.4846990061478</c:v>
                </c:pt>
                <c:pt idx="859">
                  <c:v>3647.4337861208678</c:v>
                </c:pt>
                <c:pt idx="860">
                  <c:v>3667.5349659530621</c:v>
                </c:pt>
                <c:pt idx="861">
                  <c:v>3687.7874449425694</c:v>
                </c:pt>
                <c:pt idx="862">
                  <c:v>3708.1904235561969</c:v>
                </c:pt>
                <c:pt idx="863">
                  <c:v>3728.7430963192846</c:v>
                </c:pt>
                <c:pt idx="864">
                  <c:v>3749.4446518475033</c:v>
                </c:pt>
                <c:pt idx="865">
                  <c:v>3770.2942728788876</c:v>
                </c:pt>
                <c:pt idx="866">
                  <c:v>3791.2911363060994</c:v>
                </c:pt>
                <c:pt idx="867">
                  <c:v>3812.4344132089232</c:v>
                </c:pt>
                <c:pt idx="868">
                  <c:v>3833.7232688869899</c:v>
                </c:pt>
                <c:pt idx="869">
                  <c:v>3855.1568628927298</c:v>
                </c:pt>
                <c:pt idx="870">
                  <c:v>3876.7343490645512</c:v>
                </c:pt>
                <c:pt idx="871">
                  <c:v>3898.4548755602473</c:v>
                </c:pt>
                <c:pt idx="872">
                  <c:v>3920.317584890623</c:v>
                </c:pt>
                <c:pt idx="873">
                  <c:v>3942.3216139533488</c:v>
                </c:pt>
                <c:pt idx="874">
                  <c:v>3964.4660940670356</c:v>
                </c:pt>
                <c:pt idx="875">
                  <c:v>3986.750151005524</c:v>
                </c:pt>
                <c:pt idx="876">
                  <c:v>4009.1729050324043</c:v>
                </c:pt>
                <c:pt idx="877">
                  <c:v>4031.7334709357401</c:v>
                </c:pt>
                <c:pt idx="878">
                  <c:v>4054.4309580630193</c:v>
                </c:pt>
                <c:pt idx="879">
                  <c:v>4077.2644703563155</c:v>
                </c:pt>
                <c:pt idx="880">
                  <c:v>4100.23310638766</c:v>
                </c:pt>
                <c:pt idx="881">
                  <c:v>4123.3359593946316</c:v>
                </c:pt>
                <c:pt idx="882">
                  <c:v>4146.5721173161501</c:v>
                </c:pt>
                <c:pt idx="883">
                  <c:v>4169.9406628284896</c:v>
                </c:pt>
                <c:pt idx="884">
                  <c:v>4193.4406733814849</c:v>
                </c:pt>
                <c:pt idx="885">
                  <c:v>4217.0712212349599</c:v>
                </c:pt>
                <c:pt idx="886">
                  <c:v>4240.8313734953445</c:v>
                </c:pt>
                <c:pt idx="887">
                  <c:v>4264.7201921525148</c:v>
                </c:pt>
                <c:pt idx="888">
                  <c:v>4288.7367341168119</c:v>
                </c:pt>
                <c:pt idx="889">
                  <c:v>4312.8800512562811</c:v>
                </c:pt>
                <c:pt idx="890">
                  <c:v>4337.1491904341046</c:v>
                </c:pt>
                <c:pt idx="891">
                  <c:v>4361.543193546222</c:v>
                </c:pt>
                <c:pt idx="892">
                  <c:v>4386.061097559159</c:v>
                </c:pt>
                <c:pt idx="893">
                  <c:v>4410.7019345480476</c:v>
                </c:pt>
                <c:pt idx="894">
                  <c:v>4435.4647317348335</c:v>
                </c:pt>
                <c:pt idx="895">
                  <c:v>4460.3485115266849</c:v>
                </c:pt>
                <c:pt idx="896">
                  <c:v>4485.3522915545864</c:v>
                </c:pt>
                <c:pt idx="897">
                  <c:v>4510.4750847121122</c:v>
                </c:pt>
                <c:pt idx="898">
                  <c:v>4535.715899194407</c:v>
                </c:pt>
                <c:pt idx="899">
                  <c:v>4561.073738537335</c:v>
                </c:pt>
                <c:pt idx="900">
                  <c:v>4586.5476016568173</c:v>
                </c:pt>
                <c:pt idx="901">
                  <c:v>4612.136482888357</c:v>
                </c:pt>
                <c:pt idx="902">
                  <c:v>4637.8393720267377</c:v>
                </c:pt>
                <c:pt idx="903">
                  <c:v>4663.6552543659063</c:v>
                </c:pt>
                <c:pt idx="904">
                  <c:v>4689.5831107390331</c:v>
                </c:pt>
                <c:pt idx="905">
                  <c:v>4715.621917558743</c:v>
                </c:pt>
                <c:pt idx="906">
                  <c:v>4741.7706468575288</c:v>
                </c:pt>
                <c:pt idx="907">
                  <c:v>4768.0282663283324</c:v>
                </c:pt>
                <c:pt idx="908">
                  <c:v>4794.393739365295</c:v>
                </c:pt>
                <c:pt idx="909">
                  <c:v>4820.8660251046877</c:v>
                </c:pt>
                <c:pt idx="910">
                  <c:v>4847.4440784659982</c:v>
                </c:pt>
                <c:pt idx="911">
                  <c:v>4874.1268501931863</c:v>
                </c:pt>
                <c:pt idx="912">
                  <c:v>4900.9132868961151</c:v>
                </c:pt>
                <c:pt idx="913">
                  <c:v>4927.8023310921271</c:v>
                </c:pt>
                <c:pt idx="914">
                  <c:v>4954.7929212477993</c:v>
                </c:pt>
                <c:pt idx="915">
                  <c:v>4981.8839918208496</c:v>
                </c:pt>
                <c:pt idx="916">
                  <c:v>5009.0744733021966</c:v>
                </c:pt>
                <c:pt idx="917">
                  <c:v>5036.3632922581901</c:v>
                </c:pt>
                <c:pt idx="918">
                  <c:v>5063.7493713729837</c:v>
                </c:pt>
                <c:pt idx="919">
                  <c:v>5091.2316294910652</c:v>
                </c:pt>
                <c:pt idx="920">
                  <c:v>5118.8089816599431</c:v>
                </c:pt>
                <c:pt idx="921">
                  <c:v>5146.4803391729729</c:v>
                </c:pt>
                <c:pt idx="922">
                  <c:v>5174.2446096123413</c:v>
                </c:pt>
                <c:pt idx="923">
                  <c:v>5202.1006968921902</c:v>
                </c:pt>
                <c:pt idx="924">
                  <c:v>5230.0475013018931</c:v>
                </c:pt>
                <c:pt idx="925">
                  <c:v>5258.0839195494627</c:v>
                </c:pt>
                <c:pt idx="926">
                  <c:v>5286.2088448051136</c:v>
                </c:pt>
                <c:pt idx="927">
                  <c:v>5314.4211667449536</c:v>
                </c:pt>
                <c:pt idx="928">
                  <c:v>5342.7197715948205</c:v>
                </c:pt>
                <c:pt idx="929">
                  <c:v>5371.103542174249</c:v>
                </c:pt>
                <c:pt idx="930">
                  <c:v>5399.5713579405783</c:v>
                </c:pt>
                <c:pt idx="931">
                  <c:v>5428.1220950331863</c:v>
                </c:pt>
                <c:pt idx="932">
                  <c:v>5456.7546263178583</c:v>
                </c:pt>
                <c:pt idx="933">
                  <c:v>5485.4678214312871</c:v>
                </c:pt>
                <c:pt idx="934">
                  <c:v>5514.2605468256952</c:v>
                </c:pt>
                <c:pt idx="935">
                  <c:v>5543.1316658135829</c:v>
                </c:pt>
                <c:pt idx="936">
                  <c:v>5572.0800386126093</c:v>
                </c:pt>
                <c:pt idx="937">
                  <c:v>5601.104522390584</c:v>
                </c:pt>
                <c:pt idx="938">
                  <c:v>5630.2039713105842</c:v>
                </c:pt>
                <c:pt idx="939">
                  <c:v>5659.3772365761943</c:v>
                </c:pt>
                <c:pt idx="940">
                  <c:v>5688.623166476852</c:v>
                </c:pt>
                <c:pt idx="941">
                  <c:v>5717.9406064333243</c:v>
                </c:pt>
                <c:pt idx="942">
                  <c:v>5747.3283990432801</c:v>
                </c:pt>
                <c:pt idx="943">
                  <c:v>5776.7853841269871</c:v>
                </c:pt>
                <c:pt idx="944">
                  <c:v>5806.310398773112</c:v>
                </c:pt>
                <c:pt idx="945">
                  <c:v>5835.9022773846336</c:v>
                </c:pt>
                <c:pt idx="946">
                  <c:v>5865.5598517248509</c:v>
                </c:pt>
                <c:pt idx="947">
                  <c:v>5895.2819509635137</c:v>
                </c:pt>
                <c:pt idx="948">
                  <c:v>5925.067401723034</c:v>
                </c:pt>
                <c:pt idx="949">
                  <c:v>5954.9150281248185</c:v>
                </c:pt>
                <c:pt idx="950">
                  <c:v>5984.8236518356825</c:v>
                </c:pt>
                <c:pt idx="951">
                  <c:v>6014.7920921143759</c:v>
                </c:pt>
                <c:pt idx="952">
                  <c:v>6044.8191658581882</c:v>
                </c:pt>
                <c:pt idx="953">
                  <c:v>6074.9036876496639</c:v>
                </c:pt>
                <c:pt idx="954">
                  <c:v>6105.0444698033953</c:v>
                </c:pt>
                <c:pt idx="955">
                  <c:v>6135.240322412913</c:v>
                </c:pt>
                <c:pt idx="956">
                  <c:v>6165.4900533976579</c:v>
                </c:pt>
                <c:pt idx="957">
                  <c:v>6195.7924685500493</c:v>
                </c:pt>
                <c:pt idx="958">
                  <c:v>6226.1463715826203</c:v>
                </c:pt>
                <c:pt idx="959">
                  <c:v>6256.5505641752543</c:v>
                </c:pt>
                <c:pt idx="960">
                  <c:v>6287.0038460224887</c:v>
                </c:pt>
                <c:pt idx="961">
                  <c:v>6317.5050148808996</c:v>
                </c:pt>
                <c:pt idx="962">
                  <c:v>6348.0528666165674</c:v>
                </c:pt>
                <c:pt idx="963">
                  <c:v>6378.6461952526115</c:v>
                </c:pt>
                <c:pt idx="964">
                  <c:v>6409.2837930168025</c:v>
                </c:pt>
                <c:pt idx="965">
                  <c:v>6439.9644503892396</c:v>
                </c:pt>
                <c:pt idx="966">
                  <c:v>6470.6869561501035</c:v>
                </c:pt>
                <c:pt idx="967">
                  <c:v>6501.4500974274724</c:v>
                </c:pt>
                <c:pt idx="968">
                  <c:v>6532.2526597452033</c:v>
                </c:pt>
                <c:pt idx="969">
                  <c:v>6563.0934270708794</c:v>
                </c:pt>
                <c:pt idx="970">
                  <c:v>6593.9711818638134</c:v>
                </c:pt>
                <c:pt idx="971">
                  <c:v>6624.8847051231169</c:v>
                </c:pt>
                <c:pt idx="972">
                  <c:v>6655.8327764358255</c:v>
                </c:pt>
                <c:pt idx="973">
                  <c:v>6686.814174025074</c:v>
                </c:pt>
                <c:pt idx="974">
                  <c:v>6717.8276747983355</c:v>
                </c:pt>
                <c:pt idx="975">
                  <c:v>6748.8720543957024</c:v>
                </c:pt>
                <c:pt idx="976">
                  <c:v>6779.9460872382242</c:v>
                </c:pt>
                <c:pt idx="977">
                  <c:v>6811.0485465762922</c:v>
                </c:pt>
                <c:pt idx="978">
                  <c:v>6842.1782045380678</c:v>
                </c:pt>
                <c:pt idx="979">
                  <c:v>6873.3338321779565</c:v>
                </c:pt>
                <c:pt idx="980">
                  <c:v>6904.514199525127</c:v>
                </c:pt>
                <c:pt idx="981">
                  <c:v>6935.7180756320649</c:v>
                </c:pt>
                <c:pt idx="982">
                  <c:v>6966.9442286231715</c:v>
                </c:pt>
                <c:pt idx="983">
                  <c:v>6998.1914257433946</c:v>
                </c:pt>
                <c:pt idx="984">
                  <c:v>7029.458433406895</c:v>
                </c:pt>
                <c:pt idx="985">
                  <c:v>7060.7440172457482</c:v>
                </c:pt>
                <c:pt idx="986">
                  <c:v>7092.046942158674</c:v>
                </c:pt>
                <c:pt idx="987">
                  <c:v>7123.3659723597966</c:v>
                </c:pt>
                <c:pt idx="988">
                  <c:v>7154.6998714274287</c:v>
                </c:pt>
                <c:pt idx="989">
                  <c:v>7186.0474023528886</c:v>
                </c:pt>
                <c:pt idx="990">
                  <c:v>7217.4073275893306</c:v>
                </c:pt>
                <c:pt idx="991">
                  <c:v>7248.7784091006033</c:v>
                </c:pt>
                <c:pt idx="992">
                  <c:v>7280.1594084101243</c:v>
                </c:pt>
                <c:pt idx="993">
                  <c:v>7311.5490866497739</c:v>
                </c:pt>
                <c:pt idx="994">
                  <c:v>7342.9462046088038</c:v>
                </c:pt>
                <c:pt idx="995">
                  <c:v>7374.3495227827552</c:v>
                </c:pt>
                <c:pt idx="996">
                  <c:v>7405.7578014224</c:v>
                </c:pt>
                <c:pt idx="997">
                  <c:v>7437.1698005826756</c:v>
                </c:pt>
                <c:pt idx="998">
                  <c:v>7468.5842801716417</c:v>
                </c:pt>
                <c:pt idx="999">
                  <c:v>7499.9999999994352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8F-4F07-B939-9DED5894CEEB}"/>
            </c:ext>
          </c:extLst>
        </c:ser>
        <c:ser>
          <c:idx val="1"/>
          <c:order val="1"/>
          <c:tx>
            <c:v>pl2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Feuil1!$V$12:$V$1011</c:f>
              <c:numCache>
                <c:formatCode>General</c:formatCode>
                <c:ptCount val="1000"/>
                <c:pt idx="0">
                  <c:v>-16500.069087003521</c:v>
                </c:pt>
                <c:pt idx="1">
                  <c:v>-16500.276345286642</c:v>
                </c:pt>
                <c:pt idx="2">
                  <c:v>-16500.621766667169</c:v>
                </c:pt>
                <c:pt idx="3">
                  <c:v>-16501.105337508452</c:v>
                </c:pt>
                <c:pt idx="4">
                  <c:v>-16501.727038719939</c:v>
                </c:pt>
                <c:pt idx="5">
                  <c:v>-16502.486845757936</c:v>
                </c:pt>
                <c:pt idx="6">
                  <c:v>-16503.384728626563</c:v>
                </c:pt>
                <c:pt idx="7">
                  <c:v>-16504.42065187894</c:v>
                </c:pt>
                <c:pt idx="8">
                  <c:v>-16505.594574618586</c:v>
                </c:pt>
                <c:pt idx="9">
                  <c:v>-16506.90645050105</c:v>
                </c:pt>
                <c:pt idx="10">
                  <c:v>-16508.356227735712</c:v>
                </c:pt>
                <c:pt idx="11">
                  <c:v>-16509.943849087853</c:v>
                </c:pt>
                <c:pt idx="12">
                  <c:v>-16511.669251880896</c:v>
                </c:pt>
                <c:pt idx="13">
                  <c:v>-16513.532367998894</c:v>
                </c:pt>
                <c:pt idx="14">
                  <c:v>-16515.533123889221</c:v>
                </c:pt>
                <c:pt idx="15">
                  <c:v>-16517.671440565449</c:v>
                </c:pt>
                <c:pt idx="16">
                  <c:v>-16519.947233610503</c:v>
                </c:pt>
                <c:pt idx="17">
                  <c:v>-16522.360413179969</c:v>
                </c:pt>
                <c:pt idx="18">
                  <c:v>-16524.910884005651</c:v>
                </c:pt>
                <c:pt idx="19">
                  <c:v>-16527.598545399327</c:v>
                </c:pt>
                <c:pt idx="20">
                  <c:v>-16530.423291256728</c:v>
                </c:pt>
                <c:pt idx="21">
                  <c:v>-16533.38501006172</c:v>
                </c:pt>
                <c:pt idx="22">
                  <c:v>-16536.483584890721</c:v>
                </c:pt>
                <c:pt idx="23">
                  <c:v>-16539.718893417303</c:v>
                </c:pt>
                <c:pt idx="24">
                  <c:v>-16543.090807917019</c:v>
                </c:pt>
                <c:pt idx="25">
                  <c:v>-16546.599195272462</c:v>
                </c:pt>
                <c:pt idx="26">
                  <c:v>-16550.243916978507</c:v>
                </c:pt>
                <c:pt idx="27">
                  <c:v>-16554.02482914778</c:v>
                </c:pt>
                <c:pt idx="28">
                  <c:v>-16557.941782516347</c:v>
                </c:pt>
                <c:pt idx="29">
                  <c:v>-16561.994622449591</c:v>
                </c:pt>
                <c:pt idx="30">
                  <c:v>-16566.183188948329</c:v>
                </c:pt>
                <c:pt idx="31">
                  <c:v>-16570.507316655137</c:v>
                </c:pt>
                <c:pt idx="32">
                  <c:v>-16574.966834860847</c:v>
                </c:pt>
                <c:pt idx="33">
                  <c:v>-16579.561567511322</c:v>
                </c:pt>
                <c:pt idx="34">
                  <c:v>-16584.291333214383</c:v>
                </c:pt>
                <c:pt idx="35">
                  <c:v>-16589.155945246981</c:v>
                </c:pt>
                <c:pt idx="36">
                  <c:v>-16594.155211562556</c:v>
                </c:pt>
                <c:pt idx="37">
                  <c:v>-16599.288934798642</c:v>
                </c:pt>
                <c:pt idx="38">
                  <c:v>-16604.556912284628</c:v>
                </c:pt>
                <c:pt idx="39">
                  <c:v>-16609.958936049792</c:v>
                </c:pt>
                <c:pt idx="40">
                  <c:v>-16615.494792831476</c:v>
                </c:pt>
                <c:pt idx="41">
                  <c:v>-16621.164264083542</c:v>
                </c:pt>
                <c:pt idx="42">
                  <c:v>-16626.967125984967</c:v>
                </c:pt>
                <c:pt idx="43">
                  <c:v>-16632.903149448699</c:v>
                </c:pt>
                <c:pt idx="44">
                  <c:v>-16638.972100130701</c:v>
                </c:pt>
                <c:pt idx="45">
                  <c:v>-16645.173738439185</c:v>
                </c:pt>
                <c:pt idx="46">
                  <c:v>-16651.507819544095</c:v>
                </c:pt>
                <c:pt idx="47">
                  <c:v>-16657.974093386751</c:v>
                </c:pt>
                <c:pt idx="48">
                  <c:v>-16664.572304689733</c:v>
                </c:pt>
                <c:pt idx="49">
                  <c:v>-16671.302192966963</c:v>
                </c:pt>
                <c:pt idx="50">
                  <c:v>-16678.163492533968</c:v>
                </c:pt>
                <c:pt idx="51">
                  <c:v>-16685.155932518395</c:v>
                </c:pt>
                <c:pt idx="52">
                  <c:v>-16692.279236870683</c:v>
                </c:pt>
                <c:pt idx="53">
                  <c:v>-16699.533124374975</c:v>
                </c:pt>
                <c:pt idx="54">
                  <c:v>-16706.91730866021</c:v>
                </c:pt>
                <c:pt idx="55">
                  <c:v>-16714.431498211441</c:v>
                </c:pt>
                <c:pt idx="56">
                  <c:v>-16722.075396381326</c:v>
                </c:pt>
                <c:pt idx="57">
                  <c:v>-16729.848701401857</c:v>
                </c:pt>
                <c:pt idx="58">
                  <c:v>-16737.751106396263</c:v>
                </c:pt>
                <c:pt idx="59">
                  <c:v>-16745.782299391121</c:v>
                </c:pt>
                <c:pt idx="60">
                  <c:v>-16753.941963328685</c:v>
                </c:pt>
                <c:pt idx="61">
                  <c:v>-16762.229776079395</c:v>
                </c:pt>
                <c:pt idx="62">
                  <c:v>-16770.645410454599</c:v>
                </c:pt>
                <c:pt idx="63">
                  <c:v>-16779.188534219455</c:v>
                </c:pt>
                <c:pt idx="64">
                  <c:v>-16787.858810106067</c:v>
                </c:pt>
                <c:pt idx="65">
                  <c:v>-16796.655895826789</c:v>
                </c:pt>
                <c:pt idx="66">
                  <c:v>-16805.57944408774</c:v>
                </c:pt>
                <c:pt idx="67">
                  <c:v>-16814.629102602514</c:v>
                </c:pt>
                <c:pt idx="68">
                  <c:v>-16823.80451410609</c:v>
                </c:pt>
                <c:pt idx="69">
                  <c:v>-16833.105316368932</c:v>
                </c:pt>
                <c:pt idx="70">
                  <c:v>-16842.53114221129</c:v>
                </c:pt>
                <c:pt idx="71">
                  <c:v>-16852.081619517703</c:v>
                </c:pt>
                <c:pt idx="72">
                  <c:v>-16861.756371251675</c:v>
                </c:pt>
                <c:pt idx="73">
                  <c:v>-16871.555015470578</c:v>
                </c:pt>
                <c:pt idx="74">
                  <c:v>-16881.477165340712</c:v>
                </c:pt>
                <c:pt idx="75">
                  <c:v>-16891.522429152596</c:v>
                </c:pt>
                <c:pt idx="76">
                  <c:v>-16901.690410336407</c:v>
                </c:pt>
                <c:pt idx="77">
                  <c:v>-16911.980707477662</c:v>
                </c:pt>
                <c:pt idx="78">
                  <c:v>-16922.392914333053</c:v>
                </c:pt>
                <c:pt idx="79">
                  <c:v>-16932.926619846476</c:v>
                </c:pt>
                <c:pt idx="80">
                  <c:v>-16943.581408165279</c:v>
                </c:pt>
                <c:pt idx="81">
                  <c:v>-16954.356858656662</c:v>
                </c:pt>
                <c:pt idx="82">
                  <c:v>-16965.252545924286</c:v>
                </c:pt>
                <c:pt idx="83">
                  <c:v>-16976.268039825078</c:v>
                </c:pt>
                <c:pt idx="84">
                  <c:v>-16987.402905486197</c:v>
                </c:pt>
                <c:pt idx="85">
                  <c:v>-16998.656703322216</c:v>
                </c:pt>
                <c:pt idx="86">
                  <c:v>-17010.028989052465</c:v>
                </c:pt>
                <c:pt idx="87">
                  <c:v>-17021.519313718578</c:v>
                </c:pt>
                <c:pt idx="88">
                  <c:v>-17033.127223702209</c:v>
                </c:pt>
                <c:pt idx="89">
                  <c:v>-17044.852260742948</c:v>
                </c:pt>
                <c:pt idx="90">
                  <c:v>-17056.693961956407</c:v>
                </c:pt>
                <c:pt idx="91">
                  <c:v>-17068.651859852504</c:v>
                </c:pt>
                <c:pt idx="92">
                  <c:v>-17080.725482353904</c:v>
                </c:pt>
                <c:pt idx="93">
                  <c:v>-17092.914352814656</c:v>
                </c:pt>
                <c:pt idx="94">
                  <c:v>-17105.217990039037</c:v>
                </c:pt>
                <c:pt idx="95">
                  <c:v>-17117.635908300505</c:v>
                </c:pt>
                <c:pt idx="96">
                  <c:v>-17130.167617360919</c:v>
                </c:pt>
                <c:pt idx="97">
                  <c:v>-17142.812622489859</c:v>
                </c:pt>
                <c:pt idx="98">
                  <c:v>-17155.570424484173</c:v>
                </c:pt>
                <c:pt idx="99">
                  <c:v>-17168.440519687687</c:v>
                </c:pt>
                <c:pt idx="100">
                  <c:v>-17181.422400011077</c:v>
                </c:pt>
                <c:pt idx="101">
                  <c:v>-17194.515552951932</c:v>
                </c:pt>
                <c:pt idx="102">
                  <c:v>-17207.719461615005</c:v>
                </c:pt>
                <c:pt idx="103">
                  <c:v>-17221.03360473258</c:v>
                </c:pt>
                <c:pt idx="104">
                  <c:v>-17234.457456685086</c:v>
                </c:pt>
                <c:pt idx="105">
                  <c:v>-17247.990487521838</c:v>
                </c:pt>
                <c:pt idx="106">
                  <c:v>-17261.632162981943</c:v>
                </c:pt>
                <c:pt idx="107">
                  <c:v>-17275.381944515422</c:v>
                </c:pt>
                <c:pt idx="108">
                  <c:v>-17289.239289304434</c:v>
                </c:pt>
                <c:pt idx="109">
                  <c:v>-17303.20365028474</c:v>
                </c:pt>
                <c:pt idx="110">
                  <c:v>-17317.27447616728</c:v>
                </c:pt>
                <c:pt idx="111">
                  <c:v>-17331.451211459935</c:v>
                </c:pt>
                <c:pt idx="112">
                  <c:v>-17345.733296489478</c:v>
                </c:pt>
                <c:pt idx="113">
                  <c:v>-17360.12016742364</c:v>
                </c:pt>
                <c:pt idx="114">
                  <c:v>-17374.611256293396</c:v>
                </c:pt>
                <c:pt idx="115">
                  <c:v>-17389.205991015366</c:v>
                </c:pt>
                <c:pt idx="116">
                  <c:v>-17403.903795414415</c:v>
                </c:pt>
                <c:pt idx="117">
                  <c:v>-17418.704089246396</c:v>
                </c:pt>
                <c:pt idx="118">
                  <c:v>-17433.606288221046</c:v>
                </c:pt>
                <c:pt idx="119">
                  <c:v>-17448.609804025065</c:v>
                </c:pt>
                <c:pt idx="120">
                  <c:v>-17463.714044345343</c:v>
                </c:pt>
                <c:pt idx="121">
                  <c:v>-17478.91841289233</c:v>
                </c:pt>
                <c:pt idx="122">
                  <c:v>-17494.222309423596</c:v>
                </c:pt>
                <c:pt idx="123">
                  <c:v>-17509.625129767508</c:v>
                </c:pt>
                <c:pt idx="124">
                  <c:v>-17525.126265847088</c:v>
                </c:pt>
                <c:pt idx="125">
                  <c:v>-17540.725105704034</c:v>
                </c:pt>
                <c:pt idx="126">
                  <c:v>-17556.421033522853</c:v>
                </c:pt>
                <c:pt idx="127">
                  <c:v>-17572.213429655189</c:v>
                </c:pt>
                <c:pt idx="128">
                  <c:v>-17588.101670644286</c:v>
                </c:pt>
                <c:pt idx="129">
                  <c:v>-17604.085129249597</c:v>
                </c:pt>
                <c:pt idx="130">
                  <c:v>-17620.163174471541</c:v>
                </c:pt>
                <c:pt idx="131">
                  <c:v>-17636.335171576422</c:v>
                </c:pt>
                <c:pt idx="132">
                  <c:v>-17652.600482121488</c:v>
                </c:pt>
                <c:pt idx="133">
                  <c:v>-17668.958463980125</c:v>
                </c:pt>
                <c:pt idx="134">
                  <c:v>-17685.408471367227</c:v>
                </c:pt>
                <c:pt idx="135">
                  <c:v>-17701.949854864659</c:v>
                </c:pt>
                <c:pt idx="136">
                  <c:v>-17718.581961446933</c:v>
                </c:pt>
                <c:pt idx="137">
                  <c:v>-17735.304134506954</c:v>
                </c:pt>
                <c:pt idx="138">
                  <c:v>-17752.115713881962</c:v>
                </c:pt>
                <c:pt idx="139">
                  <c:v>-17769.016035879595</c:v>
                </c:pt>
                <c:pt idx="140">
                  <c:v>-17786.004433304071</c:v>
                </c:pt>
                <c:pt idx="141">
                  <c:v>-17803.080235482557</c:v>
                </c:pt>
                <c:pt idx="142">
                  <c:v>-17820.242768291617</c:v>
                </c:pt>
                <c:pt idx="143">
                  <c:v>-17837.49135418384</c:v>
                </c:pt>
                <c:pt idx="144">
                  <c:v>-17854.825312214591</c:v>
                </c:pt>
                <c:pt idx="145">
                  <c:v>-17872.243958068892</c:v>
                </c:pt>
                <c:pt idx="146">
                  <c:v>-17889.746604088425</c:v>
                </c:pt>
                <c:pt idx="147">
                  <c:v>-17907.332559298695</c:v>
                </c:pt>
                <c:pt idx="148">
                  <c:v>-17925.001129436303</c:v>
                </c:pt>
                <c:pt idx="149">
                  <c:v>-17942.751616976355</c:v>
                </c:pt>
                <c:pt idx="150">
                  <c:v>-17960.583321159993</c:v>
                </c:pt>
                <c:pt idx="151">
                  <c:v>-17978.495538022074</c:v>
                </c:pt>
                <c:pt idx="152">
                  <c:v>-17996.487560418944</c:v>
                </c:pt>
                <c:pt idx="153">
                  <c:v>-18014.558678056364</c:v>
                </c:pt>
                <c:pt idx="154">
                  <c:v>-18032.708177517554</c:v>
                </c:pt>
                <c:pt idx="155">
                  <c:v>-18050.935342291352</c:v>
                </c:pt>
                <c:pt idx="156">
                  <c:v>-18069.239452800506</c:v>
                </c:pt>
                <c:pt idx="157">
                  <c:v>-18087.61978643007</c:v>
                </c:pt>
                <c:pt idx="158">
                  <c:v>-18106.075617555947</c:v>
                </c:pt>
                <c:pt idx="159">
                  <c:v>-18124.606217573524</c:v>
                </c:pt>
                <c:pt idx="160">
                  <c:v>-18143.210854926441</c:v>
                </c:pt>
                <c:pt idx="161">
                  <c:v>-18161.888795135477</c:v>
                </c:pt>
                <c:pt idx="162">
                  <c:v>-18180.63930082753</c:v>
                </c:pt>
                <c:pt idx="163">
                  <c:v>-18199.461631764741</c:v>
                </c:pt>
                <c:pt idx="164">
                  <c:v>-18218.355044873715</c:v>
                </c:pt>
                <c:pt idx="165">
                  <c:v>-18237.318794274852</c:v>
                </c:pt>
                <c:pt idx="166">
                  <c:v>-18256.352131311796</c:v>
                </c:pt>
                <c:pt idx="167">
                  <c:v>-18275.454304580991</c:v>
                </c:pt>
                <c:pt idx="168">
                  <c:v>-18294.62455996135</c:v>
                </c:pt>
                <c:pt idx="169">
                  <c:v>-18313.862140644011</c:v>
                </c:pt>
                <c:pt idx="170">
                  <c:v>-18333.166287162228</c:v>
                </c:pt>
                <c:pt idx="171">
                  <c:v>-18352.536237421351</c:v>
                </c:pt>
                <c:pt idx="172">
                  <c:v>-18371.971226728911</c:v>
                </c:pt>
                <c:pt idx="173">
                  <c:v>-18391.470487824809</c:v>
                </c:pt>
                <c:pt idx="174">
                  <c:v>-18411.033250911601</c:v>
                </c:pt>
                <c:pt idx="175">
                  <c:v>-18430.658743684904</c:v>
                </c:pt>
                <c:pt idx="176">
                  <c:v>-18450.34619136386</c:v>
                </c:pt>
                <c:pt idx="177">
                  <c:v>-18470.09481672175</c:v>
                </c:pt>
                <c:pt idx="178">
                  <c:v>-18489.903840116658</c:v>
                </c:pt>
                <c:pt idx="179">
                  <c:v>-18509.77247952226</c:v>
                </c:pt>
                <c:pt idx="180">
                  <c:v>-18529.699950558694</c:v>
                </c:pt>
                <c:pt idx="181">
                  <c:v>-18549.685466523522</c:v>
                </c:pt>
                <c:pt idx="182">
                  <c:v>-18569.728238422795</c:v>
                </c:pt>
                <c:pt idx="183">
                  <c:v>-18589.827475002199</c:v>
                </c:pt>
                <c:pt idx="184">
                  <c:v>-18609.982382778286</c:v>
                </c:pt>
                <c:pt idx="185">
                  <c:v>-18630.19216606981</c:v>
                </c:pt>
                <c:pt idx="186">
                  <c:v>-18650.456027029129</c:v>
                </c:pt>
                <c:pt idx="187">
                  <c:v>-18670.773165673712</c:v>
                </c:pt>
                <c:pt idx="188">
                  <c:v>-18691.142779917718</c:v>
                </c:pt>
                <c:pt idx="189">
                  <c:v>-18711.564065603645</c:v>
                </c:pt>
                <c:pt idx="190">
                  <c:v>-18732.03621653411</c:v>
                </c:pt>
                <c:pt idx="191">
                  <c:v>-18752.558424503641</c:v>
                </c:pt>
                <c:pt idx="192">
                  <c:v>-18773.129879330612</c:v>
                </c:pt>
                <c:pt idx="193">
                  <c:v>-18793.749768889211</c:v>
                </c:pt>
                <c:pt idx="194">
                  <c:v>-18814.4172791415</c:v>
                </c:pt>
                <c:pt idx="195">
                  <c:v>-18835.131594169565</c:v>
                </c:pt>
                <c:pt idx="196">
                  <c:v>-18855.891896207722</c:v>
                </c:pt>
                <c:pt idx="197">
                  <c:v>-18876.697365674787</c:v>
                </c:pt>
                <c:pt idx="198">
                  <c:v>-18897.547181206453</c:v>
                </c:pt>
                <c:pt idx="199">
                  <c:v>-18918.440519687705</c:v>
                </c:pt>
                <c:pt idx="200">
                  <c:v>-18939.376556285311</c:v>
                </c:pt>
                <c:pt idx="201">
                  <c:v>-18960.354464480399</c:v>
                </c:pt>
                <c:pt idx="202">
                  <c:v>-18981.373416101069</c:v>
                </c:pt>
                <c:pt idx="203">
                  <c:v>-19002.432581355104</c:v>
                </c:pt>
                <c:pt idx="204">
                  <c:v>-19023.53112886272</c:v>
                </c:pt>
                <c:pt idx="205">
                  <c:v>-19044.668225689384</c:v>
                </c:pt>
                <c:pt idx="206">
                  <c:v>-19065.843037378709</c:v>
                </c:pt>
                <c:pt idx="207">
                  <c:v>-19087.054727985382</c:v>
                </c:pt>
                <c:pt idx="208">
                  <c:v>-19108.302460108185</c:v>
                </c:pt>
                <c:pt idx="209">
                  <c:v>-19129.58539492303</c:v>
                </c:pt>
                <c:pt idx="210">
                  <c:v>-19150.902692216096</c:v>
                </c:pt>
                <c:pt idx="211">
                  <c:v>-19172.253510416987</c:v>
                </c:pt>
                <c:pt idx="212">
                  <c:v>-19193.637006631958</c:v>
                </c:pt>
                <c:pt idx="213">
                  <c:v>-19215.052336677189</c:v>
                </c:pt>
                <c:pt idx="214">
                  <c:v>-19236.498655112126</c:v>
                </c:pt>
                <c:pt idx="215">
                  <c:v>-19257.975115272831</c:v>
                </c:pt>
                <c:pt idx="216">
                  <c:v>-19279.48086930544</c:v>
                </c:pt>
                <c:pt idx="217">
                  <c:v>-19301.015068199598</c:v>
                </c:pt>
                <c:pt idx="218">
                  <c:v>-19322.576861822014</c:v>
                </c:pt>
                <c:pt idx="219">
                  <c:v>-19344.16539894999</c:v>
                </c:pt>
                <c:pt idx="220">
                  <c:v>-19365.779827305043</c:v>
                </c:pt>
                <c:pt idx="221">
                  <c:v>-19387.419293586558</c:v>
                </c:pt>
                <c:pt idx="222">
                  <c:v>-19409.082943505458</c:v>
                </c:pt>
                <c:pt idx="223">
                  <c:v>-19430.769921817933</c:v>
                </c:pt>
                <c:pt idx="224">
                  <c:v>-19452.479372359219</c:v>
                </c:pt>
                <c:pt idx="225">
                  <c:v>-19474.210438077378</c:v>
                </c:pt>
                <c:pt idx="226">
                  <c:v>-19495.962261067143</c:v>
                </c:pt>
                <c:pt idx="227">
                  <c:v>-19517.733982603793</c:v>
                </c:pt>
                <c:pt idx="228">
                  <c:v>-19539.524743177037</c:v>
                </c:pt>
                <c:pt idx="229">
                  <c:v>-19561.333682524961</c:v>
                </c:pt>
                <c:pt idx="230">
                  <c:v>-19583.159939667981</c:v>
                </c:pt>
                <c:pt idx="231">
                  <c:v>-19605.002652942843</c:v>
                </c:pt>
                <c:pt idx="232">
                  <c:v>-19626.860960036618</c:v>
                </c:pt>
                <c:pt idx="233">
                  <c:v>-19648.733998020776</c:v>
                </c:pt>
                <c:pt idx="234">
                  <c:v>-19670.620903385228</c:v>
                </c:pt>
                <c:pt idx="235">
                  <c:v>-19692.520812072427</c:v>
                </c:pt>
                <c:pt idx="236">
                  <c:v>-19714.432859511478</c:v>
                </c:pt>
                <c:pt idx="237">
                  <c:v>-19736.356180652263</c:v>
                </c:pt>
                <c:pt idx="238">
                  <c:v>-19758.28990999961</c:v>
                </c:pt>
                <c:pt idx="239">
                  <c:v>-19780.233181647433</c:v>
                </c:pt>
                <c:pt idx="240">
                  <c:v>-19802.185129312944</c:v>
                </c:pt>
                <c:pt idx="241">
                  <c:v>-19824.144886370836</c:v>
                </c:pt>
                <c:pt idx="242">
                  <c:v>-19846.111585887502</c:v>
                </c:pt>
                <c:pt idx="243">
                  <c:v>-19868.084360655259</c:v>
                </c:pt>
                <c:pt idx="244">
                  <c:v>-19890.062343226582</c:v>
                </c:pt>
                <c:pt idx="245">
                  <c:v>-19912.04466594835</c:v>
                </c:pt>
                <c:pt idx="246">
                  <c:v>-19934.030460996102</c:v>
                </c:pt>
                <c:pt idx="247">
                  <c:v>-19956.018860408298</c:v>
                </c:pt>
                <c:pt idx="248">
                  <c:v>-19978.008996120574</c:v>
                </c:pt>
                <c:pt idx="249">
                  <c:v>-20000.000000000029</c:v>
                </c:pt>
                <c:pt idx="250">
                  <c:v>-20021.991003879488</c:v>
                </c:pt>
                <c:pt idx="251">
                  <c:v>-20043.981139591764</c:v>
                </c:pt>
                <c:pt idx="252">
                  <c:v>-20065.96953900396</c:v>
                </c:pt>
                <c:pt idx="253">
                  <c:v>-20087.955334051712</c:v>
                </c:pt>
                <c:pt idx="254">
                  <c:v>-20109.93765677348</c:v>
                </c:pt>
                <c:pt idx="255">
                  <c:v>-20131.915639344803</c:v>
                </c:pt>
                <c:pt idx="256">
                  <c:v>-20153.88841411256</c:v>
                </c:pt>
                <c:pt idx="257">
                  <c:v>-20175.855113629226</c:v>
                </c:pt>
                <c:pt idx="258">
                  <c:v>-20197.814870687118</c:v>
                </c:pt>
                <c:pt idx="259">
                  <c:v>-20219.766818352629</c:v>
                </c:pt>
                <c:pt idx="260">
                  <c:v>-20241.710090000452</c:v>
                </c:pt>
                <c:pt idx="261">
                  <c:v>-20263.643819347799</c:v>
                </c:pt>
                <c:pt idx="262">
                  <c:v>-20285.567140488583</c:v>
                </c:pt>
                <c:pt idx="263">
                  <c:v>-20307.479187927634</c:v>
                </c:pt>
                <c:pt idx="264">
                  <c:v>-20329.379096614834</c:v>
                </c:pt>
                <c:pt idx="265">
                  <c:v>-20351.266001979286</c:v>
                </c:pt>
                <c:pt idx="266">
                  <c:v>-20373.139039963444</c:v>
                </c:pt>
                <c:pt idx="267">
                  <c:v>-20394.997347057219</c:v>
                </c:pt>
                <c:pt idx="268">
                  <c:v>-20416.840060332077</c:v>
                </c:pt>
                <c:pt idx="269">
                  <c:v>-20438.666317475097</c:v>
                </c:pt>
                <c:pt idx="270">
                  <c:v>-20460.475256823021</c:v>
                </c:pt>
                <c:pt idx="271">
                  <c:v>-20482.266017396269</c:v>
                </c:pt>
                <c:pt idx="272">
                  <c:v>-20504.037738932919</c:v>
                </c:pt>
                <c:pt idx="273">
                  <c:v>-20525.789561922684</c:v>
                </c:pt>
                <c:pt idx="274">
                  <c:v>-20547.520627640843</c:v>
                </c:pt>
                <c:pt idx="275">
                  <c:v>-20569.230078182129</c:v>
                </c:pt>
                <c:pt idx="276">
                  <c:v>-20590.917056494603</c:v>
                </c:pt>
                <c:pt idx="277">
                  <c:v>-20612.580706413501</c:v>
                </c:pt>
                <c:pt idx="278">
                  <c:v>-20634.220172695015</c:v>
                </c:pt>
                <c:pt idx="279">
                  <c:v>-20655.834601050072</c:v>
                </c:pt>
                <c:pt idx="280">
                  <c:v>-20677.423138178048</c:v>
                </c:pt>
                <c:pt idx="281">
                  <c:v>-20698.98493180046</c:v>
                </c:pt>
                <c:pt idx="282">
                  <c:v>-20720.519130694622</c:v>
                </c:pt>
                <c:pt idx="283">
                  <c:v>-20742.024884727227</c:v>
                </c:pt>
                <c:pt idx="284">
                  <c:v>-20763.501344887936</c:v>
                </c:pt>
                <c:pt idx="285">
                  <c:v>-20784.94766332287</c:v>
                </c:pt>
                <c:pt idx="286">
                  <c:v>-20806.362993368104</c:v>
                </c:pt>
                <c:pt idx="287">
                  <c:v>-20827.746489583074</c:v>
                </c:pt>
                <c:pt idx="288">
                  <c:v>-20849.097307783963</c:v>
                </c:pt>
                <c:pt idx="289">
                  <c:v>-20870.414605077029</c:v>
                </c:pt>
                <c:pt idx="290">
                  <c:v>-20891.697539891873</c:v>
                </c:pt>
                <c:pt idx="291">
                  <c:v>-20912.945272014676</c:v>
                </c:pt>
                <c:pt idx="292">
                  <c:v>-20934.156962621353</c:v>
                </c:pt>
                <c:pt idx="293">
                  <c:v>-20955.331774310675</c:v>
                </c:pt>
                <c:pt idx="294">
                  <c:v>-20976.468871137338</c:v>
                </c:pt>
                <c:pt idx="295">
                  <c:v>-20997.567418644954</c:v>
                </c:pt>
                <c:pt idx="296">
                  <c:v>-21018.626583898989</c:v>
                </c:pt>
                <c:pt idx="297">
                  <c:v>-21039.645535519659</c:v>
                </c:pt>
                <c:pt idx="298">
                  <c:v>-21060.623443714747</c:v>
                </c:pt>
                <c:pt idx="299">
                  <c:v>-21081.559480312353</c:v>
                </c:pt>
                <c:pt idx="300">
                  <c:v>-21102.452818793605</c:v>
                </c:pt>
                <c:pt idx="301">
                  <c:v>-21123.302634325271</c:v>
                </c:pt>
                <c:pt idx="302">
                  <c:v>-21144.108103792336</c:v>
                </c:pt>
                <c:pt idx="303">
                  <c:v>-21164.868405830493</c:v>
                </c:pt>
                <c:pt idx="304">
                  <c:v>-21185.582720858558</c:v>
                </c:pt>
                <c:pt idx="305">
                  <c:v>-21206.250231110847</c:v>
                </c:pt>
                <c:pt idx="306">
                  <c:v>-21226.870120669446</c:v>
                </c:pt>
                <c:pt idx="307">
                  <c:v>-21247.441575496417</c:v>
                </c:pt>
                <c:pt idx="308">
                  <c:v>-21267.963783465948</c:v>
                </c:pt>
                <c:pt idx="309">
                  <c:v>-21288.435934396413</c:v>
                </c:pt>
                <c:pt idx="310">
                  <c:v>-21308.85722008234</c:v>
                </c:pt>
                <c:pt idx="311">
                  <c:v>-21329.226834326342</c:v>
                </c:pt>
                <c:pt idx="312">
                  <c:v>-21349.543972970929</c:v>
                </c:pt>
                <c:pt idx="313">
                  <c:v>-21369.807833930248</c:v>
                </c:pt>
                <c:pt idx="314">
                  <c:v>-21390.017617221773</c:v>
                </c:pt>
                <c:pt idx="315">
                  <c:v>-21410.172524997859</c:v>
                </c:pt>
                <c:pt idx="316">
                  <c:v>-21430.27176157726</c:v>
                </c:pt>
                <c:pt idx="317">
                  <c:v>-21450.314533476536</c:v>
                </c:pt>
                <c:pt idx="318">
                  <c:v>-21470.300049441361</c:v>
                </c:pt>
                <c:pt idx="319">
                  <c:v>-21490.227520477794</c:v>
                </c:pt>
                <c:pt idx="320">
                  <c:v>-21510.096159883396</c:v>
                </c:pt>
                <c:pt idx="321">
                  <c:v>-21529.905183278304</c:v>
                </c:pt>
                <c:pt idx="322">
                  <c:v>-21549.653808636194</c:v>
                </c:pt>
                <c:pt idx="323">
                  <c:v>-21569.341256315154</c:v>
                </c:pt>
                <c:pt idx="324">
                  <c:v>-21588.966749088453</c:v>
                </c:pt>
                <c:pt idx="325">
                  <c:v>-21608.529512175246</c:v>
                </c:pt>
                <c:pt idx="326">
                  <c:v>-21628.028773271144</c:v>
                </c:pt>
                <c:pt idx="327">
                  <c:v>-21647.463762578704</c:v>
                </c:pt>
                <c:pt idx="328">
                  <c:v>-21666.833712837826</c:v>
                </c:pt>
                <c:pt idx="329">
                  <c:v>-21686.137859356044</c:v>
                </c:pt>
                <c:pt idx="330">
                  <c:v>-21705.375440038704</c:v>
                </c:pt>
                <c:pt idx="331">
                  <c:v>-21724.545695419059</c:v>
                </c:pt>
                <c:pt idx="332">
                  <c:v>-21743.647868688258</c:v>
                </c:pt>
                <c:pt idx="333">
                  <c:v>-21762.681205725203</c:v>
                </c:pt>
                <c:pt idx="334">
                  <c:v>-21781.644955126339</c:v>
                </c:pt>
                <c:pt idx="335">
                  <c:v>-21800.538368235313</c:v>
                </c:pt>
                <c:pt idx="336">
                  <c:v>-21819.360699172525</c:v>
                </c:pt>
                <c:pt idx="337">
                  <c:v>-21838.111204864574</c:v>
                </c:pt>
                <c:pt idx="338">
                  <c:v>-21856.78914507361</c:v>
                </c:pt>
                <c:pt idx="339">
                  <c:v>-21875.393782426527</c:v>
                </c:pt>
                <c:pt idx="340">
                  <c:v>-21893.924382444107</c:v>
                </c:pt>
                <c:pt idx="341">
                  <c:v>-21912.380213569981</c:v>
                </c:pt>
                <c:pt idx="342">
                  <c:v>-21930.760547199545</c:v>
                </c:pt>
                <c:pt idx="343">
                  <c:v>-21949.064657708699</c:v>
                </c:pt>
                <c:pt idx="344">
                  <c:v>-21967.291822482497</c:v>
                </c:pt>
                <c:pt idx="345">
                  <c:v>-21985.441321943686</c:v>
                </c:pt>
                <c:pt idx="346">
                  <c:v>-22003.512439581107</c:v>
                </c:pt>
                <c:pt idx="347">
                  <c:v>-22021.504461977976</c:v>
                </c:pt>
                <c:pt idx="348">
                  <c:v>-22039.416678840054</c:v>
                </c:pt>
                <c:pt idx="349">
                  <c:v>-22057.248383023696</c:v>
                </c:pt>
                <c:pt idx="350">
                  <c:v>-22074.998870563748</c:v>
                </c:pt>
                <c:pt idx="351">
                  <c:v>-22092.667440701356</c:v>
                </c:pt>
                <c:pt idx="352">
                  <c:v>-22110.253395911626</c:v>
                </c:pt>
                <c:pt idx="353">
                  <c:v>-22127.756041931159</c:v>
                </c:pt>
                <c:pt idx="354">
                  <c:v>-22145.174687785457</c:v>
                </c:pt>
                <c:pt idx="355">
                  <c:v>-22162.508645816211</c:v>
                </c:pt>
                <c:pt idx="356">
                  <c:v>-22179.757231708434</c:v>
                </c:pt>
                <c:pt idx="357">
                  <c:v>-22196.91976451749</c:v>
                </c:pt>
                <c:pt idx="358">
                  <c:v>-22213.995566695976</c:v>
                </c:pt>
                <c:pt idx="359">
                  <c:v>-22230.983964120453</c:v>
                </c:pt>
                <c:pt idx="360">
                  <c:v>-22247.884286118086</c:v>
                </c:pt>
                <c:pt idx="361">
                  <c:v>-22264.695865493093</c:v>
                </c:pt>
                <c:pt idx="362">
                  <c:v>-22281.418038553114</c:v>
                </c:pt>
                <c:pt idx="363">
                  <c:v>-22298.050145135385</c:v>
                </c:pt>
                <c:pt idx="364">
                  <c:v>-22314.59152863282</c:v>
                </c:pt>
                <c:pt idx="365">
                  <c:v>-22331.041536019919</c:v>
                </c:pt>
                <c:pt idx="366">
                  <c:v>-22347.399517878559</c:v>
                </c:pt>
                <c:pt idx="367">
                  <c:v>-22363.664828423625</c:v>
                </c:pt>
                <c:pt idx="368">
                  <c:v>-22379.836825528506</c:v>
                </c:pt>
                <c:pt idx="369">
                  <c:v>-22395.91487075045</c:v>
                </c:pt>
                <c:pt idx="370">
                  <c:v>-22411.898329355758</c:v>
                </c:pt>
                <c:pt idx="371">
                  <c:v>-22427.786570344855</c:v>
                </c:pt>
                <c:pt idx="372">
                  <c:v>-22443.578966477195</c:v>
                </c:pt>
                <c:pt idx="373">
                  <c:v>-22459.27489429601</c:v>
                </c:pt>
                <c:pt idx="374">
                  <c:v>-22474.873734152956</c:v>
                </c:pt>
                <c:pt idx="375">
                  <c:v>-22490.374870232536</c:v>
                </c:pt>
                <c:pt idx="376">
                  <c:v>-22505.777690576448</c:v>
                </c:pt>
                <c:pt idx="377">
                  <c:v>-22521.081587107714</c:v>
                </c:pt>
                <c:pt idx="378">
                  <c:v>-22536.285955654701</c:v>
                </c:pt>
                <c:pt idx="379">
                  <c:v>-22551.390195974978</c:v>
                </c:pt>
                <c:pt idx="380">
                  <c:v>-22566.393711778997</c:v>
                </c:pt>
                <c:pt idx="381">
                  <c:v>-22581.295910753644</c:v>
                </c:pt>
                <c:pt idx="382">
                  <c:v>-22596.096204585625</c:v>
                </c:pt>
                <c:pt idx="383">
                  <c:v>-22610.794008984674</c:v>
                </c:pt>
                <c:pt idx="384">
                  <c:v>-22625.388743706644</c:v>
                </c:pt>
                <c:pt idx="385">
                  <c:v>-22639.8798325764</c:v>
                </c:pt>
                <c:pt idx="386">
                  <c:v>-22654.266703510562</c:v>
                </c:pt>
                <c:pt idx="387">
                  <c:v>-22668.548788540105</c:v>
                </c:pt>
                <c:pt idx="388">
                  <c:v>-22682.72552383276</c:v>
                </c:pt>
                <c:pt idx="389">
                  <c:v>-22696.7963497153</c:v>
                </c:pt>
                <c:pt idx="390">
                  <c:v>-22710.760710695606</c:v>
                </c:pt>
                <c:pt idx="391">
                  <c:v>-22724.618055484618</c:v>
                </c:pt>
                <c:pt idx="392">
                  <c:v>-22738.367837018093</c:v>
                </c:pt>
                <c:pt idx="393">
                  <c:v>-22752.009512478202</c:v>
                </c:pt>
                <c:pt idx="394">
                  <c:v>-22765.54254331495</c:v>
                </c:pt>
                <c:pt idx="395">
                  <c:v>-22778.96639526746</c:v>
                </c:pt>
                <c:pt idx="396">
                  <c:v>-22792.280538385035</c:v>
                </c:pt>
                <c:pt idx="397">
                  <c:v>-22805.484447048104</c:v>
                </c:pt>
                <c:pt idx="398">
                  <c:v>-22818.577599988963</c:v>
                </c:pt>
                <c:pt idx="399">
                  <c:v>-22831.559480312349</c:v>
                </c:pt>
                <c:pt idx="400">
                  <c:v>-22844.429575515864</c:v>
                </c:pt>
                <c:pt idx="401">
                  <c:v>-22857.187377510178</c:v>
                </c:pt>
                <c:pt idx="402">
                  <c:v>-22869.832382639117</c:v>
                </c:pt>
                <c:pt idx="403">
                  <c:v>-22882.364091699528</c:v>
                </c:pt>
                <c:pt idx="404">
                  <c:v>-22894.782009961</c:v>
                </c:pt>
                <c:pt idx="405">
                  <c:v>-22907.085647185377</c:v>
                </c:pt>
                <c:pt idx="406">
                  <c:v>-22919.274517646132</c:v>
                </c:pt>
                <c:pt idx="407">
                  <c:v>-22931.348140147529</c:v>
                </c:pt>
                <c:pt idx="408">
                  <c:v>-22943.306038043625</c:v>
                </c:pt>
                <c:pt idx="409">
                  <c:v>-22955.147739257085</c:v>
                </c:pt>
                <c:pt idx="410">
                  <c:v>-22966.872776297823</c:v>
                </c:pt>
                <c:pt idx="411">
                  <c:v>-22978.480686281455</c:v>
                </c:pt>
                <c:pt idx="412">
                  <c:v>-22989.971010947564</c:v>
                </c:pt>
                <c:pt idx="413">
                  <c:v>-23001.343296677813</c:v>
                </c:pt>
                <c:pt idx="414">
                  <c:v>-23012.597094513832</c:v>
                </c:pt>
                <c:pt idx="415">
                  <c:v>-23023.731960174955</c:v>
                </c:pt>
                <c:pt idx="416">
                  <c:v>-23034.747454075747</c:v>
                </c:pt>
                <c:pt idx="417">
                  <c:v>-23045.643141343371</c:v>
                </c:pt>
                <c:pt idx="418">
                  <c:v>-23056.41859183475</c:v>
                </c:pt>
                <c:pt idx="419">
                  <c:v>-23067.073380153553</c:v>
                </c:pt>
                <c:pt idx="420">
                  <c:v>-23077.607085666976</c:v>
                </c:pt>
                <c:pt idx="421">
                  <c:v>-23088.019292522367</c:v>
                </c:pt>
                <c:pt idx="422">
                  <c:v>-23098.309589663622</c:v>
                </c:pt>
                <c:pt idx="423">
                  <c:v>-23108.477570847434</c:v>
                </c:pt>
                <c:pt idx="424">
                  <c:v>-23118.522834659318</c:v>
                </c:pt>
                <c:pt idx="425">
                  <c:v>-23128.444984529451</c:v>
                </c:pt>
                <c:pt idx="426">
                  <c:v>-23138.243628748354</c:v>
                </c:pt>
                <c:pt idx="427">
                  <c:v>-23147.918380482326</c:v>
                </c:pt>
                <c:pt idx="428">
                  <c:v>-23157.468857788739</c:v>
                </c:pt>
                <c:pt idx="429">
                  <c:v>-23166.894683631097</c:v>
                </c:pt>
                <c:pt idx="430">
                  <c:v>-23176.195485893935</c:v>
                </c:pt>
                <c:pt idx="431">
                  <c:v>-23185.370897397512</c:v>
                </c:pt>
                <c:pt idx="432">
                  <c:v>-23194.420555912286</c:v>
                </c:pt>
                <c:pt idx="433">
                  <c:v>-23203.344104173237</c:v>
                </c:pt>
                <c:pt idx="434">
                  <c:v>-23212.141189893959</c:v>
                </c:pt>
                <c:pt idx="435">
                  <c:v>-23220.811465780571</c:v>
                </c:pt>
                <c:pt idx="436">
                  <c:v>-23229.354589545426</c:v>
                </c:pt>
                <c:pt idx="437">
                  <c:v>-23237.770223920626</c:v>
                </c:pt>
                <c:pt idx="438">
                  <c:v>-23246.05803667134</c:v>
                </c:pt>
                <c:pt idx="439">
                  <c:v>-23254.217700608904</c:v>
                </c:pt>
                <c:pt idx="440">
                  <c:v>-23262.248893603763</c:v>
                </c:pt>
                <c:pt idx="441">
                  <c:v>-23270.151298598164</c:v>
                </c:pt>
                <c:pt idx="442">
                  <c:v>-23277.924603618696</c:v>
                </c:pt>
                <c:pt idx="443">
                  <c:v>-23285.568501788581</c:v>
                </c:pt>
                <c:pt idx="444">
                  <c:v>-23293.082691339812</c:v>
                </c:pt>
                <c:pt idx="445">
                  <c:v>-23300.466875625047</c:v>
                </c:pt>
                <c:pt idx="446">
                  <c:v>-23307.720763129339</c:v>
                </c:pt>
                <c:pt idx="447">
                  <c:v>-23314.844067481627</c:v>
                </c:pt>
                <c:pt idx="448">
                  <c:v>-23321.836507466054</c:v>
                </c:pt>
                <c:pt idx="449">
                  <c:v>-23328.697807033059</c:v>
                </c:pt>
                <c:pt idx="450">
                  <c:v>-23335.427695310285</c:v>
                </c:pt>
                <c:pt idx="451">
                  <c:v>-23342.025906613271</c:v>
                </c:pt>
                <c:pt idx="452">
                  <c:v>-23348.492180455927</c:v>
                </c:pt>
                <c:pt idx="453">
                  <c:v>-23354.826261560836</c:v>
                </c:pt>
                <c:pt idx="454">
                  <c:v>-23361.027899869321</c:v>
                </c:pt>
                <c:pt idx="455">
                  <c:v>-23367.096850551319</c:v>
                </c:pt>
                <c:pt idx="456">
                  <c:v>-23373.032874015051</c:v>
                </c:pt>
                <c:pt idx="457">
                  <c:v>-23378.835735916477</c:v>
                </c:pt>
                <c:pt idx="458">
                  <c:v>-23384.505207168542</c:v>
                </c:pt>
                <c:pt idx="459">
                  <c:v>-23390.041063950226</c:v>
                </c:pt>
                <c:pt idx="460">
                  <c:v>-23395.443087715386</c:v>
                </c:pt>
                <c:pt idx="461">
                  <c:v>-23400.711065201376</c:v>
                </c:pt>
                <c:pt idx="462">
                  <c:v>-23405.844788437458</c:v>
                </c:pt>
                <c:pt idx="463">
                  <c:v>-23410.844054753037</c:v>
                </c:pt>
                <c:pt idx="464">
                  <c:v>-23415.708666785631</c:v>
                </c:pt>
                <c:pt idx="465">
                  <c:v>-23420.438432488692</c:v>
                </c:pt>
                <c:pt idx="466">
                  <c:v>-23425.033165139168</c:v>
                </c:pt>
                <c:pt idx="467">
                  <c:v>-23429.492683344877</c:v>
                </c:pt>
                <c:pt idx="468">
                  <c:v>-23433.816811051682</c:v>
                </c:pt>
                <c:pt idx="469">
                  <c:v>-23438.005377550424</c:v>
                </c:pt>
                <c:pt idx="470">
                  <c:v>-23442.058217483667</c:v>
                </c:pt>
                <c:pt idx="471">
                  <c:v>-23445.975170852231</c:v>
                </c:pt>
                <c:pt idx="472">
                  <c:v>-23449.756083021504</c:v>
                </c:pt>
                <c:pt idx="473">
                  <c:v>-23453.400804727549</c:v>
                </c:pt>
                <c:pt idx="474">
                  <c:v>-23456.909192082992</c:v>
                </c:pt>
                <c:pt idx="475">
                  <c:v>-23460.281106582712</c:v>
                </c:pt>
                <c:pt idx="476">
                  <c:v>-23463.51641510929</c:v>
                </c:pt>
                <c:pt idx="477">
                  <c:v>-23466.614989938291</c:v>
                </c:pt>
                <c:pt idx="478">
                  <c:v>-23469.576708743283</c:v>
                </c:pt>
                <c:pt idx="479">
                  <c:v>-23472.40145460068</c:v>
                </c:pt>
                <c:pt idx="480">
                  <c:v>-23475.089115994357</c:v>
                </c:pt>
                <c:pt idx="481">
                  <c:v>-23477.639586820038</c:v>
                </c:pt>
                <c:pt idx="482">
                  <c:v>-23480.052766389505</c:v>
                </c:pt>
                <c:pt idx="483">
                  <c:v>-23482.328559434558</c:v>
                </c:pt>
                <c:pt idx="484">
                  <c:v>-23484.466876110786</c:v>
                </c:pt>
                <c:pt idx="485">
                  <c:v>-23486.467632001109</c:v>
                </c:pt>
                <c:pt idx="486">
                  <c:v>-23488.330748119111</c:v>
                </c:pt>
                <c:pt idx="487">
                  <c:v>-23490.056150912154</c:v>
                </c:pt>
                <c:pt idx="488">
                  <c:v>-23491.643772264295</c:v>
                </c:pt>
                <c:pt idx="489">
                  <c:v>-23493.093549498954</c:v>
                </c:pt>
                <c:pt idx="490">
                  <c:v>-23494.405425381417</c:v>
                </c:pt>
                <c:pt idx="491">
                  <c:v>-23495.579348121064</c:v>
                </c:pt>
                <c:pt idx="492">
                  <c:v>-23496.615271373441</c:v>
                </c:pt>
                <c:pt idx="493">
                  <c:v>-23497.513154242064</c:v>
                </c:pt>
                <c:pt idx="494">
                  <c:v>-23498.272961280061</c:v>
                </c:pt>
                <c:pt idx="495">
                  <c:v>-23498.894662491552</c:v>
                </c:pt>
                <c:pt idx="496">
                  <c:v>-23499.378233332834</c:v>
                </c:pt>
                <c:pt idx="497">
                  <c:v>-23499.723654713358</c:v>
                </c:pt>
                <c:pt idx="498">
                  <c:v>-23499.930912996482</c:v>
                </c:pt>
                <c:pt idx="499">
                  <c:v>-23500</c:v>
                </c:pt>
                <c:pt idx="500">
                  <c:v>-23499.930912996479</c:v>
                </c:pt>
                <c:pt idx="501">
                  <c:v>-23499.723654713354</c:v>
                </c:pt>
                <c:pt idx="502">
                  <c:v>-23499.378233332831</c:v>
                </c:pt>
                <c:pt idx="503">
                  <c:v>-23498.894662491548</c:v>
                </c:pt>
                <c:pt idx="504">
                  <c:v>-23498.272961280058</c:v>
                </c:pt>
                <c:pt idx="505">
                  <c:v>-23497.51315424206</c:v>
                </c:pt>
                <c:pt idx="506">
                  <c:v>-23496.615271373434</c:v>
                </c:pt>
                <c:pt idx="507">
                  <c:v>-23495.579348121057</c:v>
                </c:pt>
                <c:pt idx="508">
                  <c:v>-23494.40542538141</c:v>
                </c:pt>
                <c:pt idx="509">
                  <c:v>-23493.093549498946</c:v>
                </c:pt>
                <c:pt idx="510">
                  <c:v>-23491.643772264284</c:v>
                </c:pt>
                <c:pt idx="511">
                  <c:v>-23490.056150912143</c:v>
                </c:pt>
                <c:pt idx="512">
                  <c:v>-23488.330748119097</c:v>
                </c:pt>
                <c:pt idx="513">
                  <c:v>-23486.467632001099</c:v>
                </c:pt>
                <c:pt idx="514">
                  <c:v>-23484.466876110771</c:v>
                </c:pt>
                <c:pt idx="515">
                  <c:v>-23482.328559434543</c:v>
                </c:pt>
                <c:pt idx="516">
                  <c:v>-23480.052766389486</c:v>
                </c:pt>
                <c:pt idx="517">
                  <c:v>-23477.63958682002</c:v>
                </c:pt>
                <c:pt idx="518">
                  <c:v>-23475.089115994338</c:v>
                </c:pt>
                <c:pt idx="519">
                  <c:v>-23472.401454600662</c:v>
                </c:pt>
                <c:pt idx="520">
                  <c:v>-23469.576708743261</c:v>
                </c:pt>
                <c:pt idx="521">
                  <c:v>-23466.614989938269</c:v>
                </c:pt>
                <c:pt idx="522">
                  <c:v>-23463.516415109269</c:v>
                </c:pt>
                <c:pt idx="523">
                  <c:v>-23460.281106582686</c:v>
                </c:pt>
                <c:pt idx="524">
                  <c:v>-23456.909192082971</c:v>
                </c:pt>
                <c:pt idx="525">
                  <c:v>-23453.400804727524</c:v>
                </c:pt>
                <c:pt idx="526">
                  <c:v>-23449.756083021479</c:v>
                </c:pt>
                <c:pt idx="527">
                  <c:v>-23445.975170852205</c:v>
                </c:pt>
                <c:pt idx="528">
                  <c:v>-23442.058217483638</c:v>
                </c:pt>
                <c:pt idx="529">
                  <c:v>-23438.005377550395</c:v>
                </c:pt>
                <c:pt idx="530">
                  <c:v>-23433.816811051653</c:v>
                </c:pt>
                <c:pt idx="531">
                  <c:v>-23429.492683344848</c:v>
                </c:pt>
                <c:pt idx="532">
                  <c:v>-23425.033165139135</c:v>
                </c:pt>
                <c:pt idx="533">
                  <c:v>-23420.43843248866</c:v>
                </c:pt>
                <c:pt idx="534">
                  <c:v>-23415.708666785598</c:v>
                </c:pt>
                <c:pt idx="535">
                  <c:v>-23410.844054753001</c:v>
                </c:pt>
                <c:pt idx="536">
                  <c:v>-23405.844788437422</c:v>
                </c:pt>
                <c:pt idx="537">
                  <c:v>-23400.71106520134</c:v>
                </c:pt>
                <c:pt idx="538">
                  <c:v>-23395.44308771535</c:v>
                </c:pt>
                <c:pt idx="539">
                  <c:v>-23390.041063950186</c:v>
                </c:pt>
                <c:pt idx="540">
                  <c:v>-23384.505207168502</c:v>
                </c:pt>
                <c:pt idx="541">
                  <c:v>-23378.835735916437</c:v>
                </c:pt>
                <c:pt idx="542">
                  <c:v>-23373.032874015011</c:v>
                </c:pt>
                <c:pt idx="543">
                  <c:v>-23367.096850551279</c:v>
                </c:pt>
                <c:pt idx="544">
                  <c:v>-23361.027899869277</c:v>
                </c:pt>
                <c:pt idx="545">
                  <c:v>-23354.826261560793</c:v>
                </c:pt>
                <c:pt idx="546">
                  <c:v>-23348.492180455883</c:v>
                </c:pt>
                <c:pt idx="547">
                  <c:v>-23342.025906613224</c:v>
                </c:pt>
                <c:pt idx="548">
                  <c:v>-23335.427695310238</c:v>
                </c:pt>
                <c:pt idx="549">
                  <c:v>-23328.697807033011</c:v>
                </c:pt>
                <c:pt idx="550">
                  <c:v>-23321.836507466003</c:v>
                </c:pt>
                <c:pt idx="551">
                  <c:v>-23314.844067481579</c:v>
                </c:pt>
                <c:pt idx="552">
                  <c:v>-23307.720763129288</c:v>
                </c:pt>
                <c:pt idx="553">
                  <c:v>-23300.466875624996</c:v>
                </c:pt>
                <c:pt idx="554">
                  <c:v>-23293.082691339761</c:v>
                </c:pt>
                <c:pt idx="555">
                  <c:v>-23285.56850178853</c:v>
                </c:pt>
                <c:pt idx="556">
                  <c:v>-23277.924603618641</c:v>
                </c:pt>
                <c:pt idx="557">
                  <c:v>-23270.15129859811</c:v>
                </c:pt>
                <c:pt idx="558">
                  <c:v>-23262.248893603708</c:v>
                </c:pt>
                <c:pt idx="559">
                  <c:v>-23254.217700608846</c:v>
                </c:pt>
                <c:pt idx="560">
                  <c:v>-23246.058036671282</c:v>
                </c:pt>
                <c:pt idx="561">
                  <c:v>-23237.770223920568</c:v>
                </c:pt>
                <c:pt idx="562">
                  <c:v>-23229.354589545368</c:v>
                </c:pt>
                <c:pt idx="563">
                  <c:v>-23220.811465780513</c:v>
                </c:pt>
                <c:pt idx="564">
                  <c:v>-23212.141189893897</c:v>
                </c:pt>
                <c:pt idx="565">
                  <c:v>-23203.344104173175</c:v>
                </c:pt>
                <c:pt idx="566">
                  <c:v>-23194.420555912224</c:v>
                </c:pt>
                <c:pt idx="567">
                  <c:v>-23185.370897397446</c:v>
                </c:pt>
                <c:pt idx="568">
                  <c:v>-23176.19548589387</c:v>
                </c:pt>
                <c:pt idx="569">
                  <c:v>-23166.894683631032</c:v>
                </c:pt>
                <c:pt idx="570">
                  <c:v>-23157.46885778867</c:v>
                </c:pt>
                <c:pt idx="571">
                  <c:v>-23147.918380482261</c:v>
                </c:pt>
                <c:pt idx="572">
                  <c:v>-23138.243628748285</c:v>
                </c:pt>
                <c:pt idx="573">
                  <c:v>-23128.444984529382</c:v>
                </c:pt>
                <c:pt idx="574">
                  <c:v>-23118.522834659245</c:v>
                </c:pt>
                <c:pt idx="575">
                  <c:v>-23108.477570847364</c:v>
                </c:pt>
                <c:pt idx="576">
                  <c:v>-23098.30958966355</c:v>
                </c:pt>
                <c:pt idx="577">
                  <c:v>-23088.019292522295</c:v>
                </c:pt>
                <c:pt idx="578">
                  <c:v>-23077.607085666903</c:v>
                </c:pt>
                <c:pt idx="579">
                  <c:v>-23067.073380153477</c:v>
                </c:pt>
                <c:pt idx="580">
                  <c:v>-23056.418591834677</c:v>
                </c:pt>
                <c:pt idx="581">
                  <c:v>-23045.643141343295</c:v>
                </c:pt>
                <c:pt idx="582">
                  <c:v>-23034.74745407567</c:v>
                </c:pt>
                <c:pt idx="583">
                  <c:v>-23023.731960174875</c:v>
                </c:pt>
                <c:pt idx="584">
                  <c:v>-23012.597094513756</c:v>
                </c:pt>
                <c:pt idx="585">
                  <c:v>-23001.343296677736</c:v>
                </c:pt>
                <c:pt idx="586">
                  <c:v>-22989.971010947484</c:v>
                </c:pt>
                <c:pt idx="587">
                  <c:v>-22978.480686281371</c:v>
                </c:pt>
                <c:pt idx="588">
                  <c:v>-22966.872776297743</c:v>
                </c:pt>
                <c:pt idx="589">
                  <c:v>-22955.147739257001</c:v>
                </c:pt>
                <c:pt idx="590">
                  <c:v>-22943.306038043542</c:v>
                </c:pt>
                <c:pt idx="591">
                  <c:v>-22931.348140147446</c:v>
                </c:pt>
                <c:pt idx="592">
                  <c:v>-22919.274517646048</c:v>
                </c:pt>
                <c:pt idx="593">
                  <c:v>-22907.085647185293</c:v>
                </c:pt>
                <c:pt idx="594">
                  <c:v>-22894.782009960913</c:v>
                </c:pt>
                <c:pt idx="595">
                  <c:v>-22882.364091699441</c:v>
                </c:pt>
                <c:pt idx="596">
                  <c:v>-22869.83238263903</c:v>
                </c:pt>
                <c:pt idx="597">
                  <c:v>-22857.18737751009</c:v>
                </c:pt>
                <c:pt idx="598">
                  <c:v>-22844.429575515773</c:v>
                </c:pt>
                <c:pt idx="599">
                  <c:v>-22831.559480312259</c:v>
                </c:pt>
                <c:pt idx="600">
                  <c:v>-22818.577599988868</c:v>
                </c:pt>
                <c:pt idx="601">
                  <c:v>-22805.484447048009</c:v>
                </c:pt>
                <c:pt idx="602">
                  <c:v>-22792.280538384941</c:v>
                </c:pt>
                <c:pt idx="603">
                  <c:v>-22778.966395267365</c:v>
                </c:pt>
                <c:pt idx="604">
                  <c:v>-22765.542543314856</c:v>
                </c:pt>
                <c:pt idx="605">
                  <c:v>-22752.009512478107</c:v>
                </c:pt>
                <c:pt idx="606">
                  <c:v>-22738.367837017999</c:v>
                </c:pt>
                <c:pt idx="607">
                  <c:v>-22724.61805548452</c:v>
                </c:pt>
                <c:pt idx="608">
                  <c:v>-22710.760710695507</c:v>
                </c:pt>
                <c:pt idx="609">
                  <c:v>-22696.796349715201</c:v>
                </c:pt>
                <c:pt idx="610">
                  <c:v>-22682.725523832662</c:v>
                </c:pt>
                <c:pt idx="611">
                  <c:v>-22668.548788540003</c:v>
                </c:pt>
                <c:pt idx="612">
                  <c:v>-22654.266703510461</c:v>
                </c:pt>
                <c:pt idx="613">
                  <c:v>-22639.879832576298</c:v>
                </c:pt>
                <c:pt idx="614">
                  <c:v>-22625.388743706542</c:v>
                </c:pt>
                <c:pt idx="615">
                  <c:v>-22610.794008984572</c:v>
                </c:pt>
                <c:pt idx="616">
                  <c:v>-22596.096204585519</c:v>
                </c:pt>
                <c:pt idx="617">
                  <c:v>-22581.295910753543</c:v>
                </c:pt>
                <c:pt idx="618">
                  <c:v>-22566.393711778892</c:v>
                </c:pt>
                <c:pt idx="619">
                  <c:v>-22551.390195974873</c:v>
                </c:pt>
                <c:pt idx="620">
                  <c:v>-22536.285955654595</c:v>
                </c:pt>
                <c:pt idx="621">
                  <c:v>-22521.081587107605</c:v>
                </c:pt>
                <c:pt idx="622">
                  <c:v>-22505.777690576339</c:v>
                </c:pt>
                <c:pt idx="623">
                  <c:v>-22490.37487023243</c:v>
                </c:pt>
                <c:pt idx="624">
                  <c:v>-22474.873734152847</c:v>
                </c:pt>
                <c:pt idx="625">
                  <c:v>-22459.274894295901</c:v>
                </c:pt>
                <c:pt idx="626">
                  <c:v>-22443.578966477082</c:v>
                </c:pt>
                <c:pt idx="627">
                  <c:v>-22427.786570344746</c:v>
                </c:pt>
                <c:pt idx="628">
                  <c:v>-22411.898329355645</c:v>
                </c:pt>
                <c:pt idx="629">
                  <c:v>-22395.914870750337</c:v>
                </c:pt>
                <c:pt idx="630">
                  <c:v>-22379.836825528393</c:v>
                </c:pt>
                <c:pt idx="631">
                  <c:v>-22363.664828423509</c:v>
                </c:pt>
                <c:pt idx="632">
                  <c:v>-22347.399517878446</c:v>
                </c:pt>
                <c:pt idx="633">
                  <c:v>-22331.041536019806</c:v>
                </c:pt>
                <c:pt idx="634">
                  <c:v>-22314.591528632704</c:v>
                </c:pt>
                <c:pt idx="635">
                  <c:v>-22298.050145135268</c:v>
                </c:pt>
                <c:pt idx="636">
                  <c:v>-22281.418038552998</c:v>
                </c:pt>
                <c:pt idx="637">
                  <c:v>-22264.69586549298</c:v>
                </c:pt>
                <c:pt idx="638">
                  <c:v>-22247.884286117969</c:v>
                </c:pt>
                <c:pt idx="639">
                  <c:v>-22230.98396412034</c:v>
                </c:pt>
                <c:pt idx="640">
                  <c:v>-22213.995566695863</c:v>
                </c:pt>
                <c:pt idx="641">
                  <c:v>-22196.919764517377</c:v>
                </c:pt>
                <c:pt idx="642">
                  <c:v>-22179.757231708321</c:v>
                </c:pt>
                <c:pt idx="643">
                  <c:v>-22162.508645816099</c:v>
                </c:pt>
                <c:pt idx="644">
                  <c:v>-22145.174687785347</c:v>
                </c:pt>
                <c:pt idx="645">
                  <c:v>-22127.756041931047</c:v>
                </c:pt>
                <c:pt idx="646">
                  <c:v>-22110.253395911517</c:v>
                </c:pt>
                <c:pt idx="647">
                  <c:v>-22092.667440701247</c:v>
                </c:pt>
                <c:pt idx="648">
                  <c:v>-22074.998870563639</c:v>
                </c:pt>
                <c:pt idx="649">
                  <c:v>-22057.248383023587</c:v>
                </c:pt>
                <c:pt idx="650">
                  <c:v>-22039.416678839949</c:v>
                </c:pt>
                <c:pt idx="651">
                  <c:v>-22021.504461977871</c:v>
                </c:pt>
                <c:pt idx="652">
                  <c:v>-22003.512439581002</c:v>
                </c:pt>
                <c:pt idx="653">
                  <c:v>-21985.441321943585</c:v>
                </c:pt>
                <c:pt idx="654">
                  <c:v>-21967.291822482395</c:v>
                </c:pt>
                <c:pt idx="655">
                  <c:v>-21949.064657708597</c:v>
                </c:pt>
                <c:pt idx="656">
                  <c:v>-21930.760547199443</c:v>
                </c:pt>
                <c:pt idx="657">
                  <c:v>-21912.380213569882</c:v>
                </c:pt>
                <c:pt idx="658">
                  <c:v>-21893.924382444005</c:v>
                </c:pt>
                <c:pt idx="659">
                  <c:v>-21875.393782426429</c:v>
                </c:pt>
                <c:pt idx="660">
                  <c:v>-21856.789145073511</c:v>
                </c:pt>
                <c:pt idx="661">
                  <c:v>-21838.111204864479</c:v>
                </c:pt>
                <c:pt idx="662">
                  <c:v>-21819.360699172426</c:v>
                </c:pt>
                <c:pt idx="663">
                  <c:v>-21800.538368235219</c:v>
                </c:pt>
                <c:pt idx="664">
                  <c:v>-21781.644955126245</c:v>
                </c:pt>
                <c:pt idx="665">
                  <c:v>-21762.681205725108</c:v>
                </c:pt>
                <c:pt idx="666">
                  <c:v>-21743.647868688167</c:v>
                </c:pt>
                <c:pt idx="667">
                  <c:v>-21724.545695418969</c:v>
                </c:pt>
                <c:pt idx="668">
                  <c:v>-21705.375440038613</c:v>
                </c:pt>
                <c:pt idx="669">
                  <c:v>-21686.137859355953</c:v>
                </c:pt>
                <c:pt idx="670">
                  <c:v>-21666.833712837739</c:v>
                </c:pt>
                <c:pt idx="671">
                  <c:v>-21647.463762578616</c:v>
                </c:pt>
                <c:pt idx="672">
                  <c:v>-21628.028773271057</c:v>
                </c:pt>
                <c:pt idx="673">
                  <c:v>-21608.529512175162</c:v>
                </c:pt>
                <c:pt idx="674">
                  <c:v>-21588.966749088369</c:v>
                </c:pt>
                <c:pt idx="675">
                  <c:v>-21569.34125631507</c:v>
                </c:pt>
                <c:pt idx="676">
                  <c:v>-21549.653808636114</c:v>
                </c:pt>
                <c:pt idx="677">
                  <c:v>-21529.905183278224</c:v>
                </c:pt>
                <c:pt idx="678">
                  <c:v>-21510.096159883316</c:v>
                </c:pt>
                <c:pt idx="679">
                  <c:v>-21490.227520477718</c:v>
                </c:pt>
                <c:pt idx="680">
                  <c:v>-21470.300049441285</c:v>
                </c:pt>
                <c:pt idx="681">
                  <c:v>-21450.314533476459</c:v>
                </c:pt>
                <c:pt idx="682">
                  <c:v>-21430.271761577187</c:v>
                </c:pt>
                <c:pt idx="683">
                  <c:v>-21410.172524997786</c:v>
                </c:pt>
                <c:pt idx="684">
                  <c:v>-21390.0176172217</c:v>
                </c:pt>
                <c:pt idx="685">
                  <c:v>-21369.807833930176</c:v>
                </c:pt>
                <c:pt idx="686">
                  <c:v>-21349.54397297086</c:v>
                </c:pt>
                <c:pt idx="687">
                  <c:v>-21329.226834326277</c:v>
                </c:pt>
                <c:pt idx="688">
                  <c:v>-21308.857220082275</c:v>
                </c:pt>
                <c:pt idx="689">
                  <c:v>-21288.435934396348</c:v>
                </c:pt>
                <c:pt idx="690">
                  <c:v>-21267.963783465886</c:v>
                </c:pt>
                <c:pt idx="691">
                  <c:v>-21247.441575496352</c:v>
                </c:pt>
                <c:pt idx="692">
                  <c:v>-21226.870120669384</c:v>
                </c:pt>
                <c:pt idx="693">
                  <c:v>-21206.250231110789</c:v>
                </c:pt>
                <c:pt idx="694">
                  <c:v>-21185.5827208585</c:v>
                </c:pt>
                <c:pt idx="695">
                  <c:v>-21164.868405830435</c:v>
                </c:pt>
                <c:pt idx="696">
                  <c:v>-21144.108103792281</c:v>
                </c:pt>
                <c:pt idx="697">
                  <c:v>-21123.302634325217</c:v>
                </c:pt>
                <c:pt idx="698">
                  <c:v>-21102.45281879355</c:v>
                </c:pt>
                <c:pt idx="699">
                  <c:v>-21081.559480312302</c:v>
                </c:pt>
                <c:pt idx="700">
                  <c:v>-21060.623443714696</c:v>
                </c:pt>
                <c:pt idx="701">
                  <c:v>-21039.645535519612</c:v>
                </c:pt>
                <c:pt idx="702">
                  <c:v>-21018.626583898942</c:v>
                </c:pt>
                <c:pt idx="703">
                  <c:v>-20997.567418644907</c:v>
                </c:pt>
                <c:pt idx="704">
                  <c:v>-20976.468871137295</c:v>
                </c:pt>
                <c:pt idx="705">
                  <c:v>-20955.331774310631</c:v>
                </c:pt>
                <c:pt idx="706">
                  <c:v>-20934.15696262131</c:v>
                </c:pt>
                <c:pt idx="707">
                  <c:v>-20912.945272014636</c:v>
                </c:pt>
                <c:pt idx="708">
                  <c:v>-20891.697539891837</c:v>
                </c:pt>
                <c:pt idx="709">
                  <c:v>-20870.414605076992</c:v>
                </c:pt>
                <c:pt idx="710">
                  <c:v>-20849.097307783926</c:v>
                </c:pt>
                <c:pt idx="711">
                  <c:v>-20827.746489583038</c:v>
                </c:pt>
                <c:pt idx="712">
                  <c:v>-20806.362993368071</c:v>
                </c:pt>
                <c:pt idx="713">
                  <c:v>-20784.947663322837</c:v>
                </c:pt>
                <c:pt idx="714">
                  <c:v>-20763.501344887904</c:v>
                </c:pt>
                <c:pt idx="715">
                  <c:v>-20742.024884727198</c:v>
                </c:pt>
                <c:pt idx="716">
                  <c:v>-20720.519130694593</c:v>
                </c:pt>
                <c:pt idx="717">
                  <c:v>-20698.984931800434</c:v>
                </c:pt>
                <c:pt idx="718">
                  <c:v>-20677.423138178023</c:v>
                </c:pt>
                <c:pt idx="719">
                  <c:v>-20655.83460105005</c:v>
                </c:pt>
                <c:pt idx="720">
                  <c:v>-20634.220172694993</c:v>
                </c:pt>
                <c:pt idx="721">
                  <c:v>-20612.580706413482</c:v>
                </c:pt>
                <c:pt idx="722">
                  <c:v>-20590.917056494585</c:v>
                </c:pt>
                <c:pt idx="723">
                  <c:v>-20569.23007818211</c:v>
                </c:pt>
                <c:pt idx="724">
                  <c:v>-20547.520627640828</c:v>
                </c:pt>
                <c:pt idx="725">
                  <c:v>-20525.789561922669</c:v>
                </c:pt>
                <c:pt idx="726">
                  <c:v>-20504.037738932904</c:v>
                </c:pt>
                <c:pt idx="727">
                  <c:v>-20482.266017396258</c:v>
                </c:pt>
                <c:pt idx="728">
                  <c:v>-20460.475256823014</c:v>
                </c:pt>
                <c:pt idx="729">
                  <c:v>-20438.66631747509</c:v>
                </c:pt>
                <c:pt idx="730">
                  <c:v>-20416.84006033207</c:v>
                </c:pt>
                <c:pt idx="731">
                  <c:v>-20394.997347057215</c:v>
                </c:pt>
                <c:pt idx="732">
                  <c:v>-20373.13903996344</c:v>
                </c:pt>
                <c:pt idx="733">
                  <c:v>-20351.266001979282</c:v>
                </c:pt>
                <c:pt idx="734">
                  <c:v>-20329.379096614834</c:v>
                </c:pt>
                <c:pt idx="735">
                  <c:v>-20307.479187927634</c:v>
                </c:pt>
                <c:pt idx="736">
                  <c:v>-20285.567140488587</c:v>
                </c:pt>
                <c:pt idx="737">
                  <c:v>-20263.643819347802</c:v>
                </c:pt>
                <c:pt idx="738">
                  <c:v>-20241.710090000459</c:v>
                </c:pt>
                <c:pt idx="739">
                  <c:v>-20219.766818352637</c:v>
                </c:pt>
                <c:pt idx="740">
                  <c:v>-20197.814870687125</c:v>
                </c:pt>
                <c:pt idx="741">
                  <c:v>-20175.855113629237</c:v>
                </c:pt>
                <c:pt idx="742">
                  <c:v>-20153.888414112571</c:v>
                </c:pt>
                <c:pt idx="743">
                  <c:v>-20131.915639344817</c:v>
                </c:pt>
                <c:pt idx="744">
                  <c:v>-20109.937656773494</c:v>
                </c:pt>
                <c:pt idx="745">
                  <c:v>-20087.95533405173</c:v>
                </c:pt>
                <c:pt idx="746">
                  <c:v>-20065.969539003978</c:v>
                </c:pt>
                <c:pt idx="747">
                  <c:v>-20043.981139591786</c:v>
                </c:pt>
                <c:pt idx="748">
                  <c:v>-20021.99100387951</c:v>
                </c:pt>
                <c:pt idx="749">
                  <c:v>-20000.000000000055</c:v>
                </c:pt>
                <c:pt idx="750">
                  <c:v>-19978.008996120599</c:v>
                </c:pt>
                <c:pt idx="751">
                  <c:v>-19956.018860408323</c:v>
                </c:pt>
                <c:pt idx="752">
                  <c:v>-19934.030460996128</c:v>
                </c:pt>
                <c:pt idx="753">
                  <c:v>-19912.044665948379</c:v>
                </c:pt>
                <c:pt idx="754">
                  <c:v>-19890.062343226611</c:v>
                </c:pt>
                <c:pt idx="755">
                  <c:v>-19868.084360655292</c:v>
                </c:pt>
                <c:pt idx="756">
                  <c:v>-19846.111585887535</c:v>
                </c:pt>
                <c:pt idx="757">
                  <c:v>-19824.144886370872</c:v>
                </c:pt>
                <c:pt idx="758">
                  <c:v>-19802.18512931298</c:v>
                </c:pt>
                <c:pt idx="759">
                  <c:v>-19780.233181647469</c:v>
                </c:pt>
                <c:pt idx="760">
                  <c:v>-19758.289909999647</c:v>
                </c:pt>
                <c:pt idx="761">
                  <c:v>-19736.356180652307</c:v>
                </c:pt>
                <c:pt idx="762">
                  <c:v>-19714.432859511518</c:v>
                </c:pt>
                <c:pt idx="763">
                  <c:v>-19692.520812072471</c:v>
                </c:pt>
                <c:pt idx="764">
                  <c:v>-19670.620903385272</c:v>
                </c:pt>
                <c:pt idx="765">
                  <c:v>-19648.733998020823</c:v>
                </c:pt>
                <c:pt idx="766">
                  <c:v>-19626.860960036665</c:v>
                </c:pt>
                <c:pt idx="767">
                  <c:v>-19605.002652942891</c:v>
                </c:pt>
                <c:pt idx="768">
                  <c:v>-19583.159939668036</c:v>
                </c:pt>
                <c:pt idx="769">
                  <c:v>-19561.333682525015</c:v>
                </c:pt>
                <c:pt idx="770">
                  <c:v>-19539.524743177091</c:v>
                </c:pt>
                <c:pt idx="771">
                  <c:v>-19517.733982603848</c:v>
                </c:pt>
                <c:pt idx="772">
                  <c:v>-19495.962261067201</c:v>
                </c:pt>
                <c:pt idx="773">
                  <c:v>-19474.210438077436</c:v>
                </c:pt>
                <c:pt idx="774">
                  <c:v>-19452.479372359277</c:v>
                </c:pt>
                <c:pt idx="775">
                  <c:v>-19430.769921817995</c:v>
                </c:pt>
                <c:pt idx="776">
                  <c:v>-19409.08294350552</c:v>
                </c:pt>
                <c:pt idx="777">
                  <c:v>-19387.419293586623</c:v>
                </c:pt>
                <c:pt idx="778">
                  <c:v>-19365.779827305112</c:v>
                </c:pt>
                <c:pt idx="779">
                  <c:v>-19344.165398950056</c:v>
                </c:pt>
                <c:pt idx="780">
                  <c:v>-19322.576861822083</c:v>
                </c:pt>
                <c:pt idx="781">
                  <c:v>-19301.015068199671</c:v>
                </c:pt>
                <c:pt idx="782">
                  <c:v>-19279.480869305513</c:v>
                </c:pt>
                <c:pt idx="783">
                  <c:v>-19257.975115272908</c:v>
                </c:pt>
                <c:pt idx="784">
                  <c:v>-19236.498655112198</c:v>
                </c:pt>
                <c:pt idx="785">
                  <c:v>-19215.052336677265</c:v>
                </c:pt>
                <c:pt idx="786">
                  <c:v>-19193.637006632034</c:v>
                </c:pt>
                <c:pt idx="787">
                  <c:v>-19172.253510417067</c:v>
                </c:pt>
                <c:pt idx="788">
                  <c:v>-19150.902692216179</c:v>
                </c:pt>
                <c:pt idx="789">
                  <c:v>-19129.585394923113</c:v>
                </c:pt>
                <c:pt idx="790">
                  <c:v>-19108.302460108269</c:v>
                </c:pt>
                <c:pt idx="791">
                  <c:v>-19087.054727985469</c:v>
                </c:pt>
                <c:pt idx="792">
                  <c:v>-19065.843037378792</c:v>
                </c:pt>
                <c:pt idx="793">
                  <c:v>-19044.668225689471</c:v>
                </c:pt>
                <c:pt idx="794">
                  <c:v>-19023.531128862807</c:v>
                </c:pt>
                <c:pt idx="795">
                  <c:v>-19002.432581355195</c:v>
                </c:pt>
                <c:pt idx="796">
                  <c:v>-18981.37341610116</c:v>
                </c:pt>
                <c:pt idx="797">
                  <c:v>-18960.354464480493</c:v>
                </c:pt>
                <c:pt idx="798">
                  <c:v>-18939.376556285406</c:v>
                </c:pt>
                <c:pt idx="799">
                  <c:v>-18918.4405196878</c:v>
                </c:pt>
                <c:pt idx="800">
                  <c:v>-18897.547181206552</c:v>
                </c:pt>
                <c:pt idx="801">
                  <c:v>-18876.697365674885</c:v>
                </c:pt>
                <c:pt idx="802">
                  <c:v>-18855.891896207821</c:v>
                </c:pt>
                <c:pt idx="803">
                  <c:v>-18835.131594169667</c:v>
                </c:pt>
                <c:pt idx="804">
                  <c:v>-18814.417279141602</c:v>
                </c:pt>
                <c:pt idx="805">
                  <c:v>-18793.749768889313</c:v>
                </c:pt>
                <c:pt idx="806">
                  <c:v>-18773.129879330718</c:v>
                </c:pt>
                <c:pt idx="807">
                  <c:v>-18752.558424503746</c:v>
                </c:pt>
                <c:pt idx="808">
                  <c:v>-18732.036216534216</c:v>
                </c:pt>
                <c:pt idx="809">
                  <c:v>-18711.564065603754</c:v>
                </c:pt>
                <c:pt idx="810">
                  <c:v>-18691.142779917827</c:v>
                </c:pt>
                <c:pt idx="811">
                  <c:v>-18670.773165673825</c:v>
                </c:pt>
                <c:pt idx="812">
                  <c:v>-18650.456027029242</c:v>
                </c:pt>
                <c:pt idx="813">
                  <c:v>-18630.192166069923</c:v>
                </c:pt>
                <c:pt idx="814">
                  <c:v>-18609.982382778398</c:v>
                </c:pt>
                <c:pt idx="815">
                  <c:v>-18589.827475002312</c:v>
                </c:pt>
                <c:pt idx="816">
                  <c:v>-18569.728238422911</c:v>
                </c:pt>
                <c:pt idx="817">
                  <c:v>-18549.685466523639</c:v>
                </c:pt>
                <c:pt idx="818">
                  <c:v>-18529.699950558814</c:v>
                </c:pt>
                <c:pt idx="819">
                  <c:v>-18509.77247952238</c:v>
                </c:pt>
                <c:pt idx="820">
                  <c:v>-18489.903840116778</c:v>
                </c:pt>
                <c:pt idx="821">
                  <c:v>-18470.09481672187</c:v>
                </c:pt>
                <c:pt idx="822">
                  <c:v>-18450.346191363984</c:v>
                </c:pt>
                <c:pt idx="823">
                  <c:v>-18430.658743685024</c:v>
                </c:pt>
                <c:pt idx="824">
                  <c:v>-18411.033250911725</c:v>
                </c:pt>
                <c:pt idx="825">
                  <c:v>-18391.470487824932</c:v>
                </c:pt>
                <c:pt idx="826">
                  <c:v>-18371.971226729038</c:v>
                </c:pt>
                <c:pt idx="827">
                  <c:v>-18352.536237421478</c:v>
                </c:pt>
                <c:pt idx="828">
                  <c:v>-18333.166287162356</c:v>
                </c:pt>
                <c:pt idx="829">
                  <c:v>-18313.862140644138</c:v>
                </c:pt>
                <c:pt idx="830">
                  <c:v>-18294.624559961481</c:v>
                </c:pt>
                <c:pt idx="831">
                  <c:v>-18275.454304581122</c:v>
                </c:pt>
                <c:pt idx="832">
                  <c:v>-18256.352131311927</c:v>
                </c:pt>
                <c:pt idx="833">
                  <c:v>-18237.318794274983</c:v>
                </c:pt>
                <c:pt idx="834">
                  <c:v>-18218.355044873846</c:v>
                </c:pt>
                <c:pt idx="835">
                  <c:v>-18199.461631764872</c:v>
                </c:pt>
                <c:pt idx="836">
                  <c:v>-18180.639300827665</c:v>
                </c:pt>
                <c:pt idx="837">
                  <c:v>-18161.888795135612</c:v>
                </c:pt>
                <c:pt idx="838">
                  <c:v>-18143.210854926579</c:v>
                </c:pt>
                <c:pt idx="839">
                  <c:v>-18124.606217573662</c:v>
                </c:pt>
                <c:pt idx="840">
                  <c:v>-18106.075617556085</c:v>
                </c:pt>
                <c:pt idx="841">
                  <c:v>-18087.619786430208</c:v>
                </c:pt>
                <c:pt idx="842">
                  <c:v>-18069.239452800644</c:v>
                </c:pt>
                <c:pt idx="843">
                  <c:v>-18050.935342291494</c:v>
                </c:pt>
                <c:pt idx="844">
                  <c:v>-18032.708177517696</c:v>
                </c:pt>
                <c:pt idx="845">
                  <c:v>-18014.558678056506</c:v>
                </c:pt>
                <c:pt idx="846">
                  <c:v>-17996.487560419086</c:v>
                </c:pt>
                <c:pt idx="847">
                  <c:v>-17978.495538022216</c:v>
                </c:pt>
                <c:pt idx="848">
                  <c:v>-17960.583321160138</c:v>
                </c:pt>
                <c:pt idx="849">
                  <c:v>-17942.751616976497</c:v>
                </c:pt>
                <c:pt idx="850">
                  <c:v>-17925.001129436449</c:v>
                </c:pt>
                <c:pt idx="851">
                  <c:v>-17907.33255929884</c:v>
                </c:pt>
                <c:pt idx="852">
                  <c:v>-17889.74660408857</c:v>
                </c:pt>
                <c:pt idx="853">
                  <c:v>-17872.243958069037</c:v>
                </c:pt>
                <c:pt idx="854">
                  <c:v>-17854.825312214736</c:v>
                </c:pt>
                <c:pt idx="855">
                  <c:v>-17837.491354183985</c:v>
                </c:pt>
                <c:pt idx="856">
                  <c:v>-17820.242768291762</c:v>
                </c:pt>
                <c:pt idx="857">
                  <c:v>-17803.080235482706</c:v>
                </c:pt>
                <c:pt idx="858">
                  <c:v>-17786.004433304221</c:v>
                </c:pt>
                <c:pt idx="859">
                  <c:v>-17769.016035879744</c:v>
                </c:pt>
                <c:pt idx="860">
                  <c:v>-17752.115713882111</c:v>
                </c:pt>
                <c:pt idx="861">
                  <c:v>-17735.304134507103</c:v>
                </c:pt>
                <c:pt idx="862">
                  <c:v>-17718.581961447082</c:v>
                </c:pt>
                <c:pt idx="863">
                  <c:v>-17701.949854864812</c:v>
                </c:pt>
                <c:pt idx="864">
                  <c:v>-17685.408471367376</c:v>
                </c:pt>
                <c:pt idx="865">
                  <c:v>-17668.958463980278</c:v>
                </c:pt>
                <c:pt idx="866">
                  <c:v>-17652.600482121637</c:v>
                </c:pt>
                <c:pt idx="867">
                  <c:v>-17636.335171576575</c:v>
                </c:pt>
                <c:pt idx="868">
                  <c:v>-17620.163174471691</c:v>
                </c:pt>
                <c:pt idx="869">
                  <c:v>-17604.085129249746</c:v>
                </c:pt>
                <c:pt idx="870">
                  <c:v>-17588.101670644439</c:v>
                </c:pt>
                <c:pt idx="871">
                  <c:v>-17572.213429655341</c:v>
                </c:pt>
                <c:pt idx="872">
                  <c:v>-17556.421033523005</c:v>
                </c:pt>
                <c:pt idx="873">
                  <c:v>-17540.725105704187</c:v>
                </c:pt>
                <c:pt idx="874">
                  <c:v>-17525.126265847241</c:v>
                </c:pt>
                <c:pt idx="875">
                  <c:v>-17509.625129767661</c:v>
                </c:pt>
                <c:pt idx="876">
                  <c:v>-17494.222309423749</c:v>
                </c:pt>
                <c:pt idx="877">
                  <c:v>-17478.918412892486</c:v>
                </c:pt>
                <c:pt idx="878">
                  <c:v>-17463.714044345495</c:v>
                </c:pt>
                <c:pt idx="879">
                  <c:v>-17448.609804025218</c:v>
                </c:pt>
                <c:pt idx="880">
                  <c:v>-17433.606288221199</c:v>
                </c:pt>
                <c:pt idx="881">
                  <c:v>-17418.704089246548</c:v>
                </c:pt>
                <c:pt idx="882">
                  <c:v>-17403.903795414572</c:v>
                </c:pt>
                <c:pt idx="883">
                  <c:v>-17389.205991015522</c:v>
                </c:pt>
                <c:pt idx="884">
                  <c:v>-17374.611256293549</c:v>
                </c:pt>
                <c:pt idx="885">
                  <c:v>-17360.120167423793</c:v>
                </c:pt>
                <c:pt idx="886">
                  <c:v>-17345.73329648963</c:v>
                </c:pt>
                <c:pt idx="887">
                  <c:v>-17331.451211460088</c:v>
                </c:pt>
                <c:pt idx="888">
                  <c:v>-17317.274476167433</c:v>
                </c:pt>
                <c:pt idx="889">
                  <c:v>-17303.203650284893</c:v>
                </c:pt>
                <c:pt idx="890">
                  <c:v>-17289.239289304587</c:v>
                </c:pt>
                <c:pt idx="891">
                  <c:v>-17275.381944515575</c:v>
                </c:pt>
                <c:pt idx="892">
                  <c:v>-17261.632162982096</c:v>
                </c:pt>
                <c:pt idx="893">
                  <c:v>-17247.990487521987</c:v>
                </c:pt>
                <c:pt idx="894">
                  <c:v>-17234.457456685239</c:v>
                </c:pt>
                <c:pt idx="895">
                  <c:v>-17221.033604732729</c:v>
                </c:pt>
                <c:pt idx="896">
                  <c:v>-17207.719461615154</c:v>
                </c:pt>
                <c:pt idx="897">
                  <c:v>-17194.515552952085</c:v>
                </c:pt>
                <c:pt idx="898">
                  <c:v>-17181.422400011226</c:v>
                </c:pt>
                <c:pt idx="899">
                  <c:v>-17168.440519687836</c:v>
                </c:pt>
                <c:pt idx="900">
                  <c:v>-17155.570424484322</c:v>
                </c:pt>
                <c:pt idx="901">
                  <c:v>-17142.812622490008</c:v>
                </c:pt>
                <c:pt idx="902">
                  <c:v>-17130.167617361069</c:v>
                </c:pt>
                <c:pt idx="903">
                  <c:v>-17117.635908300654</c:v>
                </c:pt>
                <c:pt idx="904">
                  <c:v>-17105.217990039182</c:v>
                </c:pt>
                <c:pt idx="905">
                  <c:v>-17092.914352814805</c:v>
                </c:pt>
                <c:pt idx="906">
                  <c:v>-17080.72548235405</c:v>
                </c:pt>
                <c:pt idx="907">
                  <c:v>-17068.651859852653</c:v>
                </c:pt>
                <c:pt idx="908">
                  <c:v>-17056.693961956553</c:v>
                </c:pt>
                <c:pt idx="909">
                  <c:v>-17044.852260743093</c:v>
                </c:pt>
                <c:pt idx="910">
                  <c:v>-17033.127223702355</c:v>
                </c:pt>
                <c:pt idx="911">
                  <c:v>-17021.519313718723</c:v>
                </c:pt>
                <c:pt idx="912">
                  <c:v>-17010.028989052611</c:v>
                </c:pt>
                <c:pt idx="913">
                  <c:v>-16998.656703322362</c:v>
                </c:pt>
                <c:pt idx="914">
                  <c:v>-16987.402905486339</c:v>
                </c:pt>
                <c:pt idx="915">
                  <c:v>-16976.26803982522</c:v>
                </c:pt>
                <c:pt idx="916">
                  <c:v>-16965.252545924424</c:v>
                </c:pt>
                <c:pt idx="917">
                  <c:v>-16954.3568586568</c:v>
                </c:pt>
                <c:pt idx="918">
                  <c:v>-16943.581408165417</c:v>
                </c:pt>
                <c:pt idx="919">
                  <c:v>-16932.926619846614</c:v>
                </c:pt>
                <c:pt idx="920">
                  <c:v>-16922.392914333192</c:v>
                </c:pt>
                <c:pt idx="921">
                  <c:v>-16911.9807074778</c:v>
                </c:pt>
                <c:pt idx="922">
                  <c:v>-16901.690410336541</c:v>
                </c:pt>
                <c:pt idx="923">
                  <c:v>-16891.522429152727</c:v>
                </c:pt>
                <c:pt idx="924">
                  <c:v>-16881.477165340846</c:v>
                </c:pt>
                <c:pt idx="925">
                  <c:v>-16871.555015470709</c:v>
                </c:pt>
                <c:pt idx="926">
                  <c:v>-16861.756371251806</c:v>
                </c:pt>
                <c:pt idx="927">
                  <c:v>-16852.08161951783</c:v>
                </c:pt>
                <c:pt idx="928">
                  <c:v>-16842.531142211417</c:v>
                </c:pt>
                <c:pt idx="929">
                  <c:v>-16833.105316369059</c:v>
                </c:pt>
                <c:pt idx="930">
                  <c:v>-16823.804514106218</c:v>
                </c:pt>
                <c:pt idx="931">
                  <c:v>-16814.629102602641</c:v>
                </c:pt>
                <c:pt idx="932">
                  <c:v>-16805.579444087864</c:v>
                </c:pt>
                <c:pt idx="933">
                  <c:v>-16796.655895826912</c:v>
                </c:pt>
                <c:pt idx="934">
                  <c:v>-16787.858810106187</c:v>
                </c:pt>
                <c:pt idx="935">
                  <c:v>-16779.188534219575</c:v>
                </c:pt>
                <c:pt idx="936">
                  <c:v>-16770.645410454716</c:v>
                </c:pt>
                <c:pt idx="937">
                  <c:v>-16762.229776079515</c:v>
                </c:pt>
                <c:pt idx="938">
                  <c:v>-16753.941963328802</c:v>
                </c:pt>
                <c:pt idx="939">
                  <c:v>-16745.782299391234</c:v>
                </c:pt>
                <c:pt idx="940">
                  <c:v>-16737.751106396376</c:v>
                </c:pt>
                <c:pt idx="941">
                  <c:v>-16729.84870140197</c:v>
                </c:pt>
                <c:pt idx="942">
                  <c:v>-16722.075396381439</c:v>
                </c:pt>
                <c:pt idx="943">
                  <c:v>-16714.43149821155</c:v>
                </c:pt>
                <c:pt idx="944">
                  <c:v>-16706.917308660319</c:v>
                </c:pt>
                <c:pt idx="945">
                  <c:v>-16699.533124375081</c:v>
                </c:pt>
                <c:pt idx="946">
                  <c:v>-16692.279236870789</c:v>
                </c:pt>
                <c:pt idx="947">
                  <c:v>-16685.155932518501</c:v>
                </c:pt>
                <c:pt idx="948">
                  <c:v>-16678.16349253407</c:v>
                </c:pt>
                <c:pt idx="949">
                  <c:v>-16671.302192967065</c:v>
                </c:pt>
                <c:pt idx="950">
                  <c:v>-16664.572304689835</c:v>
                </c:pt>
                <c:pt idx="951">
                  <c:v>-16657.974093386849</c:v>
                </c:pt>
                <c:pt idx="952">
                  <c:v>-16651.507819544189</c:v>
                </c:pt>
                <c:pt idx="953">
                  <c:v>-16645.17373843928</c:v>
                </c:pt>
                <c:pt idx="954">
                  <c:v>-16638.972100130792</c:v>
                </c:pt>
                <c:pt idx="955">
                  <c:v>-16632.90314944879</c:v>
                </c:pt>
                <c:pt idx="956">
                  <c:v>-16626.967125985055</c:v>
                </c:pt>
                <c:pt idx="957">
                  <c:v>-16621.164264083629</c:v>
                </c:pt>
                <c:pt idx="958">
                  <c:v>-16615.494792831563</c:v>
                </c:pt>
                <c:pt idx="959">
                  <c:v>-16609.958936049876</c:v>
                </c:pt>
                <c:pt idx="960">
                  <c:v>-16604.556912284712</c:v>
                </c:pt>
                <c:pt idx="961">
                  <c:v>-16599.288934798722</c:v>
                </c:pt>
                <c:pt idx="962">
                  <c:v>-16594.155211562636</c:v>
                </c:pt>
                <c:pt idx="963">
                  <c:v>-16589.155945247057</c:v>
                </c:pt>
                <c:pt idx="964">
                  <c:v>-16584.29133321446</c:v>
                </c:pt>
                <c:pt idx="965">
                  <c:v>-16579.561567511399</c:v>
                </c:pt>
                <c:pt idx="966">
                  <c:v>-16574.966834860919</c:v>
                </c:pt>
                <c:pt idx="967">
                  <c:v>-16570.507316655207</c:v>
                </c:pt>
                <c:pt idx="968">
                  <c:v>-16566.183188948398</c:v>
                </c:pt>
                <c:pt idx="969">
                  <c:v>-16561.994622449656</c:v>
                </c:pt>
                <c:pt idx="970">
                  <c:v>-16557.941782516409</c:v>
                </c:pt>
                <c:pt idx="971">
                  <c:v>-16554.024829147842</c:v>
                </c:pt>
                <c:pt idx="972">
                  <c:v>-16550.243916978568</c:v>
                </c:pt>
                <c:pt idx="973">
                  <c:v>-16546.59919527252</c:v>
                </c:pt>
                <c:pt idx="974">
                  <c:v>-16543.090807917073</c:v>
                </c:pt>
                <c:pt idx="975">
                  <c:v>-16539.718893417354</c:v>
                </c:pt>
                <c:pt idx="976">
                  <c:v>-16536.483584890775</c:v>
                </c:pt>
                <c:pt idx="977">
                  <c:v>-16533.385010061771</c:v>
                </c:pt>
                <c:pt idx="978">
                  <c:v>-16530.423291256775</c:v>
                </c:pt>
                <c:pt idx="979">
                  <c:v>-16527.598545399374</c:v>
                </c:pt>
                <c:pt idx="980">
                  <c:v>-16524.910884005698</c:v>
                </c:pt>
                <c:pt idx="981">
                  <c:v>-16522.360413180013</c:v>
                </c:pt>
                <c:pt idx="982">
                  <c:v>-16519.947233610543</c:v>
                </c:pt>
                <c:pt idx="983">
                  <c:v>-16517.671440565486</c:v>
                </c:pt>
                <c:pt idx="984">
                  <c:v>-16515.533123889254</c:v>
                </c:pt>
                <c:pt idx="985">
                  <c:v>-16513.532367998931</c:v>
                </c:pt>
                <c:pt idx="986">
                  <c:v>-16511.669251880925</c:v>
                </c:pt>
                <c:pt idx="987">
                  <c:v>-16509.943849087882</c:v>
                </c:pt>
                <c:pt idx="988">
                  <c:v>-16508.356227735738</c:v>
                </c:pt>
                <c:pt idx="989">
                  <c:v>-16506.906450501076</c:v>
                </c:pt>
                <c:pt idx="990">
                  <c:v>-16505.594574618608</c:v>
                </c:pt>
                <c:pt idx="991">
                  <c:v>-16504.420651878958</c:v>
                </c:pt>
                <c:pt idx="992">
                  <c:v>-16503.384728626581</c:v>
                </c:pt>
                <c:pt idx="993">
                  <c:v>-16502.486845757951</c:v>
                </c:pt>
                <c:pt idx="994">
                  <c:v>-16501.727038719953</c:v>
                </c:pt>
                <c:pt idx="995">
                  <c:v>-16501.105337508459</c:v>
                </c:pt>
                <c:pt idx="996">
                  <c:v>-16500.621766667176</c:v>
                </c:pt>
                <c:pt idx="997">
                  <c:v>-16500.276345286649</c:v>
                </c:pt>
                <c:pt idx="998">
                  <c:v>-16500.069087003521</c:v>
                </c:pt>
                <c:pt idx="999">
                  <c:v>-16500</c:v>
                </c:pt>
              </c:numCache>
            </c:numRef>
          </c:xVal>
          <c:yVal>
            <c:numRef>
              <c:f>Feuil1!$W$12:$W$1011</c:f>
              <c:numCache>
                <c:formatCode>General</c:formatCode>
                <c:ptCount val="1000"/>
                <c:pt idx="0">
                  <c:v>10021.991003879457</c:v>
                </c:pt>
                <c:pt idx="1">
                  <c:v>10043.981139591735</c:v>
                </c:pt>
                <c:pt idx="2">
                  <c:v>10065.969539003929</c:v>
                </c:pt>
                <c:pt idx="3">
                  <c:v>10087.955334051681</c:v>
                </c:pt>
                <c:pt idx="4">
                  <c:v>10109.937656773449</c:v>
                </c:pt>
                <c:pt idx="5">
                  <c:v>10131.91563934477</c:v>
                </c:pt>
                <c:pt idx="6">
                  <c:v>10153.888414112527</c:v>
                </c:pt>
                <c:pt idx="7">
                  <c:v>10175.855113629194</c:v>
                </c:pt>
                <c:pt idx="8">
                  <c:v>10197.814870687085</c:v>
                </c:pt>
                <c:pt idx="9">
                  <c:v>10219.766818352597</c:v>
                </c:pt>
                <c:pt idx="10">
                  <c:v>10241.710090000421</c:v>
                </c:pt>
                <c:pt idx="11">
                  <c:v>10263.643819347764</c:v>
                </c:pt>
                <c:pt idx="12">
                  <c:v>10285.567140488551</c:v>
                </c:pt>
                <c:pt idx="13">
                  <c:v>10307.479187927602</c:v>
                </c:pt>
                <c:pt idx="14">
                  <c:v>10329.379096614801</c:v>
                </c:pt>
                <c:pt idx="15">
                  <c:v>10351.266001979253</c:v>
                </c:pt>
                <c:pt idx="16">
                  <c:v>10373.139039963409</c:v>
                </c:pt>
                <c:pt idx="17">
                  <c:v>10394.997347057186</c:v>
                </c:pt>
                <c:pt idx="18">
                  <c:v>10416.840060332044</c:v>
                </c:pt>
                <c:pt idx="19">
                  <c:v>10438.666317475065</c:v>
                </c:pt>
                <c:pt idx="20">
                  <c:v>10460.475256822989</c:v>
                </c:pt>
                <c:pt idx="21">
                  <c:v>10482.266017396234</c:v>
                </c:pt>
                <c:pt idx="22">
                  <c:v>10504.037738932882</c:v>
                </c:pt>
                <c:pt idx="23">
                  <c:v>10525.789561922649</c:v>
                </c:pt>
                <c:pt idx="24">
                  <c:v>10547.520627640808</c:v>
                </c:pt>
                <c:pt idx="25">
                  <c:v>10569.230078182092</c:v>
                </c:pt>
                <c:pt idx="26">
                  <c:v>10590.917056494569</c:v>
                </c:pt>
                <c:pt idx="27">
                  <c:v>10612.580706413466</c:v>
                </c:pt>
                <c:pt idx="28">
                  <c:v>10634.220172694981</c:v>
                </c:pt>
                <c:pt idx="29">
                  <c:v>10655.834601050035</c:v>
                </c:pt>
                <c:pt idx="30">
                  <c:v>10677.42313817801</c:v>
                </c:pt>
                <c:pt idx="31">
                  <c:v>10698.984931800424</c:v>
                </c:pt>
                <c:pt idx="32">
                  <c:v>10720.519130694585</c:v>
                </c:pt>
                <c:pt idx="33">
                  <c:v>10742.024884727191</c:v>
                </c:pt>
                <c:pt idx="34">
                  <c:v>10763.501344887898</c:v>
                </c:pt>
                <c:pt idx="35">
                  <c:v>10784.947663322833</c:v>
                </c:pt>
                <c:pt idx="36">
                  <c:v>10806.362993368068</c:v>
                </c:pt>
                <c:pt idx="37">
                  <c:v>10827.746489583036</c:v>
                </c:pt>
                <c:pt idx="38">
                  <c:v>10849.097307783926</c:v>
                </c:pt>
                <c:pt idx="39">
                  <c:v>10870.414605076992</c:v>
                </c:pt>
                <c:pt idx="40">
                  <c:v>10891.697539891837</c:v>
                </c:pt>
                <c:pt idx="41">
                  <c:v>10912.945272014638</c:v>
                </c:pt>
                <c:pt idx="42">
                  <c:v>10934.156962621315</c:v>
                </c:pt>
                <c:pt idx="43">
                  <c:v>10955.331774310638</c:v>
                </c:pt>
                <c:pt idx="44">
                  <c:v>10976.468871137302</c:v>
                </c:pt>
                <c:pt idx="45">
                  <c:v>10997.567418644916</c:v>
                </c:pt>
                <c:pt idx="46">
                  <c:v>11018.626583898951</c:v>
                </c:pt>
                <c:pt idx="47">
                  <c:v>11039.645535519621</c:v>
                </c:pt>
                <c:pt idx="48">
                  <c:v>11060.623443714709</c:v>
                </c:pt>
                <c:pt idx="49">
                  <c:v>11081.559480312315</c:v>
                </c:pt>
                <c:pt idx="50">
                  <c:v>11102.452818793567</c:v>
                </c:pt>
                <c:pt idx="51">
                  <c:v>11123.302634325233</c:v>
                </c:pt>
                <c:pt idx="52">
                  <c:v>11144.108103792298</c:v>
                </c:pt>
                <c:pt idx="53">
                  <c:v>11164.868405830453</c:v>
                </c:pt>
                <c:pt idx="54">
                  <c:v>11185.58272085852</c:v>
                </c:pt>
                <c:pt idx="55">
                  <c:v>11206.250231110809</c:v>
                </c:pt>
                <c:pt idx="56">
                  <c:v>11226.870120669406</c:v>
                </c:pt>
                <c:pt idx="57">
                  <c:v>11247.441575496377</c:v>
                </c:pt>
                <c:pt idx="58">
                  <c:v>11267.96378346591</c:v>
                </c:pt>
                <c:pt idx="59">
                  <c:v>11288.435934396373</c:v>
                </c:pt>
                <c:pt idx="60">
                  <c:v>11308.857220082302</c:v>
                </c:pt>
                <c:pt idx="61">
                  <c:v>11329.226834326304</c:v>
                </c:pt>
                <c:pt idx="62">
                  <c:v>11349.543972970887</c:v>
                </c:pt>
                <c:pt idx="63">
                  <c:v>11369.807833930208</c:v>
                </c:pt>
                <c:pt idx="64">
                  <c:v>11390.017617221733</c:v>
                </c:pt>
                <c:pt idx="65">
                  <c:v>11410.172524997819</c:v>
                </c:pt>
                <c:pt idx="66">
                  <c:v>11430.271761577222</c:v>
                </c:pt>
                <c:pt idx="67">
                  <c:v>11450.314533476494</c:v>
                </c:pt>
                <c:pt idx="68">
                  <c:v>11470.300049441321</c:v>
                </c:pt>
                <c:pt idx="69">
                  <c:v>11490.227520477754</c:v>
                </c:pt>
                <c:pt idx="70">
                  <c:v>11510.096159883356</c:v>
                </c:pt>
                <c:pt idx="71">
                  <c:v>11529.905183278264</c:v>
                </c:pt>
                <c:pt idx="72">
                  <c:v>11549.653808636154</c:v>
                </c:pt>
                <c:pt idx="73">
                  <c:v>11569.341256315112</c:v>
                </c:pt>
                <c:pt idx="74">
                  <c:v>11588.966749088413</c:v>
                </c:pt>
                <c:pt idx="75">
                  <c:v>11608.529512175208</c:v>
                </c:pt>
                <c:pt idx="76">
                  <c:v>11628.028773271104</c:v>
                </c:pt>
                <c:pt idx="77">
                  <c:v>11647.463762578664</c:v>
                </c:pt>
                <c:pt idx="78">
                  <c:v>11666.833712837786</c:v>
                </c:pt>
                <c:pt idx="79">
                  <c:v>11686.137859356004</c:v>
                </c:pt>
                <c:pt idx="80">
                  <c:v>11705.375440038662</c:v>
                </c:pt>
                <c:pt idx="81">
                  <c:v>11724.545695419019</c:v>
                </c:pt>
                <c:pt idx="82">
                  <c:v>11743.647868688218</c:v>
                </c:pt>
                <c:pt idx="83">
                  <c:v>11762.681205725163</c:v>
                </c:pt>
                <c:pt idx="84">
                  <c:v>11781.644955126299</c:v>
                </c:pt>
                <c:pt idx="85">
                  <c:v>11800.538368235273</c:v>
                </c:pt>
                <c:pt idx="86">
                  <c:v>11819.360699172485</c:v>
                </c:pt>
                <c:pt idx="87">
                  <c:v>11838.111204864535</c:v>
                </c:pt>
                <c:pt idx="88">
                  <c:v>11856.78914507357</c:v>
                </c:pt>
                <c:pt idx="89">
                  <c:v>11875.39378242649</c:v>
                </c:pt>
                <c:pt idx="90">
                  <c:v>11893.924382444067</c:v>
                </c:pt>
                <c:pt idx="91">
                  <c:v>11912.380213569944</c:v>
                </c:pt>
                <c:pt idx="92">
                  <c:v>11930.760547199508</c:v>
                </c:pt>
                <c:pt idx="93">
                  <c:v>11949.064657708659</c:v>
                </c:pt>
                <c:pt idx="94">
                  <c:v>11967.291822482459</c:v>
                </c:pt>
                <c:pt idx="95">
                  <c:v>11985.44132194365</c:v>
                </c:pt>
                <c:pt idx="96">
                  <c:v>12003.512439581071</c:v>
                </c:pt>
                <c:pt idx="97">
                  <c:v>12021.504461977938</c:v>
                </c:pt>
                <c:pt idx="98">
                  <c:v>12039.416678840018</c:v>
                </c:pt>
                <c:pt idx="99">
                  <c:v>12057.24838302366</c:v>
                </c:pt>
                <c:pt idx="100">
                  <c:v>12074.998870563712</c:v>
                </c:pt>
                <c:pt idx="101">
                  <c:v>12092.66744070132</c:v>
                </c:pt>
                <c:pt idx="102">
                  <c:v>12110.25339591159</c:v>
                </c:pt>
                <c:pt idx="103">
                  <c:v>12127.756041931123</c:v>
                </c:pt>
                <c:pt idx="104">
                  <c:v>12145.17468778542</c:v>
                </c:pt>
                <c:pt idx="105">
                  <c:v>12162.508645816173</c:v>
                </c:pt>
                <c:pt idx="106">
                  <c:v>12179.757231708398</c:v>
                </c:pt>
                <c:pt idx="107">
                  <c:v>12196.919764517455</c:v>
                </c:pt>
                <c:pt idx="108">
                  <c:v>12213.995566695939</c:v>
                </c:pt>
                <c:pt idx="109">
                  <c:v>12230.983964120418</c:v>
                </c:pt>
                <c:pt idx="110">
                  <c:v>12247.884286118049</c:v>
                </c:pt>
                <c:pt idx="111">
                  <c:v>12264.69586549306</c:v>
                </c:pt>
                <c:pt idx="112">
                  <c:v>12281.41803855308</c:v>
                </c:pt>
                <c:pt idx="113">
                  <c:v>12298.050145135352</c:v>
                </c:pt>
                <c:pt idx="114">
                  <c:v>12314.591528632785</c:v>
                </c:pt>
                <c:pt idx="115">
                  <c:v>12331.041536019886</c:v>
                </c:pt>
                <c:pt idx="116">
                  <c:v>12347.399517878524</c:v>
                </c:pt>
                <c:pt idx="117">
                  <c:v>12363.664828423591</c:v>
                </c:pt>
                <c:pt idx="118">
                  <c:v>12379.836825528473</c:v>
                </c:pt>
                <c:pt idx="119">
                  <c:v>12395.914870750416</c:v>
                </c:pt>
                <c:pt idx="120">
                  <c:v>12411.898329355725</c:v>
                </c:pt>
                <c:pt idx="121">
                  <c:v>12427.786570344822</c:v>
                </c:pt>
                <c:pt idx="122">
                  <c:v>12443.57896647716</c:v>
                </c:pt>
                <c:pt idx="123">
                  <c:v>12459.274894295977</c:v>
                </c:pt>
                <c:pt idx="124">
                  <c:v>12474.873734152921</c:v>
                </c:pt>
                <c:pt idx="125">
                  <c:v>12490.374870232505</c:v>
                </c:pt>
                <c:pt idx="126">
                  <c:v>12505.777690576415</c:v>
                </c:pt>
                <c:pt idx="127">
                  <c:v>12521.081587107681</c:v>
                </c:pt>
                <c:pt idx="128">
                  <c:v>12536.285955654668</c:v>
                </c:pt>
                <c:pt idx="129">
                  <c:v>12551.390195974946</c:v>
                </c:pt>
                <c:pt idx="130">
                  <c:v>12566.393711778966</c:v>
                </c:pt>
                <c:pt idx="131">
                  <c:v>12581.295910753615</c:v>
                </c:pt>
                <c:pt idx="132">
                  <c:v>12596.096204585594</c:v>
                </c:pt>
                <c:pt idx="133">
                  <c:v>12610.794008984643</c:v>
                </c:pt>
                <c:pt idx="134">
                  <c:v>12625.388743706615</c:v>
                </c:pt>
                <c:pt idx="135">
                  <c:v>12639.879832576371</c:v>
                </c:pt>
                <c:pt idx="136">
                  <c:v>12654.266703510533</c:v>
                </c:pt>
                <c:pt idx="137">
                  <c:v>12668.548788540074</c:v>
                </c:pt>
                <c:pt idx="138">
                  <c:v>12682.725523832731</c:v>
                </c:pt>
                <c:pt idx="139">
                  <c:v>12696.79634971527</c:v>
                </c:pt>
                <c:pt idx="140">
                  <c:v>12710.760710695575</c:v>
                </c:pt>
                <c:pt idx="141">
                  <c:v>12724.618055484589</c:v>
                </c:pt>
                <c:pt idx="142">
                  <c:v>12738.367837018066</c:v>
                </c:pt>
                <c:pt idx="143">
                  <c:v>12752.009512478173</c:v>
                </c:pt>
                <c:pt idx="144">
                  <c:v>12765.542543314923</c:v>
                </c:pt>
                <c:pt idx="145">
                  <c:v>12778.966395267431</c:v>
                </c:pt>
                <c:pt idx="146">
                  <c:v>12792.280538385006</c:v>
                </c:pt>
                <c:pt idx="147">
                  <c:v>12805.484447048075</c:v>
                </c:pt>
                <c:pt idx="148">
                  <c:v>12818.577599988934</c:v>
                </c:pt>
                <c:pt idx="149">
                  <c:v>12831.559480312324</c:v>
                </c:pt>
                <c:pt idx="150">
                  <c:v>12844.429575515836</c:v>
                </c:pt>
                <c:pt idx="151">
                  <c:v>12857.187377510152</c:v>
                </c:pt>
                <c:pt idx="152">
                  <c:v>12869.832382639092</c:v>
                </c:pt>
                <c:pt idx="153">
                  <c:v>12882.364091699503</c:v>
                </c:pt>
                <c:pt idx="154">
                  <c:v>12894.782009960974</c:v>
                </c:pt>
                <c:pt idx="155">
                  <c:v>12907.085647185351</c:v>
                </c:pt>
                <c:pt idx="156">
                  <c:v>12919.274517646107</c:v>
                </c:pt>
                <c:pt idx="157">
                  <c:v>12931.348140147504</c:v>
                </c:pt>
                <c:pt idx="158">
                  <c:v>12943.3060380436</c:v>
                </c:pt>
                <c:pt idx="159">
                  <c:v>12955.14773925706</c:v>
                </c:pt>
                <c:pt idx="160">
                  <c:v>12966.8727762978</c:v>
                </c:pt>
                <c:pt idx="161">
                  <c:v>12978.480686281429</c:v>
                </c:pt>
                <c:pt idx="162">
                  <c:v>12989.971010947542</c:v>
                </c:pt>
                <c:pt idx="163">
                  <c:v>13001.343296677791</c:v>
                </c:pt>
                <c:pt idx="164">
                  <c:v>13012.597094513811</c:v>
                </c:pt>
                <c:pt idx="165">
                  <c:v>13023.731960174931</c:v>
                </c:pt>
                <c:pt idx="166">
                  <c:v>13034.747454075723</c:v>
                </c:pt>
                <c:pt idx="167">
                  <c:v>13045.643141343347</c:v>
                </c:pt>
                <c:pt idx="168">
                  <c:v>13056.418591834728</c:v>
                </c:pt>
                <c:pt idx="169">
                  <c:v>13067.07338015353</c:v>
                </c:pt>
                <c:pt idx="170">
                  <c:v>13077.607085666954</c:v>
                </c:pt>
                <c:pt idx="171">
                  <c:v>13088.019292522344</c:v>
                </c:pt>
                <c:pt idx="172">
                  <c:v>13098.3095896636</c:v>
                </c:pt>
                <c:pt idx="173">
                  <c:v>13108.477570847414</c:v>
                </c:pt>
                <c:pt idx="174">
                  <c:v>13118.522834659296</c:v>
                </c:pt>
                <c:pt idx="175">
                  <c:v>13128.444984529431</c:v>
                </c:pt>
                <c:pt idx="176">
                  <c:v>13138.243628748332</c:v>
                </c:pt>
                <c:pt idx="177">
                  <c:v>13147.918380482306</c:v>
                </c:pt>
                <c:pt idx="178">
                  <c:v>13157.468857788717</c:v>
                </c:pt>
                <c:pt idx="179">
                  <c:v>13166.894683631075</c:v>
                </c:pt>
                <c:pt idx="180">
                  <c:v>13176.195485893917</c:v>
                </c:pt>
                <c:pt idx="181">
                  <c:v>13185.370897397494</c:v>
                </c:pt>
                <c:pt idx="182">
                  <c:v>13194.420555912267</c:v>
                </c:pt>
                <c:pt idx="183">
                  <c:v>13203.344104173219</c:v>
                </c:pt>
                <c:pt idx="184">
                  <c:v>13212.14118989394</c:v>
                </c:pt>
                <c:pt idx="185">
                  <c:v>13220.811465780553</c:v>
                </c:pt>
                <c:pt idx="186">
                  <c:v>13229.35458954541</c:v>
                </c:pt>
                <c:pt idx="187">
                  <c:v>13237.77022392061</c:v>
                </c:pt>
                <c:pt idx="188">
                  <c:v>13246.058036671322</c:v>
                </c:pt>
                <c:pt idx="189">
                  <c:v>13254.217700608888</c:v>
                </c:pt>
                <c:pt idx="190">
                  <c:v>13262.248893603746</c:v>
                </c:pt>
                <c:pt idx="191">
                  <c:v>13270.15129859815</c:v>
                </c:pt>
                <c:pt idx="192">
                  <c:v>13277.924603618681</c:v>
                </c:pt>
                <c:pt idx="193">
                  <c:v>13285.568501788566</c:v>
                </c:pt>
                <c:pt idx="194">
                  <c:v>13293.082691339796</c:v>
                </c:pt>
                <c:pt idx="195">
                  <c:v>13300.466875625032</c:v>
                </c:pt>
                <c:pt idx="196">
                  <c:v>13307.720763129324</c:v>
                </c:pt>
                <c:pt idx="197">
                  <c:v>13314.844067481612</c:v>
                </c:pt>
                <c:pt idx="198">
                  <c:v>13321.836507466038</c:v>
                </c:pt>
                <c:pt idx="199">
                  <c:v>13328.697807033044</c:v>
                </c:pt>
                <c:pt idx="200">
                  <c:v>13335.427695310273</c:v>
                </c:pt>
                <c:pt idx="201">
                  <c:v>13342.025906613257</c:v>
                </c:pt>
                <c:pt idx="202">
                  <c:v>13348.492180455913</c:v>
                </c:pt>
                <c:pt idx="203">
                  <c:v>13354.826261560822</c:v>
                </c:pt>
                <c:pt idx="204">
                  <c:v>13361.027899869307</c:v>
                </c:pt>
                <c:pt idx="205">
                  <c:v>13367.096850551306</c:v>
                </c:pt>
                <c:pt idx="206">
                  <c:v>13373.03287401504</c:v>
                </c:pt>
                <c:pt idx="207">
                  <c:v>13378.835735916466</c:v>
                </c:pt>
                <c:pt idx="208">
                  <c:v>13384.505207168528</c:v>
                </c:pt>
                <c:pt idx="209">
                  <c:v>13390.041063950215</c:v>
                </c:pt>
                <c:pt idx="210">
                  <c:v>13395.443087715375</c:v>
                </c:pt>
                <c:pt idx="211">
                  <c:v>13400.711065201365</c:v>
                </c:pt>
                <c:pt idx="212">
                  <c:v>13405.844788437449</c:v>
                </c:pt>
                <c:pt idx="213">
                  <c:v>13410.844054753026</c:v>
                </c:pt>
                <c:pt idx="214">
                  <c:v>13415.70866678562</c:v>
                </c:pt>
                <c:pt idx="215">
                  <c:v>13420.438432488681</c:v>
                </c:pt>
                <c:pt idx="216">
                  <c:v>13425.033165139157</c:v>
                </c:pt>
                <c:pt idx="217">
                  <c:v>13429.49268334487</c:v>
                </c:pt>
                <c:pt idx="218">
                  <c:v>13433.816811051674</c:v>
                </c:pt>
                <c:pt idx="219">
                  <c:v>13438.005377550415</c:v>
                </c:pt>
                <c:pt idx="220">
                  <c:v>13442.058217483658</c:v>
                </c:pt>
                <c:pt idx="221">
                  <c:v>13445.975170852224</c:v>
                </c:pt>
                <c:pt idx="222">
                  <c:v>13449.756083021497</c:v>
                </c:pt>
                <c:pt idx="223">
                  <c:v>13453.400804727542</c:v>
                </c:pt>
                <c:pt idx="224">
                  <c:v>13456.909192082985</c:v>
                </c:pt>
                <c:pt idx="225">
                  <c:v>13460.281106582703</c:v>
                </c:pt>
                <c:pt idx="226">
                  <c:v>13463.516415109283</c:v>
                </c:pt>
                <c:pt idx="227">
                  <c:v>13466.614989938284</c:v>
                </c:pt>
                <c:pt idx="228">
                  <c:v>13469.576708743276</c:v>
                </c:pt>
                <c:pt idx="229">
                  <c:v>13472.401454600677</c:v>
                </c:pt>
                <c:pt idx="230">
                  <c:v>13475.089115994351</c:v>
                </c:pt>
                <c:pt idx="231">
                  <c:v>13477.639586820032</c:v>
                </c:pt>
                <c:pt idx="232">
                  <c:v>13480.052766389499</c:v>
                </c:pt>
                <c:pt idx="233">
                  <c:v>13482.328559434554</c:v>
                </c:pt>
                <c:pt idx="234">
                  <c:v>13484.466876110782</c:v>
                </c:pt>
                <c:pt idx="235">
                  <c:v>13486.467632001106</c:v>
                </c:pt>
                <c:pt idx="236">
                  <c:v>13488.330748119108</c:v>
                </c:pt>
                <c:pt idx="237">
                  <c:v>13490.056150912151</c:v>
                </c:pt>
                <c:pt idx="238">
                  <c:v>13491.643772264291</c:v>
                </c:pt>
                <c:pt idx="239">
                  <c:v>13493.093549498954</c:v>
                </c:pt>
                <c:pt idx="240">
                  <c:v>13494.405425381414</c:v>
                </c:pt>
                <c:pt idx="241">
                  <c:v>13495.579348121062</c:v>
                </c:pt>
                <c:pt idx="242">
                  <c:v>13496.615271373437</c:v>
                </c:pt>
                <c:pt idx="243">
                  <c:v>13497.513154242064</c:v>
                </c:pt>
                <c:pt idx="244">
                  <c:v>13498.272961280061</c:v>
                </c:pt>
                <c:pt idx="245">
                  <c:v>13498.894662491552</c:v>
                </c:pt>
                <c:pt idx="246">
                  <c:v>13499.378233332833</c:v>
                </c:pt>
                <c:pt idx="247">
                  <c:v>13499.723654713356</c:v>
                </c:pt>
                <c:pt idx="248">
                  <c:v>13499.93091299648</c:v>
                </c:pt>
                <c:pt idx="249">
                  <c:v>13500</c:v>
                </c:pt>
                <c:pt idx="250">
                  <c:v>13499.93091299648</c:v>
                </c:pt>
                <c:pt idx="251">
                  <c:v>13499.723654713356</c:v>
                </c:pt>
                <c:pt idx="252">
                  <c:v>13499.378233332831</c:v>
                </c:pt>
                <c:pt idx="253">
                  <c:v>13498.894662491548</c:v>
                </c:pt>
                <c:pt idx="254">
                  <c:v>13498.272961280059</c:v>
                </c:pt>
                <c:pt idx="255">
                  <c:v>13497.51315424206</c:v>
                </c:pt>
                <c:pt idx="256">
                  <c:v>13496.615271373435</c:v>
                </c:pt>
                <c:pt idx="257">
                  <c:v>13495.57934812106</c:v>
                </c:pt>
                <c:pt idx="258">
                  <c:v>13494.40542538141</c:v>
                </c:pt>
                <c:pt idx="259">
                  <c:v>13493.093549498948</c:v>
                </c:pt>
                <c:pt idx="260">
                  <c:v>13491.643772264286</c:v>
                </c:pt>
                <c:pt idx="261">
                  <c:v>13490.056150912147</c:v>
                </c:pt>
                <c:pt idx="262">
                  <c:v>13488.330748119102</c:v>
                </c:pt>
                <c:pt idx="263">
                  <c:v>13486.4676320011</c:v>
                </c:pt>
                <c:pt idx="264">
                  <c:v>13484.466876110777</c:v>
                </c:pt>
                <c:pt idx="265">
                  <c:v>13482.328559434547</c:v>
                </c:pt>
                <c:pt idx="266">
                  <c:v>13480.052766389492</c:v>
                </c:pt>
                <c:pt idx="267">
                  <c:v>13477.639586820025</c:v>
                </c:pt>
                <c:pt idx="268">
                  <c:v>13475.089115994344</c:v>
                </c:pt>
                <c:pt idx="269">
                  <c:v>13472.401454600667</c:v>
                </c:pt>
                <c:pt idx="270">
                  <c:v>13469.576708743269</c:v>
                </c:pt>
                <c:pt idx="271">
                  <c:v>13466.614989938274</c:v>
                </c:pt>
                <c:pt idx="272">
                  <c:v>13463.516415109272</c:v>
                </c:pt>
                <c:pt idx="273">
                  <c:v>13460.281106582694</c:v>
                </c:pt>
                <c:pt idx="274">
                  <c:v>13456.909192082976</c:v>
                </c:pt>
                <c:pt idx="275">
                  <c:v>13453.400804727533</c:v>
                </c:pt>
                <c:pt idx="276">
                  <c:v>13449.756083021486</c:v>
                </c:pt>
                <c:pt idx="277">
                  <c:v>13445.975170852213</c:v>
                </c:pt>
                <c:pt idx="278">
                  <c:v>13442.058217483647</c:v>
                </c:pt>
                <c:pt idx="279">
                  <c:v>13438.005377550404</c:v>
                </c:pt>
                <c:pt idx="280">
                  <c:v>13433.816811051662</c:v>
                </c:pt>
                <c:pt idx="281">
                  <c:v>13429.492683344857</c:v>
                </c:pt>
                <c:pt idx="282">
                  <c:v>13425.033165139144</c:v>
                </c:pt>
                <c:pt idx="283">
                  <c:v>13420.438432488671</c:v>
                </c:pt>
                <c:pt idx="284">
                  <c:v>13415.708666785607</c:v>
                </c:pt>
                <c:pt idx="285">
                  <c:v>13410.844054753012</c:v>
                </c:pt>
                <c:pt idx="286">
                  <c:v>13405.844788437435</c:v>
                </c:pt>
                <c:pt idx="287">
                  <c:v>13400.711065201351</c:v>
                </c:pt>
                <c:pt idx="288">
                  <c:v>13395.443087715361</c:v>
                </c:pt>
                <c:pt idx="289">
                  <c:v>13390.041063950199</c:v>
                </c:pt>
                <c:pt idx="290">
                  <c:v>13384.505207168513</c:v>
                </c:pt>
                <c:pt idx="291">
                  <c:v>13378.835735916447</c:v>
                </c:pt>
                <c:pt idx="292">
                  <c:v>13373.032874015023</c:v>
                </c:pt>
                <c:pt idx="293">
                  <c:v>13367.09685055129</c:v>
                </c:pt>
                <c:pt idx="294">
                  <c:v>13361.02789986929</c:v>
                </c:pt>
                <c:pt idx="295">
                  <c:v>13354.826261560804</c:v>
                </c:pt>
                <c:pt idx="296">
                  <c:v>13348.492180455894</c:v>
                </c:pt>
                <c:pt idx="297">
                  <c:v>13342.025906613238</c:v>
                </c:pt>
                <c:pt idx="298">
                  <c:v>13335.427695310253</c:v>
                </c:pt>
                <c:pt idx="299">
                  <c:v>13328.697807033026</c:v>
                </c:pt>
                <c:pt idx="300">
                  <c:v>13321.836507466018</c:v>
                </c:pt>
                <c:pt idx="301">
                  <c:v>13314.844067481592</c:v>
                </c:pt>
                <c:pt idx="302">
                  <c:v>13307.720763129304</c:v>
                </c:pt>
                <c:pt idx="303">
                  <c:v>13300.466875625012</c:v>
                </c:pt>
                <c:pt idx="304">
                  <c:v>13293.082691339776</c:v>
                </c:pt>
                <c:pt idx="305">
                  <c:v>13285.568501788544</c:v>
                </c:pt>
                <c:pt idx="306">
                  <c:v>13277.92460361866</c:v>
                </c:pt>
                <c:pt idx="307">
                  <c:v>13270.151298598128</c:v>
                </c:pt>
                <c:pt idx="308">
                  <c:v>13262.248893603723</c:v>
                </c:pt>
                <c:pt idx="309">
                  <c:v>13254.217700608864</c:v>
                </c:pt>
                <c:pt idx="310">
                  <c:v>13246.058036671298</c:v>
                </c:pt>
                <c:pt idx="311">
                  <c:v>13237.770223920586</c:v>
                </c:pt>
                <c:pt idx="312">
                  <c:v>13229.354589545386</c:v>
                </c:pt>
                <c:pt idx="313">
                  <c:v>13220.811465780529</c:v>
                </c:pt>
                <c:pt idx="314">
                  <c:v>13212.141189893917</c:v>
                </c:pt>
                <c:pt idx="315">
                  <c:v>13203.344104173195</c:v>
                </c:pt>
                <c:pt idx="316">
                  <c:v>13194.420555912242</c:v>
                </c:pt>
                <c:pt idx="317">
                  <c:v>13185.370897397466</c:v>
                </c:pt>
                <c:pt idx="318">
                  <c:v>13176.195485893892</c:v>
                </c:pt>
                <c:pt idx="319">
                  <c:v>13166.89468363105</c:v>
                </c:pt>
                <c:pt idx="320">
                  <c:v>13157.468857788692</c:v>
                </c:pt>
                <c:pt idx="321">
                  <c:v>13147.918380482279</c:v>
                </c:pt>
                <c:pt idx="322">
                  <c:v>13138.243628748305</c:v>
                </c:pt>
                <c:pt idx="323">
                  <c:v>13128.444984529404</c:v>
                </c:pt>
                <c:pt idx="324">
                  <c:v>13118.522834659267</c:v>
                </c:pt>
                <c:pt idx="325">
                  <c:v>13108.477570847384</c:v>
                </c:pt>
                <c:pt idx="326">
                  <c:v>13098.309589663571</c:v>
                </c:pt>
                <c:pt idx="327">
                  <c:v>13088.019292522315</c:v>
                </c:pt>
                <c:pt idx="328">
                  <c:v>13077.607085666925</c:v>
                </c:pt>
                <c:pt idx="329">
                  <c:v>13067.073380153501</c:v>
                </c:pt>
                <c:pt idx="330">
                  <c:v>13056.418591834699</c:v>
                </c:pt>
                <c:pt idx="331">
                  <c:v>13045.643141343317</c:v>
                </c:pt>
                <c:pt idx="332">
                  <c:v>13034.747454075692</c:v>
                </c:pt>
                <c:pt idx="333">
                  <c:v>13023.7319601749</c:v>
                </c:pt>
                <c:pt idx="334">
                  <c:v>13012.59709451378</c:v>
                </c:pt>
                <c:pt idx="335">
                  <c:v>13001.343296677758</c:v>
                </c:pt>
                <c:pt idx="336">
                  <c:v>12989.971010947509</c:v>
                </c:pt>
                <c:pt idx="337">
                  <c:v>12978.480686281397</c:v>
                </c:pt>
                <c:pt idx="338">
                  <c:v>12966.872776297765</c:v>
                </c:pt>
                <c:pt idx="339">
                  <c:v>12955.147739257027</c:v>
                </c:pt>
                <c:pt idx="340">
                  <c:v>12943.306038043565</c:v>
                </c:pt>
                <c:pt idx="341">
                  <c:v>12931.348140147469</c:v>
                </c:pt>
                <c:pt idx="342">
                  <c:v>12919.274517646072</c:v>
                </c:pt>
                <c:pt idx="343">
                  <c:v>12907.085647185317</c:v>
                </c:pt>
                <c:pt idx="344">
                  <c:v>12894.78200996094</c:v>
                </c:pt>
                <c:pt idx="345">
                  <c:v>12882.364091699468</c:v>
                </c:pt>
                <c:pt idx="346">
                  <c:v>12869.832382639055</c:v>
                </c:pt>
                <c:pt idx="347">
                  <c:v>12857.187377510116</c:v>
                </c:pt>
                <c:pt idx="348">
                  <c:v>12844.4295755158</c:v>
                </c:pt>
                <c:pt idx="349">
                  <c:v>12831.559480312288</c:v>
                </c:pt>
                <c:pt idx="350">
                  <c:v>12818.577599988897</c:v>
                </c:pt>
                <c:pt idx="351">
                  <c:v>12805.484447048038</c:v>
                </c:pt>
                <c:pt idx="352">
                  <c:v>12792.280538384968</c:v>
                </c:pt>
                <c:pt idx="353">
                  <c:v>12778.966395267393</c:v>
                </c:pt>
                <c:pt idx="354">
                  <c:v>12765.542543314885</c:v>
                </c:pt>
                <c:pt idx="355">
                  <c:v>12752.009512478135</c:v>
                </c:pt>
                <c:pt idx="356">
                  <c:v>12738.367837018028</c:v>
                </c:pt>
                <c:pt idx="357">
                  <c:v>12724.61805548455</c:v>
                </c:pt>
                <c:pt idx="358">
                  <c:v>12710.760710695537</c:v>
                </c:pt>
                <c:pt idx="359">
                  <c:v>12696.79634971523</c:v>
                </c:pt>
                <c:pt idx="360">
                  <c:v>12682.725523832691</c:v>
                </c:pt>
                <c:pt idx="361">
                  <c:v>12668.548788540034</c:v>
                </c:pt>
                <c:pt idx="362">
                  <c:v>12654.266703510493</c:v>
                </c:pt>
                <c:pt idx="363">
                  <c:v>12639.879832576329</c:v>
                </c:pt>
                <c:pt idx="364">
                  <c:v>12625.388743706575</c:v>
                </c:pt>
                <c:pt idx="365">
                  <c:v>12610.794008984602</c:v>
                </c:pt>
                <c:pt idx="366">
                  <c:v>12596.096204585552</c:v>
                </c:pt>
                <c:pt idx="367">
                  <c:v>12581.295910753573</c:v>
                </c:pt>
                <c:pt idx="368">
                  <c:v>12566.393711778925</c:v>
                </c:pt>
                <c:pt idx="369">
                  <c:v>12551.390195974904</c:v>
                </c:pt>
                <c:pt idx="370">
                  <c:v>12536.285955654626</c:v>
                </c:pt>
                <c:pt idx="371">
                  <c:v>12521.081587107637</c:v>
                </c:pt>
                <c:pt idx="372">
                  <c:v>12505.777690576371</c:v>
                </c:pt>
                <c:pt idx="373">
                  <c:v>12490.374870232461</c:v>
                </c:pt>
                <c:pt idx="374">
                  <c:v>12474.873734152878</c:v>
                </c:pt>
                <c:pt idx="375">
                  <c:v>12459.274894295933</c:v>
                </c:pt>
                <c:pt idx="376">
                  <c:v>12443.578966477115</c:v>
                </c:pt>
                <c:pt idx="377">
                  <c:v>12427.786570344779</c:v>
                </c:pt>
                <c:pt idx="378">
                  <c:v>12411.898329355679</c:v>
                </c:pt>
                <c:pt idx="379">
                  <c:v>12395.91487075037</c:v>
                </c:pt>
                <c:pt idx="380">
                  <c:v>12379.836825528426</c:v>
                </c:pt>
                <c:pt idx="381">
                  <c:v>12363.664828423545</c:v>
                </c:pt>
                <c:pt idx="382">
                  <c:v>12347.399517878479</c:v>
                </c:pt>
                <c:pt idx="383">
                  <c:v>12331.041536019839</c:v>
                </c:pt>
                <c:pt idx="384">
                  <c:v>12314.59152863274</c:v>
                </c:pt>
                <c:pt idx="385">
                  <c:v>12298.050145135305</c:v>
                </c:pt>
                <c:pt idx="386">
                  <c:v>12281.418038553033</c:v>
                </c:pt>
                <c:pt idx="387">
                  <c:v>12264.695865493013</c:v>
                </c:pt>
                <c:pt idx="388">
                  <c:v>12247.884286118002</c:v>
                </c:pt>
                <c:pt idx="389">
                  <c:v>12230.983964120371</c:v>
                </c:pt>
                <c:pt idx="390">
                  <c:v>12213.995566695892</c:v>
                </c:pt>
                <c:pt idx="391">
                  <c:v>12196.919764517406</c:v>
                </c:pt>
                <c:pt idx="392">
                  <c:v>12179.757231708349</c:v>
                </c:pt>
                <c:pt idx="393">
                  <c:v>12162.508645816124</c:v>
                </c:pt>
                <c:pt idx="394">
                  <c:v>12145.174687785373</c:v>
                </c:pt>
                <c:pt idx="395">
                  <c:v>12127.756041931072</c:v>
                </c:pt>
                <c:pt idx="396">
                  <c:v>12110.253395911541</c:v>
                </c:pt>
                <c:pt idx="397">
                  <c:v>12092.667440701269</c:v>
                </c:pt>
                <c:pt idx="398">
                  <c:v>12074.998870563661</c:v>
                </c:pt>
                <c:pt idx="399">
                  <c:v>12057.248383023609</c:v>
                </c:pt>
                <c:pt idx="400">
                  <c:v>12039.416678839969</c:v>
                </c:pt>
                <c:pt idx="401">
                  <c:v>12021.504461977889</c:v>
                </c:pt>
                <c:pt idx="402">
                  <c:v>12003.51243958102</c:v>
                </c:pt>
                <c:pt idx="403">
                  <c:v>11985.441321943599</c:v>
                </c:pt>
                <c:pt idx="404">
                  <c:v>11967.291822482408</c:v>
                </c:pt>
                <c:pt idx="405">
                  <c:v>11949.064657708608</c:v>
                </c:pt>
                <c:pt idx="406">
                  <c:v>11930.760547199456</c:v>
                </c:pt>
                <c:pt idx="407">
                  <c:v>11912.380213569892</c:v>
                </c:pt>
                <c:pt idx="408">
                  <c:v>11893.924382444015</c:v>
                </c:pt>
                <c:pt idx="409">
                  <c:v>11875.393782426438</c:v>
                </c:pt>
                <c:pt idx="410">
                  <c:v>11856.789145073517</c:v>
                </c:pt>
                <c:pt idx="411">
                  <c:v>11838.111204864483</c:v>
                </c:pt>
                <c:pt idx="412">
                  <c:v>11819.36069917243</c:v>
                </c:pt>
                <c:pt idx="413">
                  <c:v>11800.53836823522</c:v>
                </c:pt>
                <c:pt idx="414">
                  <c:v>11781.644955126247</c:v>
                </c:pt>
                <c:pt idx="415">
                  <c:v>11762.68120572511</c:v>
                </c:pt>
                <c:pt idx="416">
                  <c:v>11743.647868688164</c:v>
                </c:pt>
                <c:pt idx="417">
                  <c:v>11724.545695418967</c:v>
                </c:pt>
                <c:pt idx="418">
                  <c:v>11705.37544003861</c:v>
                </c:pt>
                <c:pt idx="419">
                  <c:v>11686.137859355949</c:v>
                </c:pt>
                <c:pt idx="420">
                  <c:v>11666.833712837732</c:v>
                </c:pt>
                <c:pt idx="421">
                  <c:v>11647.463762578609</c:v>
                </c:pt>
                <c:pt idx="422">
                  <c:v>11628.028773271049</c:v>
                </c:pt>
                <c:pt idx="423">
                  <c:v>11608.529512175151</c:v>
                </c:pt>
                <c:pt idx="424">
                  <c:v>11588.966749088357</c:v>
                </c:pt>
                <c:pt idx="425">
                  <c:v>11569.341256315056</c:v>
                </c:pt>
                <c:pt idx="426">
                  <c:v>11549.653808636098</c:v>
                </c:pt>
                <c:pt idx="427">
                  <c:v>11529.905183278208</c:v>
                </c:pt>
                <c:pt idx="428">
                  <c:v>11510.096159883298</c:v>
                </c:pt>
                <c:pt idx="429">
                  <c:v>11490.227520477696</c:v>
                </c:pt>
                <c:pt idx="430">
                  <c:v>11470.300049441263</c:v>
                </c:pt>
                <c:pt idx="431">
                  <c:v>11450.314533476436</c:v>
                </c:pt>
                <c:pt idx="432">
                  <c:v>11430.271761577162</c:v>
                </c:pt>
                <c:pt idx="433">
                  <c:v>11410.172524997761</c:v>
                </c:pt>
                <c:pt idx="434">
                  <c:v>11390.017617221672</c:v>
                </c:pt>
                <c:pt idx="435">
                  <c:v>11369.807833930148</c:v>
                </c:pt>
                <c:pt idx="436">
                  <c:v>11349.543972970827</c:v>
                </c:pt>
                <c:pt idx="437">
                  <c:v>11329.226834326244</c:v>
                </c:pt>
                <c:pt idx="438">
                  <c:v>11308.85722008224</c:v>
                </c:pt>
                <c:pt idx="439">
                  <c:v>11288.435934396311</c:v>
                </c:pt>
                <c:pt idx="440">
                  <c:v>11267.963783465848</c:v>
                </c:pt>
                <c:pt idx="441">
                  <c:v>11247.441575496316</c:v>
                </c:pt>
                <c:pt idx="442">
                  <c:v>11226.870120669344</c:v>
                </c:pt>
                <c:pt idx="443">
                  <c:v>11206.250231110747</c:v>
                </c:pt>
                <c:pt idx="444">
                  <c:v>11185.582720858456</c:v>
                </c:pt>
                <c:pt idx="445">
                  <c:v>11164.86840583039</c:v>
                </c:pt>
                <c:pt idx="446">
                  <c:v>11144.108103792234</c:v>
                </c:pt>
                <c:pt idx="447">
                  <c:v>11123.302634325169</c:v>
                </c:pt>
                <c:pt idx="448">
                  <c:v>11102.452818793503</c:v>
                </c:pt>
                <c:pt idx="449">
                  <c:v>11081.559480312251</c:v>
                </c:pt>
                <c:pt idx="450">
                  <c:v>11060.623443714643</c:v>
                </c:pt>
                <c:pt idx="451">
                  <c:v>11039.645535519558</c:v>
                </c:pt>
                <c:pt idx="452">
                  <c:v>11018.626583898886</c:v>
                </c:pt>
                <c:pt idx="453">
                  <c:v>10997.56741864485</c:v>
                </c:pt>
                <c:pt idx="454">
                  <c:v>10976.468871137236</c:v>
                </c:pt>
                <c:pt idx="455">
                  <c:v>10955.331774310573</c:v>
                </c:pt>
                <c:pt idx="456">
                  <c:v>10934.156962621248</c:v>
                </c:pt>
                <c:pt idx="457">
                  <c:v>10912.945272014573</c:v>
                </c:pt>
                <c:pt idx="458">
                  <c:v>10891.697539891769</c:v>
                </c:pt>
                <c:pt idx="459">
                  <c:v>10870.414605076923</c:v>
                </c:pt>
                <c:pt idx="460">
                  <c:v>10849.097307783857</c:v>
                </c:pt>
                <c:pt idx="461">
                  <c:v>10827.746489582969</c:v>
                </c:pt>
                <c:pt idx="462">
                  <c:v>10806.362993367999</c:v>
                </c:pt>
                <c:pt idx="463">
                  <c:v>10784.947663322766</c:v>
                </c:pt>
                <c:pt idx="464">
                  <c:v>10763.501344887829</c:v>
                </c:pt>
                <c:pt idx="465">
                  <c:v>10742.024884727121</c:v>
                </c:pt>
                <c:pt idx="466">
                  <c:v>10720.519130694514</c:v>
                </c:pt>
                <c:pt idx="467">
                  <c:v>10698.984931800354</c:v>
                </c:pt>
                <c:pt idx="468">
                  <c:v>10677.423138177941</c:v>
                </c:pt>
                <c:pt idx="469">
                  <c:v>10655.834601049966</c:v>
                </c:pt>
                <c:pt idx="470">
                  <c:v>10634.22017269491</c:v>
                </c:pt>
                <c:pt idx="471">
                  <c:v>10612.580706413395</c:v>
                </c:pt>
                <c:pt idx="472">
                  <c:v>10590.917056494498</c:v>
                </c:pt>
                <c:pt idx="473">
                  <c:v>10569.230078182021</c:v>
                </c:pt>
                <c:pt idx="474">
                  <c:v>10547.520627640737</c:v>
                </c:pt>
                <c:pt idx="475">
                  <c:v>10525.789561922578</c:v>
                </c:pt>
                <c:pt idx="476">
                  <c:v>10504.03773893281</c:v>
                </c:pt>
                <c:pt idx="477">
                  <c:v>10482.266017396161</c:v>
                </c:pt>
                <c:pt idx="478">
                  <c:v>10460.475256822916</c:v>
                </c:pt>
                <c:pt idx="479">
                  <c:v>10438.666317474992</c:v>
                </c:pt>
                <c:pt idx="480">
                  <c:v>10416.840060331971</c:v>
                </c:pt>
                <c:pt idx="481">
                  <c:v>10394.997347057113</c:v>
                </c:pt>
                <c:pt idx="482">
                  <c:v>10373.139039963336</c:v>
                </c:pt>
                <c:pt idx="483">
                  <c:v>10351.266001979178</c:v>
                </c:pt>
                <c:pt idx="484">
                  <c:v>10329.379096614726</c:v>
                </c:pt>
                <c:pt idx="485">
                  <c:v>10307.479187927527</c:v>
                </c:pt>
                <c:pt idx="486">
                  <c:v>10285.567140488476</c:v>
                </c:pt>
                <c:pt idx="487">
                  <c:v>10263.64381934769</c:v>
                </c:pt>
                <c:pt idx="488">
                  <c:v>10241.710090000346</c:v>
                </c:pt>
                <c:pt idx="489">
                  <c:v>10219.766818352522</c:v>
                </c:pt>
                <c:pt idx="490">
                  <c:v>10197.814870687011</c:v>
                </c:pt>
                <c:pt idx="491">
                  <c:v>10175.855113629117</c:v>
                </c:pt>
                <c:pt idx="492">
                  <c:v>10153.888414112451</c:v>
                </c:pt>
                <c:pt idx="493">
                  <c:v>10131.915639344696</c:v>
                </c:pt>
                <c:pt idx="494">
                  <c:v>10109.937656773373</c:v>
                </c:pt>
                <c:pt idx="495">
                  <c:v>10087.955334051605</c:v>
                </c:pt>
                <c:pt idx="496">
                  <c:v>10065.969539003852</c:v>
                </c:pt>
                <c:pt idx="497">
                  <c:v>10043.981139591657</c:v>
                </c:pt>
                <c:pt idx="498">
                  <c:v>10021.991003879379</c:v>
                </c:pt>
                <c:pt idx="499">
                  <c:v>9999.9999999999236</c:v>
                </c:pt>
                <c:pt idx="500">
                  <c:v>9978.0089961204667</c:v>
                </c:pt>
                <c:pt idx="501">
                  <c:v>9956.0188604081886</c:v>
                </c:pt>
                <c:pt idx="502">
                  <c:v>9934.0304609959931</c:v>
                </c:pt>
                <c:pt idx="503">
                  <c:v>9912.0446659482404</c:v>
                </c:pt>
                <c:pt idx="504">
                  <c:v>9890.0623432264729</c:v>
                </c:pt>
                <c:pt idx="505">
                  <c:v>9868.0843606551516</c:v>
                </c:pt>
                <c:pt idx="506">
                  <c:v>9846.1115858873945</c:v>
                </c:pt>
                <c:pt idx="507">
                  <c:v>9824.1448863707283</c:v>
                </c:pt>
                <c:pt idx="508">
                  <c:v>9802.1851293128348</c:v>
                </c:pt>
                <c:pt idx="509">
                  <c:v>9780.2331816473234</c:v>
                </c:pt>
                <c:pt idx="510">
                  <c:v>9758.2899099995011</c:v>
                </c:pt>
                <c:pt idx="511">
                  <c:v>9736.3561806521557</c:v>
                </c:pt>
                <c:pt idx="512">
                  <c:v>9714.4328595113693</c:v>
                </c:pt>
                <c:pt idx="513">
                  <c:v>9692.52081207232</c:v>
                </c:pt>
                <c:pt idx="514">
                  <c:v>9670.620903385121</c:v>
                </c:pt>
                <c:pt idx="515">
                  <c:v>9648.7339980206689</c:v>
                </c:pt>
                <c:pt idx="516">
                  <c:v>9626.8609600365107</c:v>
                </c:pt>
                <c:pt idx="517">
                  <c:v>9605.0026529427341</c:v>
                </c:pt>
                <c:pt idx="518">
                  <c:v>9583.1599396678757</c:v>
                </c:pt>
                <c:pt idx="519">
                  <c:v>9561.3336825248552</c:v>
                </c:pt>
                <c:pt idx="520">
                  <c:v>9539.5247431769312</c:v>
                </c:pt>
                <c:pt idx="521">
                  <c:v>9517.7339826036859</c:v>
                </c:pt>
                <c:pt idx="522">
                  <c:v>9495.9622610670376</c:v>
                </c:pt>
                <c:pt idx="523">
                  <c:v>9474.2104380772689</c:v>
                </c:pt>
                <c:pt idx="524">
                  <c:v>9452.4793723591101</c:v>
                </c:pt>
                <c:pt idx="525">
                  <c:v>9430.7699218178259</c:v>
                </c:pt>
                <c:pt idx="526">
                  <c:v>9409.0829435053511</c:v>
                </c:pt>
                <c:pt idx="527">
                  <c:v>9387.4192935864521</c:v>
                </c:pt>
                <c:pt idx="528">
                  <c:v>9365.7798273049375</c:v>
                </c:pt>
                <c:pt idx="529">
                  <c:v>9344.1653989498827</c:v>
                </c:pt>
                <c:pt idx="530">
                  <c:v>9322.5768618219081</c:v>
                </c:pt>
                <c:pt idx="531">
                  <c:v>9301.0150681994946</c:v>
                </c:pt>
                <c:pt idx="532">
                  <c:v>9279.4808693053346</c:v>
                </c:pt>
                <c:pt idx="533">
                  <c:v>9257.9751152727276</c:v>
                </c:pt>
                <c:pt idx="534">
                  <c:v>9236.4986551120201</c:v>
                </c:pt>
                <c:pt idx="535">
                  <c:v>9215.0523366770831</c:v>
                </c:pt>
                <c:pt idx="536">
                  <c:v>9193.6370066318505</c:v>
                </c:pt>
                <c:pt idx="537">
                  <c:v>9172.2535104168819</c:v>
                </c:pt>
                <c:pt idx="538">
                  <c:v>9150.9026922159919</c:v>
                </c:pt>
                <c:pt idx="539">
                  <c:v>9129.5853949229258</c:v>
                </c:pt>
                <c:pt idx="540">
                  <c:v>9108.3024601080797</c:v>
                </c:pt>
                <c:pt idx="541">
                  <c:v>9087.0547279852781</c:v>
                </c:pt>
                <c:pt idx="542">
                  <c:v>9065.8430373786032</c:v>
                </c:pt>
                <c:pt idx="543">
                  <c:v>9044.66822568928</c:v>
                </c:pt>
                <c:pt idx="544">
                  <c:v>9023.5311288626144</c:v>
                </c:pt>
                <c:pt idx="545">
                  <c:v>9002.4325813550022</c:v>
                </c:pt>
                <c:pt idx="546">
                  <c:v>8981.373416100967</c:v>
                </c:pt>
                <c:pt idx="547">
                  <c:v>8960.3544644802951</c:v>
                </c:pt>
                <c:pt idx="548">
                  <c:v>8939.3765562852095</c:v>
                </c:pt>
                <c:pt idx="549">
                  <c:v>8918.4405196876014</c:v>
                </c:pt>
                <c:pt idx="550">
                  <c:v>8897.5471812063515</c:v>
                </c:pt>
                <c:pt idx="551">
                  <c:v>8876.697365674685</c:v>
                </c:pt>
                <c:pt idx="552">
                  <c:v>8855.8918962076186</c:v>
                </c:pt>
                <c:pt idx="553">
                  <c:v>8835.1315941694647</c:v>
                </c:pt>
                <c:pt idx="554">
                  <c:v>8814.4172791413985</c:v>
                </c:pt>
                <c:pt idx="555">
                  <c:v>8793.7497688891071</c:v>
                </c:pt>
                <c:pt idx="556">
                  <c:v>8773.1298793305104</c:v>
                </c:pt>
                <c:pt idx="557">
                  <c:v>8752.5584245035407</c:v>
                </c:pt>
                <c:pt idx="558">
                  <c:v>8732.0362165340084</c:v>
                </c:pt>
                <c:pt idx="559">
                  <c:v>8711.5640656035448</c:v>
                </c:pt>
                <c:pt idx="560">
                  <c:v>8691.1427799176163</c:v>
                </c:pt>
                <c:pt idx="561">
                  <c:v>8670.7731656736141</c:v>
                </c:pt>
                <c:pt idx="562">
                  <c:v>8650.4560270290294</c:v>
                </c:pt>
                <c:pt idx="563">
                  <c:v>8630.1921660697099</c:v>
                </c:pt>
                <c:pt idx="564">
                  <c:v>8609.9823827781856</c:v>
                </c:pt>
                <c:pt idx="565">
                  <c:v>8589.8274750020992</c:v>
                </c:pt>
                <c:pt idx="566">
                  <c:v>8569.7282384226964</c:v>
                </c:pt>
                <c:pt idx="567">
                  <c:v>8549.6854665234241</c:v>
                </c:pt>
                <c:pt idx="568">
                  <c:v>8529.6999505585954</c:v>
                </c:pt>
                <c:pt idx="569">
                  <c:v>8509.7724795221638</c:v>
                </c:pt>
                <c:pt idx="570">
                  <c:v>8489.9038401165617</c:v>
                </c:pt>
                <c:pt idx="571">
                  <c:v>8470.0948167216538</c:v>
                </c:pt>
                <c:pt idx="572">
                  <c:v>8450.3461913637639</c:v>
                </c:pt>
                <c:pt idx="573">
                  <c:v>8430.6587436848058</c:v>
                </c:pt>
                <c:pt idx="574">
                  <c:v>8411.0332509115051</c:v>
                </c:pt>
                <c:pt idx="575">
                  <c:v>8391.4704878247103</c:v>
                </c:pt>
                <c:pt idx="576">
                  <c:v>8371.9712267288141</c:v>
                </c:pt>
                <c:pt idx="577">
                  <c:v>8352.5362374212546</c:v>
                </c:pt>
                <c:pt idx="578">
                  <c:v>8333.166287162132</c:v>
                </c:pt>
                <c:pt idx="579">
                  <c:v>8313.8621406439161</c:v>
                </c:pt>
                <c:pt idx="580">
                  <c:v>8294.6245599612557</c:v>
                </c:pt>
                <c:pt idx="581">
                  <c:v>8275.4543045808987</c:v>
                </c:pt>
                <c:pt idx="582">
                  <c:v>8256.3521313117017</c:v>
                </c:pt>
                <c:pt idx="583">
                  <c:v>8237.3187942747572</c:v>
                </c:pt>
                <c:pt idx="584">
                  <c:v>8218.3550448736205</c:v>
                </c:pt>
                <c:pt idx="585">
                  <c:v>8199.4616317646469</c:v>
                </c:pt>
                <c:pt idx="586">
                  <c:v>8180.6393008274372</c:v>
                </c:pt>
                <c:pt idx="587">
                  <c:v>8161.8887951353854</c:v>
                </c:pt>
                <c:pt idx="588">
                  <c:v>8143.2108549263512</c:v>
                </c:pt>
                <c:pt idx="589">
                  <c:v>8124.6062175734323</c:v>
                </c:pt>
                <c:pt idx="590">
                  <c:v>8106.0756175558554</c:v>
                </c:pt>
                <c:pt idx="591">
                  <c:v>8087.6197864299793</c:v>
                </c:pt>
                <c:pt idx="592">
                  <c:v>8069.2394528004152</c:v>
                </c:pt>
                <c:pt idx="593">
                  <c:v>8050.9353422912636</c:v>
                </c:pt>
                <c:pt idx="594">
                  <c:v>8032.7081775174647</c:v>
                </c:pt>
                <c:pt idx="595">
                  <c:v>8014.5586780562744</c:v>
                </c:pt>
                <c:pt idx="596">
                  <c:v>7996.4875604188537</c:v>
                </c:pt>
                <c:pt idx="597">
                  <c:v>7978.4955380219853</c:v>
                </c:pt>
                <c:pt idx="598">
                  <c:v>7960.5833211599056</c:v>
                </c:pt>
                <c:pt idx="599">
                  <c:v>7942.7516169762666</c:v>
                </c:pt>
                <c:pt idx="600">
                  <c:v>7925.0011294362157</c:v>
                </c:pt>
                <c:pt idx="601">
                  <c:v>7907.3325592986066</c:v>
                </c:pt>
                <c:pt idx="602">
                  <c:v>7889.7466040883373</c:v>
                </c:pt>
                <c:pt idx="603">
                  <c:v>7872.2439580688042</c:v>
                </c:pt>
                <c:pt idx="604">
                  <c:v>7854.8253122145052</c:v>
                </c:pt>
                <c:pt idx="605">
                  <c:v>7837.4913541837541</c:v>
                </c:pt>
                <c:pt idx="606">
                  <c:v>7820.2427682915304</c:v>
                </c:pt>
                <c:pt idx="607">
                  <c:v>7803.0802354824727</c:v>
                </c:pt>
                <c:pt idx="608">
                  <c:v>7786.0044333039887</c:v>
                </c:pt>
                <c:pt idx="609">
                  <c:v>7769.016035879511</c:v>
                </c:pt>
                <c:pt idx="610">
                  <c:v>7752.1157138818799</c:v>
                </c:pt>
                <c:pt idx="611">
                  <c:v>7735.3041345068705</c:v>
                </c:pt>
                <c:pt idx="612">
                  <c:v>7718.5819614468501</c:v>
                </c:pt>
                <c:pt idx="613">
                  <c:v>7701.9498548645788</c:v>
                </c:pt>
                <c:pt idx="614">
                  <c:v>7685.4084713671446</c:v>
                </c:pt>
                <c:pt idx="615">
                  <c:v>7668.9584639800451</c:v>
                </c:pt>
                <c:pt idx="616">
                  <c:v>7652.6004821214065</c:v>
                </c:pt>
                <c:pt idx="617">
                  <c:v>7636.335171576342</c:v>
                </c:pt>
                <c:pt idx="618">
                  <c:v>7620.1631744714596</c:v>
                </c:pt>
                <c:pt idx="619">
                  <c:v>7604.0851292495172</c:v>
                </c:pt>
                <c:pt idx="620">
                  <c:v>7588.1016706442078</c:v>
                </c:pt>
                <c:pt idx="621">
                  <c:v>7572.2134296551103</c:v>
                </c:pt>
                <c:pt idx="622">
                  <c:v>7556.4210335227745</c:v>
                </c:pt>
                <c:pt idx="623">
                  <c:v>7540.7251057039557</c:v>
                </c:pt>
                <c:pt idx="624">
                  <c:v>7525.1262658470132</c:v>
                </c:pt>
                <c:pt idx="625">
                  <c:v>7509.6251297674307</c:v>
                </c:pt>
                <c:pt idx="626">
                  <c:v>7494.2223094235205</c:v>
                </c:pt>
                <c:pt idx="627">
                  <c:v>7478.9184128922552</c:v>
                </c:pt>
                <c:pt idx="628">
                  <c:v>7463.7140443452672</c:v>
                </c:pt>
                <c:pt idx="629">
                  <c:v>7448.6098040249908</c:v>
                </c:pt>
                <c:pt idx="630">
                  <c:v>7433.6062882209717</c:v>
                </c:pt>
                <c:pt idx="631">
                  <c:v>7418.7040892463228</c:v>
                </c:pt>
                <c:pt idx="632">
                  <c:v>7403.9037954143441</c:v>
                </c:pt>
                <c:pt idx="633">
                  <c:v>7389.2059910152948</c:v>
                </c:pt>
                <c:pt idx="634">
                  <c:v>7374.611256293324</c:v>
                </c:pt>
                <c:pt idx="635">
                  <c:v>7360.120167423569</c:v>
                </c:pt>
                <c:pt idx="636">
                  <c:v>7345.7332964894076</c:v>
                </c:pt>
                <c:pt idx="637">
                  <c:v>7331.4512114598674</c:v>
                </c:pt>
                <c:pt idx="638">
                  <c:v>7317.274476167212</c:v>
                </c:pt>
                <c:pt idx="639">
                  <c:v>7303.2036502846759</c:v>
                </c:pt>
                <c:pt idx="640">
                  <c:v>7289.2392893043707</c:v>
                </c:pt>
                <c:pt idx="641">
                  <c:v>7275.3819445153586</c:v>
                </c:pt>
                <c:pt idx="642">
                  <c:v>7261.6321629818831</c:v>
                </c:pt>
                <c:pt idx="643">
                  <c:v>7247.990487521778</c:v>
                </c:pt>
                <c:pt idx="644">
                  <c:v>7234.4574566850279</c:v>
                </c:pt>
                <c:pt idx="645">
                  <c:v>7221.0336047325218</c:v>
                </c:pt>
                <c:pt idx="646">
                  <c:v>7207.7194616149482</c:v>
                </c:pt>
                <c:pt idx="647">
                  <c:v>7194.5155529518806</c:v>
                </c:pt>
                <c:pt idx="648">
                  <c:v>7181.4224000110225</c:v>
                </c:pt>
                <c:pt idx="649">
                  <c:v>7168.4405196876351</c:v>
                </c:pt>
                <c:pt idx="650">
                  <c:v>7155.5704244841236</c:v>
                </c:pt>
                <c:pt idx="651">
                  <c:v>7142.8126224898097</c:v>
                </c:pt>
                <c:pt idx="652">
                  <c:v>7130.1676173608721</c:v>
                </c:pt>
                <c:pt idx="653">
                  <c:v>7117.63590830046</c:v>
                </c:pt>
                <c:pt idx="654">
                  <c:v>7105.217990038991</c:v>
                </c:pt>
                <c:pt idx="655">
                  <c:v>7092.9143528146142</c:v>
                </c:pt>
                <c:pt idx="656">
                  <c:v>7080.7254823538606</c:v>
                </c:pt>
                <c:pt idx="657">
                  <c:v>7068.6518598524644</c:v>
                </c:pt>
                <c:pt idx="658">
                  <c:v>7056.69396195637</c:v>
                </c:pt>
                <c:pt idx="659">
                  <c:v>7044.8522607429095</c:v>
                </c:pt>
                <c:pt idx="660">
                  <c:v>7033.1272237021731</c:v>
                </c:pt>
                <c:pt idx="661">
                  <c:v>7021.5193137185433</c:v>
                </c:pt>
                <c:pt idx="662">
                  <c:v>7010.0289890524327</c:v>
                </c:pt>
                <c:pt idx="663">
                  <c:v>6998.6567033221836</c:v>
                </c:pt>
                <c:pt idx="664">
                  <c:v>6987.4029054861658</c:v>
                </c:pt>
                <c:pt idx="665">
                  <c:v>6976.268039825045</c:v>
                </c:pt>
                <c:pt idx="666">
                  <c:v>6965.2525459242552</c:v>
                </c:pt>
                <c:pt idx="667">
                  <c:v>6954.3568586566307</c:v>
                </c:pt>
                <c:pt idx="668">
                  <c:v>6943.5814081652516</c:v>
                </c:pt>
                <c:pt idx="669">
                  <c:v>6932.9266198464502</c:v>
                </c:pt>
                <c:pt idx="670">
                  <c:v>6922.392914333027</c:v>
                </c:pt>
                <c:pt idx="671">
                  <c:v>6911.9807074776381</c:v>
                </c:pt>
                <c:pt idx="672">
                  <c:v>6901.6904103363831</c:v>
                </c:pt>
                <c:pt idx="673">
                  <c:v>6891.522429152571</c:v>
                </c:pt>
                <c:pt idx="674">
                  <c:v>6881.4771653406897</c:v>
                </c:pt>
                <c:pt idx="675">
                  <c:v>6871.5550154705552</c:v>
                </c:pt>
                <c:pt idx="676">
                  <c:v>6861.7563712516539</c:v>
                </c:pt>
                <c:pt idx="677">
                  <c:v>6852.0816195176812</c:v>
                </c:pt>
                <c:pt idx="678">
                  <c:v>6842.5311422112718</c:v>
                </c:pt>
                <c:pt idx="679">
                  <c:v>6833.1053163689139</c:v>
                </c:pt>
                <c:pt idx="680">
                  <c:v>6823.8045141060738</c:v>
                </c:pt>
                <c:pt idx="681">
                  <c:v>6814.6291026024992</c:v>
                </c:pt>
                <c:pt idx="682">
                  <c:v>6805.5794440877244</c:v>
                </c:pt>
                <c:pt idx="683">
                  <c:v>6796.6558958267742</c:v>
                </c:pt>
                <c:pt idx="684">
                  <c:v>6787.8588101060523</c:v>
                </c:pt>
                <c:pt idx="685">
                  <c:v>6779.18853421944</c:v>
                </c:pt>
                <c:pt idx="686">
                  <c:v>6770.6454104545855</c:v>
                </c:pt>
                <c:pt idx="687">
                  <c:v>6762.2297760793845</c:v>
                </c:pt>
                <c:pt idx="688">
                  <c:v>6753.9419633286743</c:v>
                </c:pt>
                <c:pt idx="689">
                  <c:v>6745.7822993911095</c:v>
                </c:pt>
                <c:pt idx="690">
                  <c:v>6737.751106396252</c:v>
                </c:pt>
                <c:pt idx="691">
                  <c:v>6729.8487014018483</c:v>
                </c:pt>
                <c:pt idx="692">
                  <c:v>6722.0753963813186</c:v>
                </c:pt>
                <c:pt idx="693">
                  <c:v>6714.431498211432</c:v>
                </c:pt>
                <c:pt idx="694">
                  <c:v>6706.9173086602041</c:v>
                </c:pt>
                <c:pt idx="695">
                  <c:v>6699.5331243749679</c:v>
                </c:pt>
                <c:pt idx="696">
                  <c:v>6692.2792368706769</c:v>
                </c:pt>
                <c:pt idx="697">
                  <c:v>6685.1559325183898</c:v>
                </c:pt>
                <c:pt idx="698">
                  <c:v>6678.163492533964</c:v>
                </c:pt>
                <c:pt idx="699">
                  <c:v>6671.3021929669576</c:v>
                </c:pt>
                <c:pt idx="700">
                  <c:v>6664.5723046897301</c:v>
                </c:pt>
                <c:pt idx="701">
                  <c:v>6657.9740933867461</c:v>
                </c:pt>
                <c:pt idx="702">
                  <c:v>6651.5078195440901</c:v>
                </c:pt>
                <c:pt idx="703">
                  <c:v>6645.1737384391818</c:v>
                </c:pt>
                <c:pt idx="704">
                  <c:v>6638.9721001306971</c:v>
                </c:pt>
                <c:pt idx="705">
                  <c:v>6632.9031494486971</c:v>
                </c:pt>
                <c:pt idx="706">
                  <c:v>6626.9671259849638</c:v>
                </c:pt>
                <c:pt idx="707">
                  <c:v>6621.1642640835398</c:v>
                </c:pt>
                <c:pt idx="708">
                  <c:v>6615.4947928314768</c:v>
                </c:pt>
                <c:pt idx="709">
                  <c:v>6609.9589360497903</c:v>
                </c:pt>
                <c:pt idx="710">
                  <c:v>6604.55691228463</c:v>
                </c:pt>
                <c:pt idx="711">
                  <c:v>6599.288934798642</c:v>
                </c:pt>
                <c:pt idx="712">
                  <c:v>6594.1552115625582</c:v>
                </c:pt>
                <c:pt idx="713">
                  <c:v>6589.155945246981</c:v>
                </c:pt>
                <c:pt idx="714">
                  <c:v>6584.2913332143853</c:v>
                </c:pt>
                <c:pt idx="715">
                  <c:v>6579.561567511324</c:v>
                </c:pt>
                <c:pt idx="716">
                  <c:v>6574.9668348608493</c:v>
                </c:pt>
                <c:pt idx="717">
                  <c:v>6570.5073166551374</c:v>
                </c:pt>
                <c:pt idx="718">
                  <c:v>6566.1831889483328</c:v>
                </c:pt>
                <c:pt idx="719">
                  <c:v>6561.9946224495916</c:v>
                </c:pt>
                <c:pt idx="720">
                  <c:v>6557.9417825163491</c:v>
                </c:pt>
                <c:pt idx="721">
                  <c:v>6554.0248291477837</c:v>
                </c:pt>
                <c:pt idx="722">
                  <c:v>6550.2439169785093</c:v>
                </c:pt>
                <c:pt idx="723">
                  <c:v>6546.5991952724644</c:v>
                </c:pt>
                <c:pt idx="724">
                  <c:v>6543.0908079170204</c:v>
                </c:pt>
                <c:pt idx="725">
                  <c:v>6539.7188934173046</c:v>
                </c:pt>
                <c:pt idx="726">
                  <c:v>6536.4835848907242</c:v>
                </c:pt>
                <c:pt idx="727">
                  <c:v>6533.3850100617237</c:v>
                </c:pt>
                <c:pt idx="728">
                  <c:v>6530.4232912567304</c:v>
                </c:pt>
                <c:pt idx="729">
                  <c:v>6527.5985453993308</c:v>
                </c:pt>
                <c:pt idx="730">
                  <c:v>6524.910884005656</c:v>
                </c:pt>
                <c:pt idx="731">
                  <c:v>6522.3604131799739</c:v>
                </c:pt>
                <c:pt idx="732">
                  <c:v>6519.9472336105073</c:v>
                </c:pt>
                <c:pt idx="733">
                  <c:v>6517.6714405654529</c:v>
                </c:pt>
                <c:pt idx="734">
                  <c:v>6515.5331238892231</c:v>
                </c:pt>
                <c:pt idx="735">
                  <c:v>6513.5323679988996</c:v>
                </c:pt>
                <c:pt idx="736">
                  <c:v>6511.6692518808977</c:v>
                </c:pt>
                <c:pt idx="737">
                  <c:v>6509.9438490878538</c:v>
                </c:pt>
                <c:pt idx="738">
                  <c:v>6508.3562277357141</c:v>
                </c:pt>
                <c:pt idx="739">
                  <c:v>6506.9064505010519</c:v>
                </c:pt>
                <c:pt idx="740">
                  <c:v>6505.5945746185898</c:v>
                </c:pt>
                <c:pt idx="741">
                  <c:v>6504.4206518789406</c:v>
                </c:pt>
                <c:pt idx="742">
                  <c:v>6503.3847286265654</c:v>
                </c:pt>
                <c:pt idx="743">
                  <c:v>6502.4868457579396</c:v>
                </c:pt>
                <c:pt idx="744">
                  <c:v>6501.7270387199405</c:v>
                </c:pt>
                <c:pt idx="745">
                  <c:v>6501.1053375084512</c:v>
                </c:pt>
                <c:pt idx="746">
                  <c:v>6500.6217666671691</c:v>
                </c:pt>
                <c:pt idx="747">
                  <c:v>6500.2763452866438</c:v>
                </c:pt>
                <c:pt idx="748">
                  <c:v>6500.0690870035205</c:v>
                </c:pt>
                <c:pt idx="749">
                  <c:v>6500</c:v>
                </c:pt>
                <c:pt idx="750">
                  <c:v>6500.0690870035196</c:v>
                </c:pt>
                <c:pt idx="751">
                  <c:v>6500.2763452866429</c:v>
                </c:pt>
                <c:pt idx="752">
                  <c:v>6500.6217666671673</c:v>
                </c:pt>
                <c:pt idx="753">
                  <c:v>6501.1053375084484</c:v>
                </c:pt>
                <c:pt idx="754">
                  <c:v>6501.7270387199378</c:v>
                </c:pt>
                <c:pt idx="755">
                  <c:v>6502.486845757936</c:v>
                </c:pt>
                <c:pt idx="756">
                  <c:v>6503.3847286265609</c:v>
                </c:pt>
                <c:pt idx="757">
                  <c:v>6504.420651878936</c:v>
                </c:pt>
                <c:pt idx="758">
                  <c:v>6505.5945746185835</c:v>
                </c:pt>
                <c:pt idx="759">
                  <c:v>6506.9064505010447</c:v>
                </c:pt>
                <c:pt idx="760">
                  <c:v>6508.3562277357069</c:v>
                </c:pt>
                <c:pt idx="761">
                  <c:v>6509.9438490878456</c:v>
                </c:pt>
                <c:pt idx="762">
                  <c:v>6511.6692518808895</c:v>
                </c:pt>
                <c:pt idx="763">
                  <c:v>6513.5323679988905</c:v>
                </c:pt>
                <c:pt idx="764">
                  <c:v>6515.5331238892131</c:v>
                </c:pt>
                <c:pt idx="765">
                  <c:v>6517.671440565442</c:v>
                </c:pt>
                <c:pt idx="766">
                  <c:v>6519.9472336104955</c:v>
                </c:pt>
                <c:pt idx="767">
                  <c:v>6522.3604131799621</c:v>
                </c:pt>
                <c:pt idx="768">
                  <c:v>6524.9108840056433</c:v>
                </c:pt>
                <c:pt idx="769">
                  <c:v>6527.5985453993171</c:v>
                </c:pt>
                <c:pt idx="770">
                  <c:v>6530.4232912567159</c:v>
                </c:pt>
                <c:pt idx="771">
                  <c:v>6533.3850100617092</c:v>
                </c:pt>
                <c:pt idx="772">
                  <c:v>6536.4835848907096</c:v>
                </c:pt>
                <c:pt idx="773">
                  <c:v>6539.7188934172882</c:v>
                </c:pt>
                <c:pt idx="774">
                  <c:v>6543.090807917004</c:v>
                </c:pt>
                <c:pt idx="775">
                  <c:v>6546.5991952724471</c:v>
                </c:pt>
                <c:pt idx="776">
                  <c:v>6550.2439169784921</c:v>
                </c:pt>
                <c:pt idx="777">
                  <c:v>6554.0248291477656</c:v>
                </c:pt>
                <c:pt idx="778">
                  <c:v>6557.9417825163291</c:v>
                </c:pt>
                <c:pt idx="779">
                  <c:v>6561.9946224495725</c:v>
                </c:pt>
                <c:pt idx="780">
                  <c:v>6566.1831889483119</c:v>
                </c:pt>
                <c:pt idx="781">
                  <c:v>6570.5073166551165</c:v>
                </c:pt>
                <c:pt idx="782">
                  <c:v>6574.9668348608266</c:v>
                </c:pt>
                <c:pt idx="783">
                  <c:v>6579.5615675113022</c:v>
                </c:pt>
                <c:pt idx="784">
                  <c:v>6584.2913332143617</c:v>
                </c:pt>
                <c:pt idx="785">
                  <c:v>6589.1559452469573</c:v>
                </c:pt>
                <c:pt idx="786">
                  <c:v>6594.1552115625327</c:v>
                </c:pt>
                <c:pt idx="787">
                  <c:v>6599.2889347986165</c:v>
                </c:pt>
                <c:pt idx="788">
                  <c:v>6604.5569122846036</c:v>
                </c:pt>
                <c:pt idx="789">
                  <c:v>6609.9589360497639</c:v>
                </c:pt>
                <c:pt idx="790">
                  <c:v>6615.4947928314496</c:v>
                </c:pt>
                <c:pt idx="791">
                  <c:v>6621.1642640835125</c:v>
                </c:pt>
                <c:pt idx="792">
                  <c:v>6626.9671259849365</c:v>
                </c:pt>
                <c:pt idx="793">
                  <c:v>6632.903149448668</c:v>
                </c:pt>
                <c:pt idx="794">
                  <c:v>6638.9721001306671</c:v>
                </c:pt>
                <c:pt idx="795">
                  <c:v>6645.1737384391508</c:v>
                </c:pt>
                <c:pt idx="796">
                  <c:v>6651.5078195440583</c:v>
                </c:pt>
                <c:pt idx="797">
                  <c:v>6657.9740933867142</c:v>
                </c:pt>
                <c:pt idx="798">
                  <c:v>6664.5723046896974</c:v>
                </c:pt>
                <c:pt idx="799">
                  <c:v>6671.3021929669248</c:v>
                </c:pt>
                <c:pt idx="800">
                  <c:v>6678.1634925339295</c:v>
                </c:pt>
                <c:pt idx="801">
                  <c:v>6685.1559325183553</c:v>
                </c:pt>
                <c:pt idx="802">
                  <c:v>6692.2792368706414</c:v>
                </c:pt>
                <c:pt idx="803">
                  <c:v>6699.5331243749315</c:v>
                </c:pt>
                <c:pt idx="804">
                  <c:v>6706.9173086601677</c:v>
                </c:pt>
                <c:pt idx="805">
                  <c:v>6714.4314982113956</c:v>
                </c:pt>
                <c:pt idx="806">
                  <c:v>6722.0753963812804</c:v>
                </c:pt>
                <c:pt idx="807">
                  <c:v>6729.8487014018101</c:v>
                </c:pt>
                <c:pt idx="808">
                  <c:v>6737.7511063962129</c:v>
                </c:pt>
                <c:pt idx="809">
                  <c:v>6745.7822993910704</c:v>
                </c:pt>
                <c:pt idx="810">
                  <c:v>6753.9419633286343</c:v>
                </c:pt>
                <c:pt idx="811">
                  <c:v>6762.2297760793444</c:v>
                </c:pt>
                <c:pt idx="812">
                  <c:v>6770.6454104545446</c:v>
                </c:pt>
                <c:pt idx="813">
                  <c:v>6779.1885342193982</c:v>
                </c:pt>
                <c:pt idx="814">
                  <c:v>6787.8588101060086</c:v>
                </c:pt>
                <c:pt idx="815">
                  <c:v>6796.6558958267306</c:v>
                </c:pt>
                <c:pt idx="816">
                  <c:v>6805.5794440876807</c:v>
                </c:pt>
                <c:pt idx="817">
                  <c:v>6814.6291026024537</c:v>
                </c:pt>
                <c:pt idx="818">
                  <c:v>6823.8045141060284</c:v>
                </c:pt>
                <c:pt idx="819">
                  <c:v>6833.1053163688684</c:v>
                </c:pt>
                <c:pt idx="820">
                  <c:v>6842.5311422112245</c:v>
                </c:pt>
                <c:pt idx="821">
                  <c:v>6852.0816195176349</c:v>
                </c:pt>
                <c:pt idx="822">
                  <c:v>6861.7563712516057</c:v>
                </c:pt>
                <c:pt idx="823">
                  <c:v>6871.555015470507</c:v>
                </c:pt>
                <c:pt idx="824">
                  <c:v>6881.4771653406415</c:v>
                </c:pt>
                <c:pt idx="825">
                  <c:v>6891.522429152521</c:v>
                </c:pt>
                <c:pt idx="826">
                  <c:v>6901.6904103363322</c:v>
                </c:pt>
                <c:pt idx="827">
                  <c:v>6911.9807074775881</c:v>
                </c:pt>
                <c:pt idx="828">
                  <c:v>6922.3929143329769</c:v>
                </c:pt>
                <c:pt idx="829">
                  <c:v>6932.9266198463993</c:v>
                </c:pt>
                <c:pt idx="830">
                  <c:v>6943.5814081651988</c:v>
                </c:pt>
                <c:pt idx="831">
                  <c:v>6954.356858656578</c:v>
                </c:pt>
                <c:pt idx="832">
                  <c:v>6965.2525459242015</c:v>
                </c:pt>
                <c:pt idx="833">
                  <c:v>6976.2680398249913</c:v>
                </c:pt>
                <c:pt idx="834">
                  <c:v>6987.4029054861112</c:v>
                </c:pt>
                <c:pt idx="835">
                  <c:v>6998.656703322129</c:v>
                </c:pt>
                <c:pt idx="836">
                  <c:v>7010.0289890523773</c:v>
                </c:pt>
                <c:pt idx="837">
                  <c:v>7021.519313718487</c:v>
                </c:pt>
                <c:pt idx="838">
                  <c:v>7033.1272237021158</c:v>
                </c:pt>
                <c:pt idx="839">
                  <c:v>7044.8522607428531</c:v>
                </c:pt>
                <c:pt idx="840">
                  <c:v>7056.6939619563118</c:v>
                </c:pt>
                <c:pt idx="841">
                  <c:v>7068.6518598524053</c:v>
                </c:pt>
                <c:pt idx="842">
                  <c:v>7080.7254823538005</c:v>
                </c:pt>
                <c:pt idx="843">
                  <c:v>7092.9143528145541</c:v>
                </c:pt>
                <c:pt idx="844">
                  <c:v>7105.217990038931</c:v>
                </c:pt>
                <c:pt idx="845">
                  <c:v>7117.635908300399</c:v>
                </c:pt>
                <c:pt idx="846">
                  <c:v>7130.1676173608103</c:v>
                </c:pt>
                <c:pt idx="847">
                  <c:v>7142.8126224897478</c:v>
                </c:pt>
                <c:pt idx="848">
                  <c:v>7155.5704244840617</c:v>
                </c:pt>
                <c:pt idx="849">
                  <c:v>7168.4405196875723</c:v>
                </c:pt>
                <c:pt idx="850">
                  <c:v>7181.4224000109589</c:v>
                </c:pt>
                <c:pt idx="851">
                  <c:v>7194.5155529518161</c:v>
                </c:pt>
                <c:pt idx="852">
                  <c:v>7207.7194616148845</c:v>
                </c:pt>
                <c:pt idx="853">
                  <c:v>7221.0336047324572</c:v>
                </c:pt>
                <c:pt idx="854">
                  <c:v>7234.4574566849624</c:v>
                </c:pt>
                <c:pt idx="855">
                  <c:v>7247.9904875217107</c:v>
                </c:pt>
                <c:pt idx="856">
                  <c:v>7261.6321629818167</c:v>
                </c:pt>
                <c:pt idx="857">
                  <c:v>7275.3819445152913</c:v>
                </c:pt>
                <c:pt idx="858">
                  <c:v>7289.2392893043034</c:v>
                </c:pt>
                <c:pt idx="859">
                  <c:v>7303.2036502846076</c:v>
                </c:pt>
                <c:pt idx="860">
                  <c:v>7317.2744761671438</c:v>
                </c:pt>
                <c:pt idx="861">
                  <c:v>7331.4512114597983</c:v>
                </c:pt>
                <c:pt idx="862">
                  <c:v>7345.7332964893376</c:v>
                </c:pt>
                <c:pt idx="863">
                  <c:v>7360.1201674234999</c:v>
                </c:pt>
                <c:pt idx="864">
                  <c:v>7374.6112562932522</c:v>
                </c:pt>
                <c:pt idx="865">
                  <c:v>7389.2059910152211</c:v>
                </c:pt>
                <c:pt idx="866">
                  <c:v>7403.9037954142696</c:v>
                </c:pt>
                <c:pt idx="867">
                  <c:v>7418.7040892462464</c:v>
                </c:pt>
                <c:pt idx="868">
                  <c:v>7433.6062882208935</c:v>
                </c:pt>
                <c:pt idx="869">
                  <c:v>7448.6098040249108</c:v>
                </c:pt>
                <c:pt idx="870">
                  <c:v>7463.7140443451863</c:v>
                </c:pt>
                <c:pt idx="871">
                  <c:v>7478.9184128921734</c:v>
                </c:pt>
                <c:pt idx="872">
                  <c:v>7494.2223094234359</c:v>
                </c:pt>
                <c:pt idx="873">
                  <c:v>7509.6251297673443</c:v>
                </c:pt>
                <c:pt idx="874">
                  <c:v>7525.126265846925</c:v>
                </c:pt>
                <c:pt idx="875">
                  <c:v>7540.7251057038666</c:v>
                </c:pt>
                <c:pt idx="876">
                  <c:v>7556.4210335226835</c:v>
                </c:pt>
                <c:pt idx="877">
                  <c:v>7572.2134296550175</c:v>
                </c:pt>
                <c:pt idx="878">
                  <c:v>7588.1016706441133</c:v>
                </c:pt>
                <c:pt idx="879">
                  <c:v>7604.0851292494208</c:v>
                </c:pt>
                <c:pt idx="880">
                  <c:v>7620.1631744713623</c:v>
                </c:pt>
                <c:pt idx="881">
                  <c:v>7636.3351715762419</c:v>
                </c:pt>
                <c:pt idx="882">
                  <c:v>7652.6004821213046</c:v>
                </c:pt>
                <c:pt idx="883">
                  <c:v>7668.9584639799432</c:v>
                </c:pt>
                <c:pt idx="884">
                  <c:v>7685.40847136704</c:v>
                </c:pt>
                <c:pt idx="885">
                  <c:v>7701.9498548644715</c:v>
                </c:pt>
                <c:pt idx="886">
                  <c:v>7718.5819614467418</c:v>
                </c:pt>
                <c:pt idx="887">
                  <c:v>7735.3041345067604</c:v>
                </c:pt>
                <c:pt idx="888">
                  <c:v>7752.115713881768</c:v>
                </c:pt>
                <c:pt idx="889">
                  <c:v>7769.0160358793964</c:v>
                </c:pt>
                <c:pt idx="890">
                  <c:v>7786.0044333038732</c:v>
                </c:pt>
                <c:pt idx="891">
                  <c:v>7803.0802354823554</c:v>
                </c:pt>
                <c:pt idx="892">
                  <c:v>7820.2427682914113</c:v>
                </c:pt>
                <c:pt idx="893">
                  <c:v>7837.4913541836322</c:v>
                </c:pt>
                <c:pt idx="894">
                  <c:v>7854.8253122143833</c:v>
                </c:pt>
                <c:pt idx="895">
                  <c:v>7872.2439580686805</c:v>
                </c:pt>
                <c:pt idx="896">
                  <c:v>7889.74660408821</c:v>
                </c:pt>
                <c:pt idx="897">
                  <c:v>7907.3325592984784</c:v>
                </c:pt>
                <c:pt idx="898">
                  <c:v>7925.0011294360847</c:v>
                </c:pt>
                <c:pt idx="899">
                  <c:v>7942.7516169761348</c:v>
                </c:pt>
                <c:pt idx="900">
                  <c:v>7960.5833211597719</c:v>
                </c:pt>
                <c:pt idx="901">
                  <c:v>7978.4955380218498</c:v>
                </c:pt>
                <c:pt idx="902">
                  <c:v>7996.4875604187164</c:v>
                </c:pt>
                <c:pt idx="903">
                  <c:v>8014.5586780561343</c:v>
                </c:pt>
                <c:pt idx="904">
                  <c:v>8032.7081775173228</c:v>
                </c:pt>
                <c:pt idx="905">
                  <c:v>8050.9353422911208</c:v>
                </c:pt>
                <c:pt idx="906">
                  <c:v>8069.2394528002696</c:v>
                </c:pt>
                <c:pt idx="907">
                  <c:v>8087.6197864298319</c:v>
                </c:pt>
                <c:pt idx="908">
                  <c:v>8106.0756175557071</c:v>
                </c:pt>
                <c:pt idx="909">
                  <c:v>8124.6062175732814</c:v>
                </c:pt>
                <c:pt idx="910">
                  <c:v>8143.2108549261993</c:v>
                </c:pt>
                <c:pt idx="911">
                  <c:v>8161.8887951352308</c:v>
                </c:pt>
                <c:pt idx="912">
                  <c:v>8180.6393008272807</c:v>
                </c:pt>
                <c:pt idx="913">
                  <c:v>8199.4616317644886</c:v>
                </c:pt>
                <c:pt idx="914">
                  <c:v>8218.3550448734604</c:v>
                </c:pt>
                <c:pt idx="915">
                  <c:v>8237.3187942745953</c:v>
                </c:pt>
                <c:pt idx="916">
                  <c:v>8256.352131311538</c:v>
                </c:pt>
                <c:pt idx="917">
                  <c:v>8275.4543045807332</c:v>
                </c:pt>
                <c:pt idx="918">
                  <c:v>8294.6245599610884</c:v>
                </c:pt>
                <c:pt idx="919">
                  <c:v>8313.8621406437451</c:v>
                </c:pt>
                <c:pt idx="920">
                  <c:v>8333.166287161961</c:v>
                </c:pt>
                <c:pt idx="921">
                  <c:v>8352.5362374210818</c:v>
                </c:pt>
                <c:pt idx="922">
                  <c:v>8371.9712267286395</c:v>
                </c:pt>
                <c:pt idx="923">
                  <c:v>8391.4704878245338</c:v>
                </c:pt>
                <c:pt idx="924">
                  <c:v>8411.033250911325</c:v>
                </c:pt>
                <c:pt idx="925">
                  <c:v>8430.6587436846239</c:v>
                </c:pt>
                <c:pt idx="926">
                  <c:v>8450.3461913635801</c:v>
                </c:pt>
                <c:pt idx="927">
                  <c:v>8470.0948167214683</c:v>
                </c:pt>
                <c:pt idx="928">
                  <c:v>8489.9038401163743</c:v>
                </c:pt>
                <c:pt idx="929">
                  <c:v>8509.7724795219747</c:v>
                </c:pt>
                <c:pt idx="930">
                  <c:v>8529.6999505584045</c:v>
                </c:pt>
                <c:pt idx="931">
                  <c:v>8549.6854665232295</c:v>
                </c:pt>
                <c:pt idx="932">
                  <c:v>8569.7282384225</c:v>
                </c:pt>
                <c:pt idx="933">
                  <c:v>8589.8274750019009</c:v>
                </c:pt>
                <c:pt idx="934">
                  <c:v>8609.9823827779855</c:v>
                </c:pt>
                <c:pt idx="935">
                  <c:v>8630.1921660695079</c:v>
                </c:pt>
                <c:pt idx="936">
                  <c:v>8650.4560270288275</c:v>
                </c:pt>
                <c:pt idx="937">
                  <c:v>8670.7731656734086</c:v>
                </c:pt>
                <c:pt idx="938">
                  <c:v>8691.1427799174089</c:v>
                </c:pt>
                <c:pt idx="939">
                  <c:v>8711.5640656033356</c:v>
                </c:pt>
                <c:pt idx="940">
                  <c:v>8732.0362165337974</c:v>
                </c:pt>
                <c:pt idx="941">
                  <c:v>8752.5584245033278</c:v>
                </c:pt>
                <c:pt idx="942">
                  <c:v>8773.1298793302958</c:v>
                </c:pt>
                <c:pt idx="943">
                  <c:v>8793.7497688888907</c:v>
                </c:pt>
                <c:pt idx="944">
                  <c:v>8814.4172791411784</c:v>
                </c:pt>
                <c:pt idx="945">
                  <c:v>8835.1315941692428</c:v>
                </c:pt>
                <c:pt idx="946">
                  <c:v>8855.8918962073967</c:v>
                </c:pt>
                <c:pt idx="947">
                  <c:v>8876.6973656744594</c:v>
                </c:pt>
                <c:pt idx="948">
                  <c:v>8897.5471812061242</c:v>
                </c:pt>
                <c:pt idx="949">
                  <c:v>8918.4405196873722</c:v>
                </c:pt>
                <c:pt idx="950">
                  <c:v>8939.3765562849785</c:v>
                </c:pt>
                <c:pt idx="951">
                  <c:v>8960.3544644800622</c:v>
                </c:pt>
                <c:pt idx="952">
                  <c:v>8981.3734161007324</c:v>
                </c:pt>
                <c:pt idx="953">
                  <c:v>9002.4325813547639</c:v>
                </c:pt>
                <c:pt idx="954">
                  <c:v>9023.5311288623761</c:v>
                </c:pt>
                <c:pt idx="955">
                  <c:v>9044.6682256890381</c:v>
                </c:pt>
                <c:pt idx="956">
                  <c:v>9065.8430373783613</c:v>
                </c:pt>
                <c:pt idx="957">
                  <c:v>9087.0547279850343</c:v>
                </c:pt>
                <c:pt idx="958">
                  <c:v>9108.3024601078341</c:v>
                </c:pt>
                <c:pt idx="959">
                  <c:v>9129.5853949226785</c:v>
                </c:pt>
                <c:pt idx="960">
                  <c:v>9150.9026922157427</c:v>
                </c:pt>
                <c:pt idx="961">
                  <c:v>9172.2535104166291</c:v>
                </c:pt>
                <c:pt idx="962">
                  <c:v>9193.6370066315976</c:v>
                </c:pt>
                <c:pt idx="963">
                  <c:v>9215.0523366768284</c:v>
                </c:pt>
                <c:pt idx="964">
                  <c:v>9236.4986551117618</c:v>
                </c:pt>
                <c:pt idx="965">
                  <c:v>9257.9751152724675</c:v>
                </c:pt>
                <c:pt idx="966">
                  <c:v>9279.4808693050727</c:v>
                </c:pt>
                <c:pt idx="967">
                  <c:v>9301.0150681992309</c:v>
                </c:pt>
                <c:pt idx="968">
                  <c:v>9322.5768618216425</c:v>
                </c:pt>
                <c:pt idx="969">
                  <c:v>9344.1653989496153</c:v>
                </c:pt>
                <c:pt idx="970">
                  <c:v>9365.7798273046683</c:v>
                </c:pt>
                <c:pt idx="971">
                  <c:v>9387.4192935861829</c:v>
                </c:pt>
                <c:pt idx="972">
                  <c:v>9409.0829435050782</c:v>
                </c:pt>
                <c:pt idx="973">
                  <c:v>9430.7699218175512</c:v>
                </c:pt>
                <c:pt idx="974">
                  <c:v>9452.4793723588355</c:v>
                </c:pt>
                <c:pt idx="975">
                  <c:v>9474.2104380769924</c:v>
                </c:pt>
                <c:pt idx="976">
                  <c:v>9495.9622610667575</c:v>
                </c:pt>
                <c:pt idx="977">
                  <c:v>9517.733982603404</c:v>
                </c:pt>
                <c:pt idx="978">
                  <c:v>9539.5247431766475</c:v>
                </c:pt>
                <c:pt idx="979">
                  <c:v>9561.3336825245697</c:v>
                </c:pt>
                <c:pt idx="980">
                  <c:v>9583.1599396675883</c:v>
                </c:pt>
                <c:pt idx="981">
                  <c:v>9605.0026529424449</c:v>
                </c:pt>
                <c:pt idx="982">
                  <c:v>9626.8609600362197</c:v>
                </c:pt>
                <c:pt idx="983">
                  <c:v>9648.733998020376</c:v>
                </c:pt>
                <c:pt idx="984">
                  <c:v>9670.6209033848263</c:v>
                </c:pt>
                <c:pt idx="985">
                  <c:v>9692.5208120720235</c:v>
                </c:pt>
                <c:pt idx="986">
                  <c:v>9714.4328595110728</c:v>
                </c:pt>
                <c:pt idx="987">
                  <c:v>9736.3561806518574</c:v>
                </c:pt>
                <c:pt idx="988">
                  <c:v>9758.2899099991992</c:v>
                </c:pt>
                <c:pt idx="989">
                  <c:v>9780.2331816470214</c:v>
                </c:pt>
                <c:pt idx="990">
                  <c:v>9802.185129312531</c:v>
                </c:pt>
                <c:pt idx="991">
                  <c:v>9824.1448863704227</c:v>
                </c:pt>
                <c:pt idx="992">
                  <c:v>9846.1115858870871</c:v>
                </c:pt>
                <c:pt idx="993">
                  <c:v>9868.0843606548424</c:v>
                </c:pt>
                <c:pt idx="994">
                  <c:v>9890.0623432261618</c:v>
                </c:pt>
                <c:pt idx="995">
                  <c:v>9912.0446659479294</c:v>
                </c:pt>
                <c:pt idx="996">
                  <c:v>9934.0304609956802</c:v>
                </c:pt>
                <c:pt idx="997">
                  <c:v>9956.0188604078721</c:v>
                </c:pt>
                <c:pt idx="998">
                  <c:v>9978.0089961201502</c:v>
                </c:pt>
                <c:pt idx="999">
                  <c:v>9999.9999999996035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8F-4F07-B939-9DED5894CEEB}"/>
            </c:ext>
          </c:extLst>
        </c:ser>
        <c:ser>
          <c:idx val="2"/>
          <c:order val="2"/>
          <c:tx>
            <c:v>pl3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Feuil1!$AB$12:$AB$1011</c:f>
              <c:numCache>
                <c:formatCode>General</c:formatCode>
                <c:ptCount val="1000"/>
                <c:pt idx="0">
                  <c:v>-9.8695719314491726E-2</c:v>
                </c:pt>
                <c:pt idx="1">
                  <c:v>-0.39477898091899988</c:v>
                </c:pt>
                <c:pt idx="2">
                  <c:v>-0.88823809595487546</c:v>
                </c:pt>
                <c:pt idx="3">
                  <c:v>-1.5790535835003539</c:v>
                </c:pt>
                <c:pt idx="4">
                  <c:v>-2.4671981713418063</c:v>
                </c:pt>
                <c:pt idx="5">
                  <c:v>-3.5526367970542196</c:v>
                </c:pt>
                <c:pt idx="6">
                  <c:v>-4.8353266093763523</c:v>
                </c:pt>
                <c:pt idx="7">
                  <c:v>-6.3152169699123988</c:v>
                </c:pt>
                <c:pt idx="8">
                  <c:v>-7.9922494551246928</c:v>
                </c:pt>
                <c:pt idx="9">
                  <c:v>-9.8663578586420044</c:v>
                </c:pt>
                <c:pt idx="10">
                  <c:v>-11.937468193873428</c:v>
                </c:pt>
                <c:pt idx="11">
                  <c:v>-14.20549869693059</c:v>
                </c:pt>
                <c:pt idx="12">
                  <c:v>-16.670359829850895</c:v>
                </c:pt>
                <c:pt idx="13">
                  <c:v>-19.331954284137282</c:v>
                </c:pt>
                <c:pt idx="14">
                  <c:v>-22.19017698459993</c:v>
                </c:pt>
                <c:pt idx="15">
                  <c:v>-25.244915093499003</c:v>
                </c:pt>
                <c:pt idx="16">
                  <c:v>-28.496048015005726</c:v>
                </c:pt>
                <c:pt idx="17">
                  <c:v>-31.943447399958131</c:v>
                </c:pt>
                <c:pt idx="18">
                  <c:v>-35.586977150931489</c:v>
                </c:pt>
                <c:pt idx="19">
                  <c:v>-39.426493427610694</c:v>
                </c:pt>
                <c:pt idx="20">
                  <c:v>-43.461844652467335</c:v>
                </c:pt>
                <c:pt idx="21">
                  <c:v>-47.692871516744162</c:v>
                </c:pt>
                <c:pt idx="22">
                  <c:v>-52.119406986745162</c:v>
                </c:pt>
                <c:pt idx="23">
                  <c:v>-56.741276310429384</c:v>
                </c:pt>
                <c:pt idx="24">
                  <c:v>-61.558297024311287</c:v>
                </c:pt>
                <c:pt idx="25">
                  <c:v>-66.57027896065938</c:v>
                </c:pt>
                <c:pt idx="26">
                  <c:v>-71.777024255009565</c:v>
                </c:pt>
                <c:pt idx="27">
                  <c:v>-77.178327353973145</c:v>
                </c:pt>
                <c:pt idx="28">
                  <c:v>-82.77397502335134</c:v>
                </c:pt>
                <c:pt idx="29">
                  <c:v>-88.563746356556294</c:v>
                </c:pt>
                <c:pt idx="30">
                  <c:v>-94.547412783329492</c:v>
                </c:pt>
                <c:pt idx="31">
                  <c:v>-100.72473807876577</c:v>
                </c:pt>
                <c:pt idx="32">
                  <c:v>-107.09547837263926</c:v>
                </c:pt>
                <c:pt idx="33">
                  <c:v>-113.65938215903225</c:v>
                </c:pt>
                <c:pt idx="34">
                  <c:v>-120.41619030626316</c:v>
                </c:pt>
                <c:pt idx="35">
                  <c:v>-127.36563606711479</c:v>
                </c:pt>
                <c:pt idx="36">
                  <c:v>-134.50744508936714</c:v>
                </c:pt>
                <c:pt idx="37">
                  <c:v>-141.84133542663039</c:v>
                </c:pt>
                <c:pt idx="38">
                  <c:v>-149.3670175494708</c:v>
                </c:pt>
                <c:pt idx="39">
                  <c:v>-157.08419435684482</c:v>
                </c:pt>
                <c:pt idx="40">
                  <c:v>-164.99256118782432</c:v>
                </c:pt>
                <c:pt idx="41">
                  <c:v>-173.09180583363104</c:v>
                </c:pt>
                <c:pt idx="42">
                  <c:v>-181.38160854995112</c:v>
                </c:pt>
                <c:pt idx="43">
                  <c:v>-189.86164206957073</c:v>
                </c:pt>
                <c:pt idx="44">
                  <c:v>-198.53157161528452</c:v>
                </c:pt>
                <c:pt idx="45">
                  <c:v>-207.39105491312057</c:v>
                </c:pt>
                <c:pt idx="46">
                  <c:v>-216.43974220584732</c:v>
                </c:pt>
                <c:pt idx="47">
                  <c:v>-225.67727626678516</c:v>
                </c:pt>
                <c:pt idx="48">
                  <c:v>-235.10329241390536</c:v>
                </c:pt>
                <c:pt idx="49">
                  <c:v>-244.71741852423202</c:v>
                </c:pt>
                <c:pt idx="50">
                  <c:v>-254.51927504852665</c:v>
                </c:pt>
                <c:pt idx="51">
                  <c:v>-264.50847502627857</c:v>
                </c:pt>
                <c:pt idx="52">
                  <c:v>-274.68462410097618</c:v>
                </c:pt>
                <c:pt idx="53">
                  <c:v>-285.0473205356775</c:v>
                </c:pt>
                <c:pt idx="54">
                  <c:v>-295.5961552288727</c:v>
                </c:pt>
                <c:pt idx="55">
                  <c:v>-306.33071173062945</c:v>
                </c:pt>
                <c:pt idx="56">
                  <c:v>-317.25056625903835</c:v>
                </c:pt>
                <c:pt idx="57">
                  <c:v>-328.35528771693953</c:v>
                </c:pt>
                <c:pt idx="58">
                  <c:v>-339.64443770894559</c:v>
                </c:pt>
                <c:pt idx="59">
                  <c:v>-351.11757055874295</c:v>
                </c:pt>
                <c:pt idx="60">
                  <c:v>-362.77423332669332</c:v>
                </c:pt>
                <c:pt idx="61">
                  <c:v>-374.61396582770976</c:v>
                </c:pt>
                <c:pt idx="62">
                  <c:v>-386.63630064942572</c:v>
                </c:pt>
                <c:pt idx="63">
                  <c:v>-398.84076317064773</c:v>
                </c:pt>
                <c:pt idx="64">
                  <c:v>-411.22687158009467</c:v>
                </c:pt>
                <c:pt idx="65">
                  <c:v>-423.79413689541161</c:v>
                </c:pt>
                <c:pt idx="66">
                  <c:v>-436.54206298248573</c:v>
                </c:pt>
                <c:pt idx="67">
                  <c:v>-449.47014657502132</c:v>
                </c:pt>
                <c:pt idx="68">
                  <c:v>-462.57787729441498</c:v>
                </c:pt>
                <c:pt idx="69">
                  <c:v>-475.86473766990184</c:v>
                </c:pt>
                <c:pt idx="70">
                  <c:v>-489.33020315898557</c:v>
                </c:pt>
                <c:pt idx="71">
                  <c:v>-502.97374216814478</c:v>
                </c:pt>
                <c:pt idx="72">
                  <c:v>-516.79481607382058</c:v>
                </c:pt>
                <c:pt idx="73">
                  <c:v>-530.79287924368055</c:v>
                </c:pt>
                <c:pt idx="74">
                  <c:v>-544.96737905816008</c:v>
                </c:pt>
                <c:pt idx="75">
                  <c:v>-559.31775593227667</c:v>
                </c:pt>
                <c:pt idx="76">
                  <c:v>-573.84344333772333</c:v>
                </c:pt>
                <c:pt idx="77">
                  <c:v>-588.54386782523306</c:v>
                </c:pt>
                <c:pt idx="78">
                  <c:v>-603.41844904721802</c:v>
                </c:pt>
                <c:pt idx="79">
                  <c:v>-618.46659978068237</c:v>
                </c:pt>
                <c:pt idx="80">
                  <c:v>-633.687725950399</c:v>
                </c:pt>
                <c:pt idx="81">
                  <c:v>-649.0812266523717</c:v>
                </c:pt>
                <c:pt idx="82">
                  <c:v>-664.64649417755027</c:v>
                </c:pt>
                <c:pt idx="83">
                  <c:v>-680.38291403582389</c:v>
                </c:pt>
                <c:pt idx="84">
                  <c:v>-696.28986498028189</c:v>
                </c:pt>
                <c:pt idx="85">
                  <c:v>-712.36671903173919</c:v>
                </c:pt>
                <c:pt idx="86">
                  <c:v>-728.61284150352458</c:v>
                </c:pt>
                <c:pt idx="87">
                  <c:v>-745.02759102654181</c:v>
                </c:pt>
                <c:pt idx="88">
                  <c:v>-761.61031957458454</c:v>
                </c:pt>
                <c:pt idx="89">
                  <c:v>-778.36037248992579</c:v>
                </c:pt>
                <c:pt idx="90">
                  <c:v>-795.27708850915587</c:v>
                </c:pt>
                <c:pt idx="91">
                  <c:v>-812.35979978929299</c:v>
                </c:pt>
                <c:pt idx="92">
                  <c:v>-829.60783193414591</c:v>
                </c:pt>
                <c:pt idx="93">
                  <c:v>-847.02050402093846</c:v>
                </c:pt>
                <c:pt idx="94">
                  <c:v>-864.59712862719334</c:v>
                </c:pt>
                <c:pt idx="95">
                  <c:v>-882.33701185786504</c:v>
                </c:pt>
                <c:pt idx="96">
                  <c:v>-900.23945337274108</c:v>
                </c:pt>
                <c:pt idx="97">
                  <c:v>-918.30374641408253</c:v>
                </c:pt>
                <c:pt idx="98">
                  <c:v>-936.52917783453313</c:v>
                </c:pt>
                <c:pt idx="99">
                  <c:v>-954.91502812526551</c:v>
                </c:pt>
                <c:pt idx="100">
                  <c:v>-973.46057144439328</c:v>
                </c:pt>
                <c:pt idx="101">
                  <c:v>-992.16507564562016</c:v>
                </c:pt>
                <c:pt idx="102">
                  <c:v>-1011.0278023071482</c:v>
                </c:pt>
                <c:pt idx="103">
                  <c:v>-1030.0480067608269</c:v>
                </c:pt>
                <c:pt idx="104">
                  <c:v>-1049.224938121552</c:v>
                </c:pt>
                <c:pt idx="105">
                  <c:v>-1068.5578393169094</c:v>
                </c:pt>
                <c:pt idx="106">
                  <c:v>-1088.0459471170634</c:v>
                </c:pt>
                <c:pt idx="107">
                  <c:v>-1107.6884921648871</c:v>
                </c:pt>
                <c:pt idx="108">
                  <c:v>-1127.4846990063352</c:v>
                </c:pt>
                <c:pt idx="109">
                  <c:v>-1147.4337861210588</c:v>
                </c:pt>
                <c:pt idx="110">
                  <c:v>-1167.5349659532558</c:v>
                </c:pt>
                <c:pt idx="111">
                  <c:v>-1187.7874449427659</c:v>
                </c:pt>
                <c:pt idx="112">
                  <c:v>-1208.1904235563961</c:v>
                </c:pt>
                <c:pt idx="113">
                  <c:v>-1228.7430963194865</c:v>
                </c:pt>
                <c:pt idx="114">
                  <c:v>-1249.444651847708</c:v>
                </c:pt>
                <c:pt idx="115">
                  <c:v>-1270.2942728790954</c:v>
                </c:pt>
                <c:pt idx="116">
                  <c:v>-1291.2911363063099</c:v>
                </c:pt>
                <c:pt idx="117">
                  <c:v>-1312.4344132091369</c:v>
                </c:pt>
                <c:pt idx="118">
                  <c:v>-1333.7232688872064</c:v>
                </c:pt>
                <c:pt idx="119">
                  <c:v>-1355.1568628929494</c:v>
                </c:pt>
                <c:pt idx="120">
                  <c:v>-1376.7343490647736</c:v>
                </c:pt>
                <c:pt idx="121">
                  <c:v>-1398.4548755604733</c:v>
                </c:pt>
                <c:pt idx="122">
                  <c:v>-1420.3175848908518</c:v>
                </c:pt>
                <c:pt idx="123">
                  <c:v>-1442.3216139535812</c:v>
                </c:pt>
                <c:pt idx="124">
                  <c:v>-1464.4660940672707</c:v>
                </c:pt>
                <c:pt idx="125">
                  <c:v>-1486.7501510057623</c:v>
                </c:pt>
                <c:pt idx="126">
                  <c:v>-1509.1729050326453</c:v>
                </c:pt>
                <c:pt idx="127">
                  <c:v>-1531.7334709359843</c:v>
                </c:pt>
                <c:pt idx="128">
                  <c:v>-1554.4309580632671</c:v>
                </c:pt>
                <c:pt idx="129">
                  <c:v>-1577.2644703565657</c:v>
                </c:pt>
                <c:pt idx="130">
                  <c:v>-1600.2331063879137</c:v>
                </c:pt>
                <c:pt idx="131">
                  <c:v>-1623.3359593948876</c:v>
                </c:pt>
                <c:pt idx="132">
                  <c:v>-1646.5721173164097</c:v>
                </c:pt>
                <c:pt idx="133">
                  <c:v>-1669.940662828752</c:v>
                </c:pt>
                <c:pt idx="134">
                  <c:v>-1693.4406733817514</c:v>
                </c:pt>
                <c:pt idx="135">
                  <c:v>-1717.0712212352287</c:v>
                </c:pt>
                <c:pt idx="136">
                  <c:v>-1740.8313734956173</c:v>
                </c:pt>
                <c:pt idx="137">
                  <c:v>-1764.7201921527899</c:v>
                </c:pt>
                <c:pt idx="138">
                  <c:v>-1788.7367341170898</c:v>
                </c:pt>
                <c:pt idx="139">
                  <c:v>-1812.8800512565635</c:v>
                </c:pt>
                <c:pt idx="140">
                  <c:v>-1837.1491904343902</c:v>
                </c:pt>
                <c:pt idx="141">
                  <c:v>-1861.5431935465099</c:v>
                </c:pt>
                <c:pt idx="142">
                  <c:v>-1886.06109755945</c:v>
                </c:pt>
                <c:pt idx="143">
                  <c:v>-1910.7019345483413</c:v>
                </c:pt>
                <c:pt idx="144">
                  <c:v>-1935.464731735131</c:v>
                </c:pt>
                <c:pt idx="145">
                  <c:v>-1960.3485115269864</c:v>
                </c:pt>
                <c:pt idx="146">
                  <c:v>-1985.3522915548906</c:v>
                </c:pt>
                <c:pt idx="147">
                  <c:v>-2010.4750847124196</c:v>
                </c:pt>
                <c:pt idx="148">
                  <c:v>-2035.7158991947181</c:v>
                </c:pt>
                <c:pt idx="149">
                  <c:v>-2061.0737385376492</c:v>
                </c:pt>
                <c:pt idx="150">
                  <c:v>-2086.5476016571342</c:v>
                </c:pt>
                <c:pt idx="151">
                  <c:v>-2112.1364828886772</c:v>
                </c:pt>
                <c:pt idx="152">
                  <c:v>-2137.839372027061</c:v>
                </c:pt>
                <c:pt idx="153">
                  <c:v>-2163.6552543662333</c:v>
                </c:pt>
                <c:pt idx="154">
                  <c:v>-2189.5831107393633</c:v>
                </c:pt>
                <c:pt idx="155">
                  <c:v>-2215.6219175590763</c:v>
                </c:pt>
                <c:pt idx="156">
                  <c:v>-2241.7706468578658</c:v>
                </c:pt>
                <c:pt idx="157">
                  <c:v>-2268.0282663286716</c:v>
                </c:pt>
                <c:pt idx="158">
                  <c:v>-2294.3937393656383</c:v>
                </c:pt>
                <c:pt idx="159">
                  <c:v>-2320.8660251050337</c:v>
                </c:pt>
                <c:pt idx="160">
                  <c:v>-2347.444078466347</c:v>
                </c:pt>
                <c:pt idx="161">
                  <c:v>-2374.1268501935392</c:v>
                </c:pt>
                <c:pt idx="162">
                  <c:v>-2400.9132868964707</c:v>
                </c:pt>
                <c:pt idx="163">
                  <c:v>-2427.8023310924864</c:v>
                </c:pt>
                <c:pt idx="164">
                  <c:v>-2454.7929212481622</c:v>
                </c:pt>
                <c:pt idx="165">
                  <c:v>-2481.8839918212147</c:v>
                </c:pt>
                <c:pt idx="166">
                  <c:v>-2509.0744733025649</c:v>
                </c:pt>
                <c:pt idx="167">
                  <c:v>-2536.3632922585616</c:v>
                </c:pt>
                <c:pt idx="168">
                  <c:v>-2563.7493713733579</c:v>
                </c:pt>
                <c:pt idx="169">
                  <c:v>-2591.2316294914435</c:v>
                </c:pt>
                <c:pt idx="170">
                  <c:v>-2618.8089816603247</c:v>
                </c:pt>
                <c:pt idx="171">
                  <c:v>-2646.4803391733581</c:v>
                </c:pt>
                <c:pt idx="172">
                  <c:v>-2674.2446096127292</c:v>
                </c:pt>
                <c:pt idx="173">
                  <c:v>-2702.1006968925822</c:v>
                </c:pt>
                <c:pt idx="174">
                  <c:v>-2730.0475013022874</c:v>
                </c:pt>
                <c:pt idx="175">
                  <c:v>-2758.0839195498606</c:v>
                </c:pt>
                <c:pt idx="176">
                  <c:v>-2786.2088448055147</c:v>
                </c:pt>
                <c:pt idx="177">
                  <c:v>-2814.4211667453583</c:v>
                </c:pt>
                <c:pt idx="178">
                  <c:v>-2842.7197715952279</c:v>
                </c:pt>
                <c:pt idx="179">
                  <c:v>-2871.1035421746597</c:v>
                </c:pt>
                <c:pt idx="180">
                  <c:v>-2899.5713579409921</c:v>
                </c:pt>
                <c:pt idx="181">
                  <c:v>-2928.1220950336033</c:v>
                </c:pt>
                <c:pt idx="182">
                  <c:v>-2956.7546263182785</c:v>
                </c:pt>
                <c:pt idx="183">
                  <c:v>-2985.4678214317109</c:v>
                </c:pt>
                <c:pt idx="184">
                  <c:v>-3014.2605468261218</c:v>
                </c:pt>
                <c:pt idx="185">
                  <c:v>-3043.1316658140131</c:v>
                </c:pt>
                <c:pt idx="186">
                  <c:v>-3072.0800386130422</c:v>
                </c:pt>
                <c:pt idx="187">
                  <c:v>-3101.1045223910201</c:v>
                </c:pt>
                <c:pt idx="188">
                  <c:v>-3130.2039713110239</c:v>
                </c:pt>
                <c:pt idx="189">
                  <c:v>-3159.3772365766363</c:v>
                </c:pt>
                <c:pt idx="190">
                  <c:v>-3188.6231664772981</c:v>
                </c:pt>
                <c:pt idx="191">
                  <c:v>-3217.9406064337736</c:v>
                </c:pt>
                <c:pt idx="192">
                  <c:v>-3247.3283990437321</c:v>
                </c:pt>
                <c:pt idx="193">
                  <c:v>-3276.7853841274423</c:v>
                </c:pt>
                <c:pt idx="194">
                  <c:v>-3306.3103987735713</c:v>
                </c:pt>
                <c:pt idx="195">
                  <c:v>-3335.9022773850947</c:v>
                </c:pt>
                <c:pt idx="196">
                  <c:v>-3365.5598517253161</c:v>
                </c:pt>
                <c:pt idx="197">
                  <c:v>-3395.2819509639812</c:v>
                </c:pt>
                <c:pt idx="198">
                  <c:v>-3425.0674017235051</c:v>
                </c:pt>
                <c:pt idx="199">
                  <c:v>-3454.9150281252923</c:v>
                </c:pt>
                <c:pt idx="200">
                  <c:v>-3484.82365183616</c:v>
                </c:pt>
                <c:pt idx="201">
                  <c:v>-3514.7920921148552</c:v>
                </c:pt>
                <c:pt idx="202">
                  <c:v>-3544.8191658586711</c:v>
                </c:pt>
                <c:pt idx="203">
                  <c:v>-3574.90368765015</c:v>
                </c:pt>
                <c:pt idx="204">
                  <c:v>-3605.0444698038846</c:v>
                </c:pt>
                <c:pt idx="205">
                  <c:v>-3635.240322413405</c:v>
                </c:pt>
                <c:pt idx="206">
                  <c:v>-3665.4900533981536</c:v>
                </c:pt>
                <c:pt idx="207">
                  <c:v>-3695.7924685505473</c:v>
                </c:pt>
                <c:pt idx="208">
                  <c:v>-3726.1463715831214</c:v>
                </c:pt>
                <c:pt idx="209">
                  <c:v>-3756.5505641757586</c:v>
                </c:pt>
                <c:pt idx="210">
                  <c:v>-3787.0038460229953</c:v>
                </c:pt>
                <c:pt idx="211">
                  <c:v>-3817.5050148814098</c:v>
                </c:pt>
                <c:pt idx="212">
                  <c:v>-3848.0528666170803</c:v>
                </c:pt>
                <c:pt idx="213">
                  <c:v>-3878.6461952531276</c:v>
                </c:pt>
                <c:pt idx="214">
                  <c:v>-3909.2837930173209</c:v>
                </c:pt>
                <c:pt idx="215">
                  <c:v>-3939.9644503897612</c:v>
                </c:pt>
                <c:pt idx="216">
                  <c:v>-3970.6869561506282</c:v>
                </c:pt>
                <c:pt idx="217">
                  <c:v>-4001.4500974279999</c:v>
                </c:pt>
                <c:pt idx="218">
                  <c:v>-4032.252659745734</c:v>
                </c:pt>
                <c:pt idx="219">
                  <c:v>-4063.0934270714124</c:v>
                </c:pt>
                <c:pt idx="220">
                  <c:v>-4093.9711818643491</c:v>
                </c:pt>
                <c:pt idx="221">
                  <c:v>-4124.8847051236562</c:v>
                </c:pt>
                <c:pt idx="222">
                  <c:v>-4155.8327764363667</c:v>
                </c:pt>
                <c:pt idx="223">
                  <c:v>-4186.8141740256187</c:v>
                </c:pt>
                <c:pt idx="224">
                  <c:v>-4217.827674798883</c:v>
                </c:pt>
                <c:pt idx="225">
                  <c:v>-4248.8720543962518</c:v>
                </c:pt>
                <c:pt idx="226">
                  <c:v>-4279.9460872387772</c:v>
                </c:pt>
                <c:pt idx="227">
                  <c:v>-4311.0485465768479</c:v>
                </c:pt>
                <c:pt idx="228">
                  <c:v>-4342.1782045386253</c:v>
                </c:pt>
                <c:pt idx="229">
                  <c:v>-4373.3338321785177</c:v>
                </c:pt>
                <c:pt idx="230">
                  <c:v>-4404.5141995256899</c:v>
                </c:pt>
                <c:pt idx="231">
                  <c:v>-4435.7180756326306</c:v>
                </c:pt>
                <c:pt idx="232">
                  <c:v>-4466.9442286237399</c:v>
                </c:pt>
                <c:pt idx="233">
                  <c:v>-4498.1914257439648</c:v>
                </c:pt>
                <c:pt idx="234">
                  <c:v>-4529.458433407468</c:v>
                </c:pt>
                <c:pt idx="235">
                  <c:v>-4560.7440172463248</c:v>
                </c:pt>
                <c:pt idx="236">
                  <c:v>-4592.0469421592525</c:v>
                </c:pt>
                <c:pt idx="237">
                  <c:v>-4623.3659723603769</c:v>
                </c:pt>
                <c:pt idx="238">
                  <c:v>-4654.6998714280126</c:v>
                </c:pt>
                <c:pt idx="239">
                  <c:v>-4686.0474023534744</c:v>
                </c:pt>
                <c:pt idx="240">
                  <c:v>-4717.4073275899191</c:v>
                </c:pt>
                <c:pt idx="241">
                  <c:v>-4748.7784091011945</c:v>
                </c:pt>
                <c:pt idx="242">
                  <c:v>-4780.1594084107173</c:v>
                </c:pt>
                <c:pt idx="243">
                  <c:v>-4811.5490866503696</c:v>
                </c:pt>
                <c:pt idx="244">
                  <c:v>-4842.9462046094013</c:v>
                </c:pt>
                <c:pt idx="245">
                  <c:v>-4874.3495227833555</c:v>
                </c:pt>
                <c:pt idx="246">
                  <c:v>-4905.7578014230021</c:v>
                </c:pt>
                <c:pt idx="247">
                  <c:v>-4937.1698005832804</c:v>
                </c:pt>
                <c:pt idx="248">
                  <c:v>-4968.5842801722492</c:v>
                </c:pt>
                <c:pt idx="249">
                  <c:v>-5000.0000000000437</c:v>
                </c:pt>
                <c:pt idx="250">
                  <c:v>-5031.415719827839</c:v>
                </c:pt>
                <c:pt idx="251">
                  <c:v>-5062.8301994168078</c:v>
                </c:pt>
                <c:pt idx="252">
                  <c:v>-5094.2421985770861</c:v>
                </c:pt>
                <c:pt idx="253">
                  <c:v>-5125.6504772167327</c:v>
                </c:pt>
                <c:pt idx="254">
                  <c:v>-5157.0537953906869</c:v>
                </c:pt>
                <c:pt idx="255">
                  <c:v>-5188.4509133497186</c:v>
                </c:pt>
                <c:pt idx="256">
                  <c:v>-5219.8405915893709</c:v>
                </c:pt>
                <c:pt idx="257">
                  <c:v>-5251.2215908988937</c:v>
                </c:pt>
                <c:pt idx="258">
                  <c:v>-5282.5926724101691</c:v>
                </c:pt>
                <c:pt idx="259">
                  <c:v>-5313.9525976466139</c:v>
                </c:pt>
                <c:pt idx="260">
                  <c:v>-5345.3001285720757</c:v>
                </c:pt>
                <c:pt idx="261">
                  <c:v>-5376.6340276397104</c:v>
                </c:pt>
                <c:pt idx="262">
                  <c:v>-5407.9530578408348</c:v>
                </c:pt>
                <c:pt idx="263">
                  <c:v>-5439.2559827537634</c:v>
                </c:pt>
                <c:pt idx="264">
                  <c:v>-5470.5415665926193</c:v>
                </c:pt>
                <c:pt idx="265">
                  <c:v>-5501.8085742561225</c:v>
                </c:pt>
                <c:pt idx="266">
                  <c:v>-5533.0557713763483</c:v>
                </c:pt>
                <c:pt idx="267">
                  <c:v>-5564.2819243674567</c:v>
                </c:pt>
                <c:pt idx="268">
                  <c:v>-5595.4858004743974</c:v>
                </c:pt>
                <c:pt idx="269">
                  <c:v>-5626.6661678215705</c:v>
                </c:pt>
                <c:pt idx="270">
                  <c:v>-5657.821795461462</c:v>
                </c:pt>
                <c:pt idx="271">
                  <c:v>-5688.9514534232394</c:v>
                </c:pt>
                <c:pt idx="272">
                  <c:v>-5720.0539127613101</c:v>
                </c:pt>
                <c:pt idx="273">
                  <c:v>-5751.1279456038355</c:v>
                </c:pt>
                <c:pt idx="274">
                  <c:v>-5782.1723252012043</c:v>
                </c:pt>
                <c:pt idx="275">
                  <c:v>-5813.1858259744686</c:v>
                </c:pt>
                <c:pt idx="276">
                  <c:v>-5844.1672235637197</c:v>
                </c:pt>
                <c:pt idx="277">
                  <c:v>-5875.1152948764311</c:v>
                </c:pt>
                <c:pt idx="278">
                  <c:v>-5906.0288181357373</c:v>
                </c:pt>
                <c:pt idx="279">
                  <c:v>-5936.906572928674</c:v>
                </c:pt>
                <c:pt idx="280">
                  <c:v>-5967.7473402543528</c:v>
                </c:pt>
                <c:pt idx="281">
                  <c:v>-5998.5499025720865</c:v>
                </c:pt>
                <c:pt idx="282">
                  <c:v>-6029.3130438494582</c:v>
                </c:pt>
                <c:pt idx="283">
                  <c:v>-6060.0355496103257</c:v>
                </c:pt>
                <c:pt idx="284">
                  <c:v>-6090.7162069827646</c:v>
                </c:pt>
                <c:pt idx="285">
                  <c:v>-6121.3538047469583</c:v>
                </c:pt>
                <c:pt idx="286">
                  <c:v>-6151.9471333830052</c:v>
                </c:pt>
                <c:pt idx="287">
                  <c:v>-6182.4949851186757</c:v>
                </c:pt>
                <c:pt idx="288">
                  <c:v>-6212.9961539770902</c:v>
                </c:pt>
                <c:pt idx="289">
                  <c:v>-6243.4494358243264</c:v>
                </c:pt>
                <c:pt idx="290">
                  <c:v>-6273.8536284169641</c:v>
                </c:pt>
                <c:pt idx="291">
                  <c:v>-6304.2075314495378</c:v>
                </c:pt>
                <c:pt idx="292">
                  <c:v>-6334.509946601931</c:v>
                </c:pt>
                <c:pt idx="293">
                  <c:v>-6364.7596775866805</c:v>
                </c:pt>
                <c:pt idx="294">
                  <c:v>-6394.9555301962</c:v>
                </c:pt>
                <c:pt idx="295">
                  <c:v>-6425.096312349935</c:v>
                </c:pt>
                <c:pt idx="296">
                  <c:v>-6455.1808341414135</c:v>
                </c:pt>
                <c:pt idx="297">
                  <c:v>-6485.2079078852285</c:v>
                </c:pt>
                <c:pt idx="298">
                  <c:v>-6515.1763481639246</c:v>
                </c:pt>
                <c:pt idx="299">
                  <c:v>-6545.0849718747913</c:v>
                </c:pt>
                <c:pt idx="300">
                  <c:v>-6574.9325982765786</c:v>
                </c:pt>
                <c:pt idx="301">
                  <c:v>-6604.7180490361025</c:v>
                </c:pt>
                <c:pt idx="302">
                  <c:v>-6634.4401482747671</c:v>
                </c:pt>
                <c:pt idx="303">
                  <c:v>-6664.097722614988</c:v>
                </c:pt>
                <c:pt idx="304">
                  <c:v>-6693.6896012265115</c:v>
                </c:pt>
                <c:pt idx="305">
                  <c:v>-6723.2146158726409</c:v>
                </c:pt>
                <c:pt idx="306">
                  <c:v>-6752.6716009563506</c:v>
                </c:pt>
                <c:pt idx="307">
                  <c:v>-6782.0593935663092</c:v>
                </c:pt>
                <c:pt idx="308">
                  <c:v>-6811.3768335227842</c:v>
                </c:pt>
                <c:pt idx="309">
                  <c:v>-6840.6227634234456</c:v>
                </c:pt>
                <c:pt idx="310">
                  <c:v>-6869.7960286890575</c:v>
                </c:pt>
                <c:pt idx="311">
                  <c:v>-6898.8954776090613</c:v>
                </c:pt>
                <c:pt idx="312">
                  <c:v>-6927.9199613870387</c:v>
                </c:pt>
                <c:pt idx="313">
                  <c:v>-6956.8683341860688</c:v>
                </c:pt>
                <c:pt idx="314">
                  <c:v>-6985.7394531739592</c:v>
                </c:pt>
                <c:pt idx="315">
                  <c:v>-7014.53217856837</c:v>
                </c:pt>
                <c:pt idx="316">
                  <c:v>-7043.2453736818015</c:v>
                </c:pt>
                <c:pt idx="317">
                  <c:v>-7071.8779049664772</c:v>
                </c:pt>
                <c:pt idx="318">
                  <c:v>-7100.4286420590879</c:v>
                </c:pt>
                <c:pt idx="319">
                  <c:v>-7128.8964578254199</c:v>
                </c:pt>
                <c:pt idx="320">
                  <c:v>-7157.2802284048521</c:v>
                </c:pt>
                <c:pt idx="321">
                  <c:v>-7185.5788332547218</c:v>
                </c:pt>
                <c:pt idx="322">
                  <c:v>-7213.7911551945645</c:v>
                </c:pt>
                <c:pt idx="323">
                  <c:v>-7241.9160804502189</c:v>
                </c:pt>
                <c:pt idx="324">
                  <c:v>-7269.9524986977904</c:v>
                </c:pt>
                <c:pt idx="325">
                  <c:v>-7297.8993031074961</c:v>
                </c:pt>
                <c:pt idx="326">
                  <c:v>-7325.7553903873486</c:v>
                </c:pt>
                <c:pt idx="327">
                  <c:v>-7353.5196608267197</c:v>
                </c:pt>
                <c:pt idx="328">
                  <c:v>-7381.1910183397522</c:v>
                </c:pt>
                <c:pt idx="329">
                  <c:v>-7408.7683705086329</c:v>
                </c:pt>
                <c:pt idx="330">
                  <c:v>-7436.2506286267189</c:v>
                </c:pt>
                <c:pt idx="331">
                  <c:v>-7463.6367077415152</c:v>
                </c:pt>
                <c:pt idx="332">
                  <c:v>-7490.9255266975115</c:v>
                </c:pt>
                <c:pt idx="333">
                  <c:v>-7518.1160081788621</c:v>
                </c:pt>
                <c:pt idx="334">
                  <c:v>-7545.2070787519133</c:v>
                </c:pt>
                <c:pt idx="335">
                  <c:v>-7572.19766890759</c:v>
                </c:pt>
                <c:pt idx="336">
                  <c:v>-7599.0867131036048</c:v>
                </c:pt>
                <c:pt idx="337">
                  <c:v>-7625.8731498065354</c:v>
                </c:pt>
                <c:pt idx="338">
                  <c:v>-7652.5559215337271</c:v>
                </c:pt>
                <c:pt idx="339">
                  <c:v>-7679.1339748950404</c:v>
                </c:pt>
                <c:pt idx="340">
                  <c:v>-7705.6062606344367</c:v>
                </c:pt>
                <c:pt idx="341">
                  <c:v>-7731.9717336714029</c:v>
                </c:pt>
                <c:pt idx="342">
                  <c:v>-7758.2293531422092</c:v>
                </c:pt>
                <c:pt idx="343">
                  <c:v>-7784.3780824409969</c:v>
                </c:pt>
                <c:pt idx="344">
                  <c:v>-7810.4168892607104</c:v>
                </c:pt>
                <c:pt idx="345">
                  <c:v>-7836.3447456338399</c:v>
                </c:pt>
                <c:pt idx="346">
                  <c:v>-7862.1606279730113</c:v>
                </c:pt>
                <c:pt idx="347">
                  <c:v>-7887.8635171113947</c:v>
                </c:pt>
                <c:pt idx="348">
                  <c:v>-7913.4523983429372</c:v>
                </c:pt>
                <c:pt idx="349">
                  <c:v>-7938.9262614624222</c:v>
                </c:pt>
                <c:pt idx="350">
                  <c:v>-7964.2841008053529</c:v>
                </c:pt>
                <c:pt idx="351">
                  <c:v>-7989.5249152876513</c:v>
                </c:pt>
                <c:pt idx="352">
                  <c:v>-8014.6477084451808</c:v>
                </c:pt>
                <c:pt idx="353">
                  <c:v>-8039.6514884730841</c:v>
                </c:pt>
                <c:pt idx="354">
                  <c:v>-8064.5352682649391</c:v>
                </c:pt>
                <c:pt idx="355">
                  <c:v>-8089.2980654517287</c:v>
                </c:pt>
                <c:pt idx="356">
                  <c:v>-8113.9389024406191</c:v>
                </c:pt>
                <c:pt idx="357">
                  <c:v>-8138.4568064535588</c:v>
                </c:pt>
                <c:pt idx="358">
                  <c:v>-8162.8508095656789</c:v>
                </c:pt>
                <c:pt idx="359">
                  <c:v>-8187.1199487435042</c:v>
                </c:pt>
                <c:pt idx="360">
                  <c:v>-8211.2632658829789</c:v>
                </c:pt>
                <c:pt idx="361">
                  <c:v>-8235.279807847277</c:v>
                </c:pt>
                <c:pt idx="362">
                  <c:v>-8259.16862650445</c:v>
                </c:pt>
                <c:pt idx="363">
                  <c:v>-8282.9287787648391</c:v>
                </c:pt>
                <c:pt idx="364">
                  <c:v>-8306.559326618315</c:v>
                </c:pt>
                <c:pt idx="365">
                  <c:v>-8330.0593371713148</c:v>
                </c:pt>
                <c:pt idx="366">
                  <c:v>-8353.4278826836562</c:v>
                </c:pt>
                <c:pt idx="367">
                  <c:v>-8376.6640406051774</c:v>
                </c:pt>
                <c:pt idx="368">
                  <c:v>-8399.7668936121518</c:v>
                </c:pt>
                <c:pt idx="369">
                  <c:v>-8422.735529643498</c:v>
                </c:pt>
                <c:pt idx="370">
                  <c:v>-8445.5690419367966</c:v>
                </c:pt>
                <c:pt idx="371">
                  <c:v>-8468.2665290640798</c:v>
                </c:pt>
                <c:pt idx="372">
                  <c:v>-8490.8270949674188</c:v>
                </c:pt>
                <c:pt idx="373">
                  <c:v>-8513.2498489943009</c:v>
                </c:pt>
                <c:pt idx="374">
                  <c:v>-8535.5339059327925</c:v>
                </c:pt>
                <c:pt idx="375">
                  <c:v>-8557.678386046482</c:v>
                </c:pt>
                <c:pt idx="376">
                  <c:v>-8579.6824151092096</c:v>
                </c:pt>
                <c:pt idx="377">
                  <c:v>-8601.5451244395881</c:v>
                </c:pt>
                <c:pt idx="378">
                  <c:v>-8623.2656509352873</c:v>
                </c:pt>
                <c:pt idx="379">
                  <c:v>-8644.843137107111</c:v>
                </c:pt>
                <c:pt idx="380">
                  <c:v>-8666.2767311128537</c:v>
                </c:pt>
                <c:pt idx="381">
                  <c:v>-8687.5655867909227</c:v>
                </c:pt>
                <c:pt idx="382">
                  <c:v>-8708.7088636937497</c:v>
                </c:pt>
                <c:pt idx="383">
                  <c:v>-8729.7057271209633</c:v>
                </c:pt>
                <c:pt idx="384">
                  <c:v>-8750.5553481523511</c:v>
                </c:pt>
                <c:pt idx="385">
                  <c:v>-8771.2569036805726</c:v>
                </c:pt>
                <c:pt idx="386">
                  <c:v>-8791.8095764436621</c:v>
                </c:pt>
                <c:pt idx="387">
                  <c:v>-8812.212555057291</c:v>
                </c:pt>
                <c:pt idx="388">
                  <c:v>-8832.4650340468015</c:v>
                </c:pt>
                <c:pt idx="389">
                  <c:v>-8852.5662138789976</c:v>
                </c:pt>
                <c:pt idx="390">
                  <c:v>-8872.5153009937203</c:v>
                </c:pt>
                <c:pt idx="391">
                  <c:v>-8892.3115078351693</c:v>
                </c:pt>
                <c:pt idx="392">
                  <c:v>-8911.9540528829912</c:v>
                </c:pt>
                <c:pt idx="393">
                  <c:v>-8931.4421606831456</c:v>
                </c:pt>
                <c:pt idx="394">
                  <c:v>-8950.775061878503</c:v>
                </c:pt>
                <c:pt idx="395">
                  <c:v>-8969.9519932392268</c:v>
                </c:pt>
                <c:pt idx="396">
                  <c:v>-8988.972197692905</c:v>
                </c:pt>
                <c:pt idx="397">
                  <c:v>-9007.8349243544326</c:v>
                </c:pt>
                <c:pt idx="398">
                  <c:v>-9026.5394285556595</c:v>
                </c:pt>
                <c:pt idx="399">
                  <c:v>-9045.0849718747868</c:v>
                </c:pt>
                <c:pt idx="400">
                  <c:v>-9063.4708221655183</c:v>
                </c:pt>
                <c:pt idx="401">
                  <c:v>-9081.6962535859675</c:v>
                </c:pt>
                <c:pt idx="402">
                  <c:v>-9099.7605466273089</c:v>
                </c:pt>
                <c:pt idx="403">
                  <c:v>-9117.6629881421868</c:v>
                </c:pt>
                <c:pt idx="404">
                  <c:v>-9135.4028713728567</c:v>
                </c:pt>
                <c:pt idx="405">
                  <c:v>-9152.9794959791107</c:v>
                </c:pt>
                <c:pt idx="406">
                  <c:v>-9170.3921680659041</c:v>
                </c:pt>
                <c:pt idx="407">
                  <c:v>-9187.6402002107552</c:v>
                </c:pt>
                <c:pt idx="408">
                  <c:v>-9204.7229114908914</c:v>
                </c:pt>
                <c:pt idx="409">
                  <c:v>-9221.6396275101215</c:v>
                </c:pt>
                <c:pt idx="410">
                  <c:v>-9238.3896804254618</c:v>
                </c:pt>
                <c:pt idx="411">
                  <c:v>-9254.9724089735064</c:v>
                </c:pt>
                <c:pt idx="412">
                  <c:v>-9271.38715849652</c:v>
                </c:pt>
                <c:pt idx="413">
                  <c:v>-9287.6332809683063</c:v>
                </c:pt>
                <c:pt idx="414">
                  <c:v>-9303.7101350197627</c:v>
                </c:pt>
                <c:pt idx="415">
                  <c:v>-9319.6170859642207</c:v>
                </c:pt>
                <c:pt idx="416">
                  <c:v>-9335.3535058224952</c:v>
                </c:pt>
                <c:pt idx="417">
                  <c:v>-9350.918773347672</c:v>
                </c:pt>
                <c:pt idx="418">
                  <c:v>-9366.3122740496437</c:v>
                </c:pt>
                <c:pt idx="419">
                  <c:v>-9381.5334002193595</c:v>
                </c:pt>
                <c:pt idx="420">
                  <c:v>-9396.5815509528238</c:v>
                </c:pt>
                <c:pt idx="421">
                  <c:v>-9411.4561321748079</c:v>
                </c:pt>
                <c:pt idx="422">
                  <c:v>-9426.1565566623176</c:v>
                </c:pt>
                <c:pt idx="423">
                  <c:v>-9440.6822440677643</c:v>
                </c:pt>
                <c:pt idx="424">
                  <c:v>-9455.0326209418818</c:v>
                </c:pt>
                <c:pt idx="425">
                  <c:v>-9469.2071207563604</c:v>
                </c:pt>
                <c:pt idx="426">
                  <c:v>-9483.2051839262203</c:v>
                </c:pt>
                <c:pt idx="427">
                  <c:v>-9497.0262578318943</c:v>
                </c:pt>
                <c:pt idx="428">
                  <c:v>-9510.6697968410535</c:v>
                </c:pt>
                <c:pt idx="429">
                  <c:v>-9524.1352623301354</c:v>
                </c:pt>
                <c:pt idx="430">
                  <c:v>-9537.4221227056223</c:v>
                </c:pt>
                <c:pt idx="431">
                  <c:v>-9550.5298534250178</c:v>
                </c:pt>
                <c:pt idx="432">
                  <c:v>-9563.4579370175525</c:v>
                </c:pt>
                <c:pt idx="433">
                  <c:v>-9576.2058631046257</c:v>
                </c:pt>
                <c:pt idx="434">
                  <c:v>-9588.7731284199435</c:v>
                </c:pt>
                <c:pt idx="435">
                  <c:v>-9601.1592368293877</c:v>
                </c:pt>
                <c:pt idx="436">
                  <c:v>-9613.3636993506116</c:v>
                </c:pt>
                <c:pt idx="437">
                  <c:v>-9625.3860341723266</c:v>
                </c:pt>
                <c:pt idx="438">
                  <c:v>-9637.2257666733422</c:v>
                </c:pt>
                <c:pt idx="439">
                  <c:v>-9648.8824294412916</c:v>
                </c:pt>
                <c:pt idx="440">
                  <c:v>-9660.3555622910899</c:v>
                </c:pt>
                <c:pt idx="441">
                  <c:v>-9671.6447122830941</c:v>
                </c:pt>
                <c:pt idx="442">
                  <c:v>-9682.7494337409953</c:v>
                </c:pt>
                <c:pt idx="443">
                  <c:v>-9693.6692882694042</c:v>
                </c:pt>
                <c:pt idx="444">
                  <c:v>-9704.4038447711609</c:v>
                </c:pt>
                <c:pt idx="445">
                  <c:v>-9714.9526794643534</c:v>
                </c:pt>
                <c:pt idx="446">
                  <c:v>-9725.3153758990557</c:v>
                </c:pt>
                <c:pt idx="447">
                  <c:v>-9735.4915249737533</c:v>
                </c:pt>
                <c:pt idx="448">
                  <c:v>-9745.4807249515034</c:v>
                </c:pt>
                <c:pt idx="449">
                  <c:v>-9755.282581475798</c:v>
                </c:pt>
                <c:pt idx="450">
                  <c:v>-9764.8967075861237</c:v>
                </c:pt>
                <c:pt idx="451">
                  <c:v>-9774.322723733243</c:v>
                </c:pt>
                <c:pt idx="452">
                  <c:v>-9783.5602577941809</c:v>
                </c:pt>
                <c:pt idx="453">
                  <c:v>-9792.6089450869076</c:v>
                </c:pt>
                <c:pt idx="454">
                  <c:v>-9801.4684283847419</c:v>
                </c:pt>
                <c:pt idx="455">
                  <c:v>-9810.1383579304566</c:v>
                </c:pt>
                <c:pt idx="456">
                  <c:v>-9818.6183914500762</c:v>
                </c:pt>
                <c:pt idx="457">
                  <c:v>-9826.9081941663953</c:v>
                </c:pt>
                <c:pt idx="458">
                  <c:v>-9835.0074388122011</c:v>
                </c:pt>
                <c:pt idx="459">
                  <c:v>-9842.9158056431806</c:v>
                </c:pt>
                <c:pt idx="460">
                  <c:v>-9850.6329824505538</c:v>
                </c:pt>
                <c:pt idx="461">
                  <c:v>-9858.1586645733933</c:v>
                </c:pt>
                <c:pt idx="462">
                  <c:v>-9865.4925549106556</c:v>
                </c:pt>
                <c:pt idx="463">
                  <c:v>-9872.6343639329079</c:v>
                </c:pt>
                <c:pt idx="464">
                  <c:v>-9879.5838096937587</c:v>
                </c:pt>
                <c:pt idx="465">
                  <c:v>-9886.3406178409896</c:v>
                </c:pt>
                <c:pt idx="466">
                  <c:v>-9892.9045216273807</c:v>
                </c:pt>
                <c:pt idx="467">
                  <c:v>-9899.2752619212552</c:v>
                </c:pt>
                <c:pt idx="468">
                  <c:v>-9905.4525872166905</c:v>
                </c:pt>
                <c:pt idx="469">
                  <c:v>-9911.4362536434637</c:v>
                </c:pt>
                <c:pt idx="470">
                  <c:v>-9917.2260249766659</c:v>
                </c:pt>
                <c:pt idx="471">
                  <c:v>-9922.821672646045</c:v>
                </c:pt>
                <c:pt idx="472">
                  <c:v>-9928.2229757450077</c:v>
                </c:pt>
                <c:pt idx="473">
                  <c:v>-9933.4297210393561</c:v>
                </c:pt>
                <c:pt idx="474">
                  <c:v>-9938.441702975706</c:v>
                </c:pt>
                <c:pt idx="475">
                  <c:v>-9943.2587236895852</c:v>
                </c:pt>
                <c:pt idx="476">
                  <c:v>-9947.8805930132694</c:v>
                </c:pt>
                <c:pt idx="477">
                  <c:v>-9952.3071284832695</c:v>
                </c:pt>
                <c:pt idx="478">
                  <c:v>-9956.5381553475472</c:v>
                </c:pt>
                <c:pt idx="479">
                  <c:v>-9960.573506572402</c:v>
                </c:pt>
                <c:pt idx="480">
                  <c:v>-9964.4130228490794</c:v>
                </c:pt>
                <c:pt idx="481">
                  <c:v>-9968.0565526000537</c:v>
                </c:pt>
                <c:pt idx="482">
                  <c:v>-9971.503951985007</c:v>
                </c:pt>
                <c:pt idx="483">
                  <c:v>-9974.7550849065119</c:v>
                </c:pt>
                <c:pt idx="484">
                  <c:v>-9977.8098230154101</c:v>
                </c:pt>
                <c:pt idx="485">
                  <c:v>-9980.6680457158727</c:v>
                </c:pt>
                <c:pt idx="486">
                  <c:v>-9983.3296401701591</c:v>
                </c:pt>
                <c:pt idx="487">
                  <c:v>-9985.7945013030767</c:v>
                </c:pt>
                <c:pt idx="488">
                  <c:v>-9988.062531806132</c:v>
                </c:pt>
                <c:pt idx="489">
                  <c:v>-9990.1336421413653</c:v>
                </c:pt>
                <c:pt idx="490">
                  <c:v>-9992.0077505448808</c:v>
                </c:pt>
                <c:pt idx="491">
                  <c:v>-9993.684783030094</c:v>
                </c:pt>
                <c:pt idx="492">
                  <c:v>-9995.1646733906273</c:v>
                </c:pt>
                <c:pt idx="493">
                  <c:v>-9996.4473632029512</c:v>
                </c:pt>
                <c:pt idx="494">
                  <c:v>-9997.53280182866</c:v>
                </c:pt>
                <c:pt idx="495">
                  <c:v>-9998.4209464165033</c:v>
                </c:pt>
                <c:pt idx="496">
                  <c:v>-9999.1117619040469</c:v>
                </c:pt>
                <c:pt idx="497">
                  <c:v>-9999.6052210190828</c:v>
                </c:pt>
                <c:pt idx="498">
                  <c:v>-9999.9013042806873</c:v>
                </c:pt>
                <c:pt idx="499">
                  <c:v>-10000</c:v>
                </c:pt>
                <c:pt idx="500">
                  <c:v>-9999.9013042806837</c:v>
                </c:pt>
                <c:pt idx="501">
                  <c:v>-9999.6052210190792</c:v>
                </c:pt>
                <c:pt idx="502">
                  <c:v>-9999.1117619040433</c:v>
                </c:pt>
                <c:pt idx="503">
                  <c:v>-9998.420946416496</c:v>
                </c:pt>
                <c:pt idx="504">
                  <c:v>-9997.5328018286546</c:v>
                </c:pt>
                <c:pt idx="505">
                  <c:v>-9996.4473632029421</c:v>
                </c:pt>
                <c:pt idx="506">
                  <c:v>-9995.1646733906182</c:v>
                </c:pt>
                <c:pt idx="507">
                  <c:v>-9993.6847830300831</c:v>
                </c:pt>
                <c:pt idx="508">
                  <c:v>-9992.007750544868</c:v>
                </c:pt>
                <c:pt idx="509">
                  <c:v>-9990.1336421413507</c:v>
                </c:pt>
                <c:pt idx="510">
                  <c:v>-9988.0625318061175</c:v>
                </c:pt>
                <c:pt idx="511">
                  <c:v>-9985.7945013030621</c:v>
                </c:pt>
                <c:pt idx="512">
                  <c:v>-9983.3296401701409</c:v>
                </c:pt>
                <c:pt idx="513">
                  <c:v>-9980.6680457158527</c:v>
                </c:pt>
                <c:pt idx="514">
                  <c:v>-9977.8098230153882</c:v>
                </c:pt>
                <c:pt idx="515">
                  <c:v>-9974.7550849064901</c:v>
                </c:pt>
                <c:pt idx="516">
                  <c:v>-9971.5039519849815</c:v>
                </c:pt>
                <c:pt idx="517">
                  <c:v>-9968.0565526000282</c:v>
                </c:pt>
                <c:pt idx="518">
                  <c:v>-9964.413022849054</c:v>
                </c:pt>
                <c:pt idx="519">
                  <c:v>-9960.5735065723748</c:v>
                </c:pt>
                <c:pt idx="520">
                  <c:v>-9956.5381553475163</c:v>
                </c:pt>
                <c:pt idx="521">
                  <c:v>-9952.3071284832404</c:v>
                </c:pt>
                <c:pt idx="522">
                  <c:v>-9947.8805930132385</c:v>
                </c:pt>
                <c:pt idx="523">
                  <c:v>-9943.2587236895524</c:v>
                </c:pt>
                <c:pt idx="524">
                  <c:v>-9938.4417029756696</c:v>
                </c:pt>
                <c:pt idx="525">
                  <c:v>-9933.4297210393215</c:v>
                </c:pt>
                <c:pt idx="526">
                  <c:v>-9928.2229757449713</c:v>
                </c:pt>
                <c:pt idx="527">
                  <c:v>-9922.821672646005</c:v>
                </c:pt>
                <c:pt idx="528">
                  <c:v>-9917.2260249766259</c:v>
                </c:pt>
                <c:pt idx="529">
                  <c:v>-9911.4362536434201</c:v>
                </c:pt>
                <c:pt idx="530">
                  <c:v>-9905.4525872166487</c:v>
                </c:pt>
                <c:pt idx="531">
                  <c:v>-9899.2752619212115</c:v>
                </c:pt>
                <c:pt idx="532">
                  <c:v>-9892.9045216273371</c:v>
                </c:pt>
                <c:pt idx="533">
                  <c:v>-9886.3406178409423</c:v>
                </c:pt>
                <c:pt idx="534">
                  <c:v>-9879.5838096937114</c:v>
                </c:pt>
                <c:pt idx="535">
                  <c:v>-9872.6343639328588</c:v>
                </c:pt>
                <c:pt idx="536">
                  <c:v>-9865.4925549106047</c:v>
                </c:pt>
                <c:pt idx="537">
                  <c:v>-9858.1586645733405</c:v>
                </c:pt>
                <c:pt idx="538">
                  <c:v>-9850.632982450501</c:v>
                </c:pt>
                <c:pt idx="539">
                  <c:v>-9842.9158056431261</c:v>
                </c:pt>
                <c:pt idx="540">
                  <c:v>-9835.0074388121448</c:v>
                </c:pt>
                <c:pt idx="541">
                  <c:v>-9826.9081941663389</c:v>
                </c:pt>
                <c:pt idx="542">
                  <c:v>-9818.6183914500161</c:v>
                </c:pt>
                <c:pt idx="543">
                  <c:v>-9810.1383579303965</c:v>
                </c:pt>
                <c:pt idx="544">
                  <c:v>-9801.4684283846818</c:v>
                </c:pt>
                <c:pt idx="545">
                  <c:v>-9792.6089450868458</c:v>
                </c:pt>
                <c:pt idx="546">
                  <c:v>-9783.5602577941172</c:v>
                </c:pt>
                <c:pt idx="547">
                  <c:v>-9774.3227237331776</c:v>
                </c:pt>
                <c:pt idx="548">
                  <c:v>-9764.8967075860564</c:v>
                </c:pt>
                <c:pt idx="549">
                  <c:v>-9755.2825814757307</c:v>
                </c:pt>
                <c:pt idx="550">
                  <c:v>-9745.4807249514342</c:v>
                </c:pt>
                <c:pt idx="551">
                  <c:v>-9735.4915249736805</c:v>
                </c:pt>
                <c:pt idx="552">
                  <c:v>-9725.3153758989829</c:v>
                </c:pt>
                <c:pt idx="553">
                  <c:v>-9714.9526794642807</c:v>
                </c:pt>
                <c:pt idx="554">
                  <c:v>-9704.4038447710846</c:v>
                </c:pt>
                <c:pt idx="555">
                  <c:v>-9693.6692882693278</c:v>
                </c:pt>
                <c:pt idx="556">
                  <c:v>-9682.7494337409189</c:v>
                </c:pt>
                <c:pt idx="557">
                  <c:v>-9671.6447122830141</c:v>
                </c:pt>
                <c:pt idx="558">
                  <c:v>-9660.3555622910098</c:v>
                </c:pt>
                <c:pt idx="559">
                  <c:v>-9648.8824294412116</c:v>
                </c:pt>
                <c:pt idx="560">
                  <c:v>-9637.2257666732585</c:v>
                </c:pt>
                <c:pt idx="561">
                  <c:v>-9625.3860341722429</c:v>
                </c:pt>
                <c:pt idx="562">
                  <c:v>-9613.3636993505243</c:v>
                </c:pt>
                <c:pt idx="563">
                  <c:v>-9601.1592368293022</c:v>
                </c:pt>
                <c:pt idx="564">
                  <c:v>-9588.7731284198562</c:v>
                </c:pt>
                <c:pt idx="565">
                  <c:v>-9576.2058631045365</c:v>
                </c:pt>
                <c:pt idx="566">
                  <c:v>-9563.4579370174615</c:v>
                </c:pt>
                <c:pt idx="567">
                  <c:v>-9550.529853424925</c:v>
                </c:pt>
                <c:pt idx="568">
                  <c:v>-9537.4221227055314</c:v>
                </c:pt>
                <c:pt idx="569">
                  <c:v>-9524.1352623300427</c:v>
                </c:pt>
                <c:pt idx="570">
                  <c:v>-9510.6697968409571</c:v>
                </c:pt>
                <c:pt idx="571">
                  <c:v>-9497.0262578317997</c:v>
                </c:pt>
                <c:pt idx="572">
                  <c:v>-9483.2051839261221</c:v>
                </c:pt>
                <c:pt idx="573">
                  <c:v>-9469.2071207562603</c:v>
                </c:pt>
                <c:pt idx="574">
                  <c:v>-9455.0326209417799</c:v>
                </c:pt>
                <c:pt idx="575">
                  <c:v>-9440.6822440676624</c:v>
                </c:pt>
                <c:pt idx="576">
                  <c:v>-9426.1565566622157</c:v>
                </c:pt>
                <c:pt idx="577">
                  <c:v>-9411.456132174706</c:v>
                </c:pt>
                <c:pt idx="578">
                  <c:v>-9396.5815509527201</c:v>
                </c:pt>
                <c:pt idx="579">
                  <c:v>-9381.533400219254</c:v>
                </c:pt>
                <c:pt idx="580">
                  <c:v>-9366.3122740495364</c:v>
                </c:pt>
                <c:pt idx="581">
                  <c:v>-9350.9187733475628</c:v>
                </c:pt>
                <c:pt idx="582">
                  <c:v>-9335.3535058223842</c:v>
                </c:pt>
                <c:pt idx="583">
                  <c:v>-9319.6170859641097</c:v>
                </c:pt>
                <c:pt idx="584">
                  <c:v>-9303.7101350196499</c:v>
                </c:pt>
                <c:pt idx="585">
                  <c:v>-9287.6332809681917</c:v>
                </c:pt>
                <c:pt idx="586">
                  <c:v>-9271.3871584964072</c:v>
                </c:pt>
                <c:pt idx="587">
                  <c:v>-9254.97240897339</c:v>
                </c:pt>
                <c:pt idx="588">
                  <c:v>-9238.3896804253454</c:v>
                </c:pt>
                <c:pt idx="589">
                  <c:v>-9221.6396275100033</c:v>
                </c:pt>
                <c:pt idx="590">
                  <c:v>-9204.7229114907714</c:v>
                </c:pt>
                <c:pt idx="591">
                  <c:v>-9187.6402002106352</c:v>
                </c:pt>
                <c:pt idx="592">
                  <c:v>-9170.3921680657804</c:v>
                </c:pt>
                <c:pt idx="593">
                  <c:v>-9152.979495978987</c:v>
                </c:pt>
                <c:pt idx="594">
                  <c:v>-9135.402871372733</c:v>
                </c:pt>
                <c:pt idx="595">
                  <c:v>-9117.6629881420595</c:v>
                </c:pt>
                <c:pt idx="596">
                  <c:v>-9099.7605466271834</c:v>
                </c:pt>
                <c:pt idx="597">
                  <c:v>-9081.6962535858402</c:v>
                </c:pt>
                <c:pt idx="598">
                  <c:v>-9063.4708221653909</c:v>
                </c:pt>
                <c:pt idx="599">
                  <c:v>-9045.0849718746576</c:v>
                </c:pt>
                <c:pt idx="600">
                  <c:v>-9026.5394285555285</c:v>
                </c:pt>
                <c:pt idx="601">
                  <c:v>-9007.8349243542998</c:v>
                </c:pt>
                <c:pt idx="602">
                  <c:v>-8988.9721976927722</c:v>
                </c:pt>
                <c:pt idx="603">
                  <c:v>-8969.9519932390922</c:v>
                </c:pt>
                <c:pt idx="604">
                  <c:v>-8950.7750618783666</c:v>
                </c:pt>
                <c:pt idx="605">
                  <c:v>-8931.4421606830092</c:v>
                </c:pt>
                <c:pt idx="606">
                  <c:v>-8911.9540528828547</c:v>
                </c:pt>
                <c:pt idx="607">
                  <c:v>-8892.3115078350311</c:v>
                </c:pt>
                <c:pt idx="608">
                  <c:v>-8872.5153009935802</c:v>
                </c:pt>
                <c:pt idx="609">
                  <c:v>-8852.5662138788575</c:v>
                </c:pt>
                <c:pt idx="610">
                  <c:v>-8832.4650340466596</c:v>
                </c:pt>
                <c:pt idx="611">
                  <c:v>-8812.2125550571491</c:v>
                </c:pt>
                <c:pt idx="612">
                  <c:v>-8791.8095764435184</c:v>
                </c:pt>
                <c:pt idx="613">
                  <c:v>-8771.2569036804271</c:v>
                </c:pt>
                <c:pt idx="614">
                  <c:v>-8750.5553481522038</c:v>
                </c:pt>
                <c:pt idx="615">
                  <c:v>-8729.7057271208178</c:v>
                </c:pt>
                <c:pt idx="616">
                  <c:v>-8708.7088636936005</c:v>
                </c:pt>
                <c:pt idx="617">
                  <c:v>-8687.5655867907735</c:v>
                </c:pt>
                <c:pt idx="618">
                  <c:v>-8666.2767311127027</c:v>
                </c:pt>
                <c:pt idx="619">
                  <c:v>-8644.8431371069601</c:v>
                </c:pt>
                <c:pt idx="620">
                  <c:v>-8623.2656509351345</c:v>
                </c:pt>
                <c:pt idx="621">
                  <c:v>-8601.5451244394353</c:v>
                </c:pt>
                <c:pt idx="622">
                  <c:v>-8579.6824151090568</c:v>
                </c:pt>
                <c:pt idx="623">
                  <c:v>-8557.6783860463256</c:v>
                </c:pt>
                <c:pt idx="624">
                  <c:v>-8535.5339059326361</c:v>
                </c:pt>
                <c:pt idx="625">
                  <c:v>-8513.2498489941445</c:v>
                </c:pt>
                <c:pt idx="626">
                  <c:v>-8490.8270949672606</c:v>
                </c:pt>
                <c:pt idx="627">
                  <c:v>-8468.2665290639197</c:v>
                </c:pt>
                <c:pt idx="628">
                  <c:v>-8445.5690419366365</c:v>
                </c:pt>
                <c:pt idx="629">
                  <c:v>-8422.7355296433379</c:v>
                </c:pt>
                <c:pt idx="630">
                  <c:v>-8399.7668936119899</c:v>
                </c:pt>
                <c:pt idx="631">
                  <c:v>-8376.6640406050137</c:v>
                </c:pt>
                <c:pt idx="632">
                  <c:v>-8353.4278826834925</c:v>
                </c:pt>
                <c:pt idx="633">
                  <c:v>-8330.0593371711493</c:v>
                </c:pt>
                <c:pt idx="634">
                  <c:v>-8306.5593266181495</c:v>
                </c:pt>
                <c:pt idx="635">
                  <c:v>-8282.9287787646717</c:v>
                </c:pt>
                <c:pt idx="636">
                  <c:v>-8259.1686265042845</c:v>
                </c:pt>
                <c:pt idx="637">
                  <c:v>-8235.2798078471133</c:v>
                </c:pt>
                <c:pt idx="638">
                  <c:v>-8211.2632658828134</c:v>
                </c:pt>
                <c:pt idx="639">
                  <c:v>-8187.1199487433414</c:v>
                </c:pt>
                <c:pt idx="640">
                  <c:v>-8162.8508095655161</c:v>
                </c:pt>
                <c:pt idx="641">
                  <c:v>-8138.4568064533978</c:v>
                </c:pt>
                <c:pt idx="642">
                  <c:v>-8113.9389024404591</c:v>
                </c:pt>
                <c:pt idx="643">
                  <c:v>-8089.2980654515686</c:v>
                </c:pt>
                <c:pt idx="644">
                  <c:v>-8064.5352682647808</c:v>
                </c:pt>
                <c:pt idx="645">
                  <c:v>-8039.6514884729258</c:v>
                </c:pt>
                <c:pt idx="646">
                  <c:v>-8014.6477084450235</c:v>
                </c:pt>
                <c:pt idx="647">
                  <c:v>-7989.5249152874958</c:v>
                </c:pt>
                <c:pt idx="648">
                  <c:v>-7964.2841008051992</c:v>
                </c:pt>
                <c:pt idx="649">
                  <c:v>-7938.9262614622694</c:v>
                </c:pt>
                <c:pt idx="650">
                  <c:v>-7913.4523983427853</c:v>
                </c:pt>
                <c:pt idx="651">
                  <c:v>-7887.8635171112437</c:v>
                </c:pt>
                <c:pt idx="652">
                  <c:v>-7862.1606279728621</c:v>
                </c:pt>
                <c:pt idx="653">
                  <c:v>-7836.3447456336908</c:v>
                </c:pt>
                <c:pt idx="654">
                  <c:v>-7810.416889260563</c:v>
                </c:pt>
                <c:pt idx="655">
                  <c:v>-7784.3780824408514</c:v>
                </c:pt>
                <c:pt idx="656">
                  <c:v>-7758.2293531420637</c:v>
                </c:pt>
                <c:pt idx="657">
                  <c:v>-7731.9717336712583</c:v>
                </c:pt>
                <c:pt idx="658">
                  <c:v>-7705.6062606342939</c:v>
                </c:pt>
                <c:pt idx="659">
                  <c:v>-7679.1339748948994</c:v>
                </c:pt>
                <c:pt idx="660">
                  <c:v>-7652.555921533587</c:v>
                </c:pt>
                <c:pt idx="661">
                  <c:v>-7625.8731498063971</c:v>
                </c:pt>
                <c:pt idx="662">
                  <c:v>-7599.0867131034674</c:v>
                </c:pt>
                <c:pt idx="663">
                  <c:v>-7572.1976689074545</c:v>
                </c:pt>
                <c:pt idx="664">
                  <c:v>-7545.2070787517796</c:v>
                </c:pt>
                <c:pt idx="665">
                  <c:v>-7518.1160081787284</c:v>
                </c:pt>
                <c:pt idx="666">
                  <c:v>-7490.9255266973796</c:v>
                </c:pt>
                <c:pt idx="667">
                  <c:v>-7463.6367077413852</c:v>
                </c:pt>
                <c:pt idx="668">
                  <c:v>-7436.2506286265907</c:v>
                </c:pt>
                <c:pt idx="669">
                  <c:v>-7408.7683705085065</c:v>
                </c:pt>
                <c:pt idx="670">
                  <c:v>-7381.1910183396267</c:v>
                </c:pt>
                <c:pt idx="671">
                  <c:v>-7353.519660826596</c:v>
                </c:pt>
                <c:pt idx="672">
                  <c:v>-7325.7553903872267</c:v>
                </c:pt>
                <c:pt idx="673">
                  <c:v>-7297.8993031073751</c:v>
                </c:pt>
                <c:pt idx="674">
                  <c:v>-7269.9524986976712</c:v>
                </c:pt>
                <c:pt idx="675">
                  <c:v>-7241.9160804501007</c:v>
                </c:pt>
                <c:pt idx="676">
                  <c:v>-7213.791155194448</c:v>
                </c:pt>
                <c:pt idx="677">
                  <c:v>-7185.5788332546072</c:v>
                </c:pt>
                <c:pt idx="678">
                  <c:v>-7157.2802284047384</c:v>
                </c:pt>
                <c:pt idx="679">
                  <c:v>-7128.896457825309</c:v>
                </c:pt>
                <c:pt idx="680">
                  <c:v>-7100.4286420589779</c:v>
                </c:pt>
                <c:pt idx="681">
                  <c:v>-7071.877904966369</c:v>
                </c:pt>
                <c:pt idx="682">
                  <c:v>-7043.2453736816951</c:v>
                </c:pt>
                <c:pt idx="683">
                  <c:v>-7014.5321785682654</c:v>
                </c:pt>
                <c:pt idx="684">
                  <c:v>-6985.7394531738564</c:v>
                </c:pt>
                <c:pt idx="685">
                  <c:v>-6956.8683341859669</c:v>
                </c:pt>
                <c:pt idx="686">
                  <c:v>-6927.9199613869396</c:v>
                </c:pt>
                <c:pt idx="687">
                  <c:v>-6898.895477608964</c:v>
                </c:pt>
                <c:pt idx="688">
                  <c:v>-6869.7960286889629</c:v>
                </c:pt>
                <c:pt idx="689">
                  <c:v>-6840.6227634233519</c:v>
                </c:pt>
                <c:pt idx="690">
                  <c:v>-6811.3768335226923</c:v>
                </c:pt>
                <c:pt idx="691">
                  <c:v>-6782.0593935662191</c:v>
                </c:pt>
                <c:pt idx="692">
                  <c:v>-6752.6716009562624</c:v>
                </c:pt>
                <c:pt idx="693">
                  <c:v>-6723.2146158725545</c:v>
                </c:pt>
                <c:pt idx="694">
                  <c:v>-6693.6896012264278</c:v>
                </c:pt>
                <c:pt idx="695">
                  <c:v>-6664.0977226149062</c:v>
                </c:pt>
                <c:pt idx="696">
                  <c:v>-6634.4401482746871</c:v>
                </c:pt>
                <c:pt idx="697">
                  <c:v>-6604.7180490360233</c:v>
                </c:pt>
                <c:pt idx="698">
                  <c:v>-6574.9325982765022</c:v>
                </c:pt>
                <c:pt idx="699">
                  <c:v>-6545.0849718747168</c:v>
                </c:pt>
                <c:pt idx="700">
                  <c:v>-6515.1763481638518</c:v>
                </c:pt>
                <c:pt idx="701">
                  <c:v>-6485.2079078851584</c:v>
                </c:pt>
                <c:pt idx="702">
                  <c:v>-6455.1808341413443</c:v>
                </c:pt>
                <c:pt idx="703">
                  <c:v>-6425.0963123498677</c:v>
                </c:pt>
                <c:pt idx="704">
                  <c:v>-6394.9555301961354</c:v>
                </c:pt>
                <c:pt idx="705">
                  <c:v>-6364.7596775866168</c:v>
                </c:pt>
                <c:pt idx="706">
                  <c:v>-6334.5099466018701</c:v>
                </c:pt>
                <c:pt idx="707">
                  <c:v>-6304.2075314494796</c:v>
                </c:pt>
                <c:pt idx="708">
                  <c:v>-6273.8536284169077</c:v>
                </c:pt>
                <c:pt idx="709">
                  <c:v>-6243.4494358242719</c:v>
                </c:pt>
                <c:pt idx="710">
                  <c:v>-6212.9961539770375</c:v>
                </c:pt>
                <c:pt idx="711">
                  <c:v>-6182.4949851186257</c:v>
                </c:pt>
                <c:pt idx="712">
                  <c:v>-6151.947133382957</c:v>
                </c:pt>
                <c:pt idx="713">
                  <c:v>-6121.3538047469119</c:v>
                </c:pt>
                <c:pt idx="714">
                  <c:v>-6090.7162069827209</c:v>
                </c:pt>
                <c:pt idx="715">
                  <c:v>-6060.0355496102829</c:v>
                </c:pt>
                <c:pt idx="716">
                  <c:v>-6029.3130438494181</c:v>
                </c:pt>
                <c:pt idx="717">
                  <c:v>-5998.5499025720483</c:v>
                </c:pt>
                <c:pt idx="718">
                  <c:v>-5967.7473402543164</c:v>
                </c:pt>
                <c:pt idx="719">
                  <c:v>-5936.9065729286403</c:v>
                </c:pt>
                <c:pt idx="720">
                  <c:v>-5906.0288181357064</c:v>
                </c:pt>
                <c:pt idx="721">
                  <c:v>-5875.1152948764011</c:v>
                </c:pt>
                <c:pt idx="722">
                  <c:v>-5844.1672235636925</c:v>
                </c:pt>
                <c:pt idx="723">
                  <c:v>-5813.1858259744431</c:v>
                </c:pt>
                <c:pt idx="724">
                  <c:v>-5782.1723252011816</c:v>
                </c:pt>
                <c:pt idx="725">
                  <c:v>-5751.1279456038146</c:v>
                </c:pt>
                <c:pt idx="726">
                  <c:v>-5720.0539127612919</c:v>
                </c:pt>
                <c:pt idx="727">
                  <c:v>-5688.951453423223</c:v>
                </c:pt>
                <c:pt idx="728">
                  <c:v>-5657.8217954614474</c:v>
                </c:pt>
                <c:pt idx="729">
                  <c:v>-5626.6661678215587</c:v>
                </c:pt>
                <c:pt idx="730">
                  <c:v>-5595.4858004743874</c:v>
                </c:pt>
                <c:pt idx="731">
                  <c:v>-5564.2819243674494</c:v>
                </c:pt>
                <c:pt idx="732">
                  <c:v>-5533.0557713763428</c:v>
                </c:pt>
                <c:pt idx="733">
                  <c:v>-5501.8085742561198</c:v>
                </c:pt>
                <c:pt idx="734">
                  <c:v>-5470.5415665926184</c:v>
                </c:pt>
                <c:pt idx="735">
                  <c:v>-5439.2559827537643</c:v>
                </c:pt>
                <c:pt idx="736">
                  <c:v>-5407.9530578408385</c:v>
                </c:pt>
                <c:pt idx="737">
                  <c:v>-5376.6340276397168</c:v>
                </c:pt>
                <c:pt idx="738">
                  <c:v>-5345.3001285720838</c:v>
                </c:pt>
                <c:pt idx="739">
                  <c:v>-5313.9525976466239</c:v>
                </c:pt>
                <c:pt idx="740">
                  <c:v>-5282.592672410181</c:v>
                </c:pt>
                <c:pt idx="741">
                  <c:v>-5251.2215908989083</c:v>
                </c:pt>
                <c:pt idx="742">
                  <c:v>-5219.8405915893873</c:v>
                </c:pt>
                <c:pt idx="743">
                  <c:v>-5188.4509133497377</c:v>
                </c:pt>
                <c:pt idx="744">
                  <c:v>-5157.0537953907078</c:v>
                </c:pt>
                <c:pt idx="745">
                  <c:v>-5125.6504772167564</c:v>
                </c:pt>
                <c:pt idx="746">
                  <c:v>-5094.2421985771116</c:v>
                </c:pt>
                <c:pt idx="747">
                  <c:v>-5062.830199416836</c:v>
                </c:pt>
                <c:pt idx="748">
                  <c:v>-5031.415719827869</c:v>
                </c:pt>
                <c:pt idx="749">
                  <c:v>-5000.0000000000764</c:v>
                </c:pt>
                <c:pt idx="750">
                  <c:v>-4968.5842801722838</c:v>
                </c:pt>
                <c:pt idx="751">
                  <c:v>-4937.1698005833168</c:v>
                </c:pt>
                <c:pt idx="752">
                  <c:v>-4905.7578014230412</c:v>
                </c:pt>
                <c:pt idx="753">
                  <c:v>-4874.3495227833964</c:v>
                </c:pt>
                <c:pt idx="754">
                  <c:v>-4842.946204609445</c:v>
                </c:pt>
                <c:pt idx="755">
                  <c:v>-4811.5490866504151</c:v>
                </c:pt>
                <c:pt idx="756">
                  <c:v>-4780.1594084107655</c:v>
                </c:pt>
                <c:pt idx="757">
                  <c:v>-4748.7784091012445</c:v>
                </c:pt>
                <c:pt idx="758">
                  <c:v>-4717.4073275899709</c:v>
                </c:pt>
                <c:pt idx="759">
                  <c:v>-4686.0474023535289</c:v>
                </c:pt>
                <c:pt idx="760">
                  <c:v>-4654.6998714280689</c:v>
                </c:pt>
                <c:pt idx="761">
                  <c:v>-4623.365972360436</c:v>
                </c:pt>
                <c:pt idx="762">
                  <c:v>-4592.0469421593134</c:v>
                </c:pt>
                <c:pt idx="763">
                  <c:v>-4560.7440172463876</c:v>
                </c:pt>
                <c:pt idx="764">
                  <c:v>-4529.4584334075334</c:v>
                </c:pt>
                <c:pt idx="765">
                  <c:v>-4498.191425744033</c:v>
                </c:pt>
                <c:pt idx="766">
                  <c:v>-4466.9442286238091</c:v>
                </c:pt>
                <c:pt idx="767">
                  <c:v>-4435.7180756327025</c:v>
                </c:pt>
                <c:pt idx="768">
                  <c:v>-4404.5141995257636</c:v>
                </c:pt>
                <c:pt idx="769">
                  <c:v>-4373.3338321785932</c:v>
                </c:pt>
                <c:pt idx="770">
                  <c:v>-4342.1782045387035</c:v>
                </c:pt>
                <c:pt idx="771">
                  <c:v>-4311.0485465769279</c:v>
                </c:pt>
                <c:pt idx="772">
                  <c:v>-4279.946087238859</c:v>
                </c:pt>
                <c:pt idx="773">
                  <c:v>-4248.8720543963364</c:v>
                </c:pt>
                <c:pt idx="774">
                  <c:v>-4217.8276747989694</c:v>
                </c:pt>
                <c:pt idx="775">
                  <c:v>-4186.8141740257079</c:v>
                </c:pt>
                <c:pt idx="776">
                  <c:v>-4155.8327764364585</c:v>
                </c:pt>
                <c:pt idx="777">
                  <c:v>-4124.884705123749</c:v>
                </c:pt>
                <c:pt idx="778">
                  <c:v>-4093.9711818644441</c:v>
                </c:pt>
                <c:pt idx="779">
                  <c:v>-4063.0934270715097</c:v>
                </c:pt>
                <c:pt idx="780">
                  <c:v>-4032.2526597458332</c:v>
                </c:pt>
                <c:pt idx="781">
                  <c:v>-4001.4500974281009</c:v>
                </c:pt>
                <c:pt idx="782">
                  <c:v>-3970.686956150731</c:v>
                </c:pt>
                <c:pt idx="783">
                  <c:v>-3939.9644503898662</c:v>
                </c:pt>
                <c:pt idx="784">
                  <c:v>-3909.2837930174287</c:v>
                </c:pt>
                <c:pt idx="785">
                  <c:v>-3878.6461952532372</c:v>
                </c:pt>
                <c:pt idx="786">
                  <c:v>-3848.0528666171917</c:v>
                </c:pt>
                <c:pt idx="787">
                  <c:v>-3817.505014881523</c:v>
                </c:pt>
                <c:pt idx="788">
                  <c:v>-3787.0038460231108</c:v>
                </c:pt>
                <c:pt idx="789">
                  <c:v>-3756.5505641758755</c:v>
                </c:pt>
                <c:pt idx="790">
                  <c:v>-3726.1463715832406</c:v>
                </c:pt>
                <c:pt idx="791">
                  <c:v>-3695.7924685506687</c:v>
                </c:pt>
                <c:pt idx="792">
                  <c:v>-3665.4900533982768</c:v>
                </c:pt>
                <c:pt idx="793">
                  <c:v>-3635.2403224135301</c:v>
                </c:pt>
                <c:pt idx="794">
                  <c:v>-3605.0444698040114</c:v>
                </c:pt>
                <c:pt idx="795">
                  <c:v>-3574.9036876502787</c:v>
                </c:pt>
                <c:pt idx="796">
                  <c:v>-3544.8191658588021</c:v>
                </c:pt>
                <c:pt idx="797">
                  <c:v>-3514.792092114988</c:v>
                </c:pt>
                <c:pt idx="798">
                  <c:v>-3484.8236518362946</c:v>
                </c:pt>
                <c:pt idx="799">
                  <c:v>-3454.9150281254288</c:v>
                </c:pt>
                <c:pt idx="800">
                  <c:v>-3425.0674017236433</c:v>
                </c:pt>
                <c:pt idx="801">
                  <c:v>-3395.2819509641213</c:v>
                </c:pt>
                <c:pt idx="802">
                  <c:v>-3365.5598517254575</c:v>
                </c:pt>
                <c:pt idx="803">
                  <c:v>-3335.9022773852384</c:v>
                </c:pt>
                <c:pt idx="804">
                  <c:v>-3306.3103987737159</c:v>
                </c:pt>
                <c:pt idx="805">
                  <c:v>-3276.7853841275892</c:v>
                </c:pt>
                <c:pt idx="806">
                  <c:v>-3247.3283990438808</c:v>
                </c:pt>
                <c:pt idx="807">
                  <c:v>-3217.9406064339237</c:v>
                </c:pt>
                <c:pt idx="808">
                  <c:v>-3188.6231664774505</c:v>
                </c:pt>
                <c:pt idx="809">
                  <c:v>-3159.37723657679</c:v>
                </c:pt>
                <c:pt idx="810">
                  <c:v>-3130.203971311179</c:v>
                </c:pt>
                <c:pt idx="811">
                  <c:v>-3101.1045223911774</c:v>
                </c:pt>
                <c:pt idx="812">
                  <c:v>-3072.0800386132014</c:v>
                </c:pt>
                <c:pt idx="813">
                  <c:v>-3043.1316658141732</c:v>
                </c:pt>
                <c:pt idx="814">
                  <c:v>-3014.2605468262836</c:v>
                </c:pt>
                <c:pt idx="815">
                  <c:v>-2985.4678214318747</c:v>
                </c:pt>
                <c:pt idx="816">
                  <c:v>-2956.754626318444</c:v>
                </c:pt>
                <c:pt idx="817">
                  <c:v>-2928.1220950337702</c:v>
                </c:pt>
                <c:pt idx="818">
                  <c:v>-2899.5713579411604</c:v>
                </c:pt>
                <c:pt idx="819">
                  <c:v>-2871.1035421748297</c:v>
                </c:pt>
                <c:pt idx="820">
                  <c:v>-2842.7197715953994</c:v>
                </c:pt>
                <c:pt idx="821">
                  <c:v>-2814.4211667455306</c:v>
                </c:pt>
                <c:pt idx="822">
                  <c:v>-2786.2088448056888</c:v>
                </c:pt>
                <c:pt idx="823">
                  <c:v>-2758.0839195500366</c:v>
                </c:pt>
                <c:pt idx="824">
                  <c:v>-2730.0475013024648</c:v>
                </c:pt>
                <c:pt idx="825">
                  <c:v>-2702.1006968927604</c:v>
                </c:pt>
                <c:pt idx="826">
                  <c:v>-2674.2446096129092</c:v>
                </c:pt>
                <c:pt idx="827">
                  <c:v>-2646.4803391735391</c:v>
                </c:pt>
                <c:pt idx="828">
                  <c:v>-2618.8089816605075</c:v>
                </c:pt>
                <c:pt idx="829">
                  <c:v>-2591.2316294916277</c:v>
                </c:pt>
                <c:pt idx="830">
                  <c:v>-2563.7493713735435</c:v>
                </c:pt>
                <c:pt idx="831">
                  <c:v>-2536.3632922587481</c:v>
                </c:pt>
                <c:pt idx="832">
                  <c:v>-2509.0744733027527</c:v>
                </c:pt>
                <c:pt idx="833">
                  <c:v>-2481.8839918214035</c:v>
                </c:pt>
                <c:pt idx="834">
                  <c:v>-2454.7929212483523</c:v>
                </c:pt>
                <c:pt idx="835">
                  <c:v>-2427.8023310926774</c:v>
                </c:pt>
                <c:pt idx="836">
                  <c:v>-2400.9132868966631</c:v>
                </c:pt>
                <c:pt idx="837">
                  <c:v>-2374.1268501937329</c:v>
                </c:pt>
                <c:pt idx="838">
                  <c:v>-2347.4440784665417</c:v>
                </c:pt>
                <c:pt idx="839">
                  <c:v>-2320.8660251052297</c:v>
                </c:pt>
                <c:pt idx="840">
                  <c:v>-2294.3937393658348</c:v>
                </c:pt>
                <c:pt idx="841">
                  <c:v>-2268.0282663288694</c:v>
                </c:pt>
                <c:pt idx="842">
                  <c:v>-2241.7706468580645</c:v>
                </c:pt>
                <c:pt idx="843">
                  <c:v>-2215.621917559276</c:v>
                </c:pt>
                <c:pt idx="844">
                  <c:v>-2189.5831107395634</c:v>
                </c:pt>
                <c:pt idx="845">
                  <c:v>-2163.6552543664352</c:v>
                </c:pt>
                <c:pt idx="846">
                  <c:v>-2137.8393720272638</c:v>
                </c:pt>
                <c:pt idx="847">
                  <c:v>-2112.1364828888804</c:v>
                </c:pt>
                <c:pt idx="848">
                  <c:v>-2086.5476016573393</c:v>
                </c:pt>
                <c:pt idx="849">
                  <c:v>-2061.0737385378543</c:v>
                </c:pt>
                <c:pt idx="850">
                  <c:v>-2035.7158991949241</c:v>
                </c:pt>
                <c:pt idx="851">
                  <c:v>-2010.475084712627</c:v>
                </c:pt>
                <c:pt idx="852">
                  <c:v>-1985.352291555098</c:v>
                </c:pt>
                <c:pt idx="853">
                  <c:v>-1960.3485115271951</c:v>
                </c:pt>
                <c:pt idx="854">
                  <c:v>-1935.4647317353401</c:v>
                </c:pt>
                <c:pt idx="855">
                  <c:v>-1910.7019345485514</c:v>
                </c:pt>
                <c:pt idx="856">
                  <c:v>-1886.061097559661</c:v>
                </c:pt>
                <c:pt idx="857">
                  <c:v>-1861.5431935467213</c:v>
                </c:pt>
                <c:pt idx="858">
                  <c:v>-1837.1491904346021</c:v>
                </c:pt>
                <c:pt idx="859">
                  <c:v>-1812.8800512567759</c:v>
                </c:pt>
                <c:pt idx="860">
                  <c:v>-1788.7367341173031</c:v>
                </c:pt>
                <c:pt idx="861">
                  <c:v>-1764.7201921530036</c:v>
                </c:pt>
                <c:pt idx="862">
                  <c:v>-1740.8313734958319</c:v>
                </c:pt>
                <c:pt idx="863">
                  <c:v>-1717.0712212354433</c:v>
                </c:pt>
                <c:pt idx="864">
                  <c:v>-1693.4406733819669</c:v>
                </c:pt>
                <c:pt idx="865">
                  <c:v>-1669.940662828968</c:v>
                </c:pt>
                <c:pt idx="866">
                  <c:v>-1646.5721173166257</c:v>
                </c:pt>
                <c:pt idx="867">
                  <c:v>-1623.3359593951041</c:v>
                </c:pt>
                <c:pt idx="868">
                  <c:v>-1600.2331063881311</c:v>
                </c:pt>
                <c:pt idx="869">
                  <c:v>-1577.2644703567835</c:v>
                </c:pt>
                <c:pt idx="870">
                  <c:v>-1554.4309580634845</c:v>
                </c:pt>
                <c:pt idx="871">
                  <c:v>-1531.7334709362017</c:v>
                </c:pt>
                <c:pt idx="872">
                  <c:v>-1509.1729050328636</c:v>
                </c:pt>
                <c:pt idx="873">
                  <c:v>-1486.750151005981</c:v>
                </c:pt>
                <c:pt idx="874">
                  <c:v>-1464.4660940674894</c:v>
                </c:pt>
                <c:pt idx="875">
                  <c:v>-1442.3216139538004</c:v>
                </c:pt>
                <c:pt idx="876">
                  <c:v>-1420.317584891071</c:v>
                </c:pt>
                <c:pt idx="877">
                  <c:v>-1398.4548755606925</c:v>
                </c:pt>
                <c:pt idx="878">
                  <c:v>-1376.7343490649932</c:v>
                </c:pt>
                <c:pt idx="879">
                  <c:v>-1355.1568628931686</c:v>
                </c:pt>
                <c:pt idx="880">
                  <c:v>-1333.723268887426</c:v>
                </c:pt>
                <c:pt idx="881">
                  <c:v>-1312.4344132093561</c:v>
                </c:pt>
                <c:pt idx="882">
                  <c:v>-1291.2911363065296</c:v>
                </c:pt>
                <c:pt idx="883">
                  <c:v>-1270.294272879315</c:v>
                </c:pt>
                <c:pt idx="884">
                  <c:v>-1249.4446518479276</c:v>
                </c:pt>
                <c:pt idx="885">
                  <c:v>-1228.7430963197053</c:v>
                </c:pt>
                <c:pt idx="886">
                  <c:v>-1208.1904235566153</c:v>
                </c:pt>
                <c:pt idx="887">
                  <c:v>-1187.7874449429846</c:v>
                </c:pt>
                <c:pt idx="888">
                  <c:v>-1167.5349659534745</c:v>
                </c:pt>
                <c:pt idx="889">
                  <c:v>-1147.4337861212771</c:v>
                </c:pt>
                <c:pt idx="890">
                  <c:v>-1127.4846990065535</c:v>
                </c:pt>
                <c:pt idx="891">
                  <c:v>-1107.6884921651053</c:v>
                </c:pt>
                <c:pt idx="892">
                  <c:v>-1088.0459471172808</c:v>
                </c:pt>
                <c:pt idx="893">
                  <c:v>-1068.5578393171268</c:v>
                </c:pt>
                <c:pt idx="894">
                  <c:v>-1049.2249381217689</c:v>
                </c:pt>
                <c:pt idx="895">
                  <c:v>-1030.0480067610433</c:v>
                </c:pt>
                <c:pt idx="896">
                  <c:v>-1011.0278023073643</c:v>
                </c:pt>
                <c:pt idx="897">
                  <c:v>-992.16507564583617</c:v>
                </c:pt>
                <c:pt idx="898">
                  <c:v>-973.46057144460838</c:v>
                </c:pt>
                <c:pt idx="899">
                  <c:v>-954.91502812548015</c:v>
                </c:pt>
                <c:pt idx="900">
                  <c:v>-936.52917783474686</c:v>
                </c:pt>
                <c:pt idx="901">
                  <c:v>-918.30374641429626</c:v>
                </c:pt>
                <c:pt idx="902">
                  <c:v>-900.2394533729539</c:v>
                </c:pt>
                <c:pt idx="903">
                  <c:v>-882.33701185807695</c:v>
                </c:pt>
                <c:pt idx="904">
                  <c:v>-864.59712862740435</c:v>
                </c:pt>
                <c:pt idx="905">
                  <c:v>-847.02050402114946</c:v>
                </c:pt>
                <c:pt idx="906">
                  <c:v>-829.607831934356</c:v>
                </c:pt>
                <c:pt idx="907">
                  <c:v>-812.35979978950218</c:v>
                </c:pt>
                <c:pt idx="908">
                  <c:v>-795.27708850936415</c:v>
                </c:pt>
                <c:pt idx="909">
                  <c:v>-778.36037249013316</c:v>
                </c:pt>
                <c:pt idx="910">
                  <c:v>-761.61031957479099</c:v>
                </c:pt>
                <c:pt idx="911">
                  <c:v>-745.02759102674736</c:v>
                </c:pt>
                <c:pt idx="912">
                  <c:v>-728.61284150372921</c:v>
                </c:pt>
                <c:pt idx="913">
                  <c:v>-712.36671903194292</c:v>
                </c:pt>
                <c:pt idx="914">
                  <c:v>-696.28986498048471</c:v>
                </c:pt>
                <c:pt idx="915">
                  <c:v>-680.38291403602489</c:v>
                </c:pt>
                <c:pt idx="916">
                  <c:v>-664.64649417775036</c:v>
                </c:pt>
                <c:pt idx="917">
                  <c:v>-649.08122665257179</c:v>
                </c:pt>
                <c:pt idx="918">
                  <c:v>-633.68772595059727</c:v>
                </c:pt>
                <c:pt idx="919">
                  <c:v>-618.46659978087882</c:v>
                </c:pt>
                <c:pt idx="920">
                  <c:v>-603.41844904741447</c:v>
                </c:pt>
                <c:pt idx="921">
                  <c:v>-588.5438678254277</c:v>
                </c:pt>
                <c:pt idx="922">
                  <c:v>-573.84344333791705</c:v>
                </c:pt>
                <c:pt idx="923">
                  <c:v>-559.31775593246857</c:v>
                </c:pt>
                <c:pt idx="924">
                  <c:v>-544.96737905835107</c:v>
                </c:pt>
                <c:pt idx="925">
                  <c:v>-530.79287924386972</c:v>
                </c:pt>
                <c:pt idx="926">
                  <c:v>-516.79481607400794</c:v>
                </c:pt>
                <c:pt idx="927">
                  <c:v>-502.97374216833032</c:v>
                </c:pt>
                <c:pt idx="928">
                  <c:v>-489.3302031591702</c:v>
                </c:pt>
                <c:pt idx="929">
                  <c:v>-475.86473767008465</c:v>
                </c:pt>
                <c:pt idx="930">
                  <c:v>-462.57787729459596</c:v>
                </c:pt>
                <c:pt idx="931">
                  <c:v>-449.47014657520049</c:v>
                </c:pt>
                <c:pt idx="932">
                  <c:v>-436.54206298266308</c:v>
                </c:pt>
                <c:pt idx="933">
                  <c:v>-423.79413689558805</c:v>
                </c:pt>
                <c:pt idx="934">
                  <c:v>-411.22687158026838</c:v>
                </c:pt>
                <c:pt idx="935">
                  <c:v>-398.84076317082054</c:v>
                </c:pt>
                <c:pt idx="936">
                  <c:v>-386.63630064959671</c:v>
                </c:pt>
                <c:pt idx="937">
                  <c:v>-374.61396582787893</c:v>
                </c:pt>
                <c:pt idx="938">
                  <c:v>-362.77423332685976</c:v>
                </c:pt>
                <c:pt idx="939">
                  <c:v>-351.11757055890848</c:v>
                </c:pt>
                <c:pt idx="940">
                  <c:v>-339.64443770910748</c:v>
                </c:pt>
                <c:pt idx="941">
                  <c:v>-328.35528771710051</c:v>
                </c:pt>
                <c:pt idx="942">
                  <c:v>-317.25056625919751</c:v>
                </c:pt>
                <c:pt idx="943">
                  <c:v>-306.33071173078679</c:v>
                </c:pt>
                <c:pt idx="944">
                  <c:v>-295.59615522902732</c:v>
                </c:pt>
                <c:pt idx="945">
                  <c:v>-285.04732053583029</c:v>
                </c:pt>
                <c:pt idx="946">
                  <c:v>-274.68462410112716</c:v>
                </c:pt>
                <c:pt idx="947">
                  <c:v>-264.50847502642773</c:v>
                </c:pt>
                <c:pt idx="948">
                  <c:v>-254.51927504867399</c:v>
                </c:pt>
                <c:pt idx="949">
                  <c:v>-244.71741852437663</c:v>
                </c:pt>
                <c:pt idx="950">
                  <c:v>-235.10329241404816</c:v>
                </c:pt>
                <c:pt idx="951">
                  <c:v>-225.67727626692522</c:v>
                </c:pt>
                <c:pt idx="952">
                  <c:v>-216.43974220598557</c:v>
                </c:pt>
                <c:pt idx="953">
                  <c:v>-207.39105491325608</c:v>
                </c:pt>
                <c:pt idx="954">
                  <c:v>-198.53157161541822</c:v>
                </c:pt>
                <c:pt idx="955">
                  <c:v>-189.8616420697017</c:v>
                </c:pt>
                <c:pt idx="956">
                  <c:v>-181.38160855007936</c:v>
                </c:pt>
                <c:pt idx="957">
                  <c:v>-173.09180583375655</c:v>
                </c:pt>
                <c:pt idx="958">
                  <c:v>-164.99256118794801</c:v>
                </c:pt>
                <c:pt idx="959">
                  <c:v>-157.08419435696578</c:v>
                </c:pt>
                <c:pt idx="960">
                  <c:v>-149.36701754958904</c:v>
                </c:pt>
                <c:pt idx="961">
                  <c:v>-141.84133542674681</c:v>
                </c:pt>
                <c:pt idx="962">
                  <c:v>-134.50744508948083</c:v>
                </c:pt>
                <c:pt idx="963">
                  <c:v>-127.36563606722575</c:v>
                </c:pt>
                <c:pt idx="964">
                  <c:v>-120.41619030637139</c:v>
                </c:pt>
                <c:pt idx="965">
                  <c:v>-113.65938215913866</c:v>
                </c:pt>
                <c:pt idx="966">
                  <c:v>-107.09547837274204</c:v>
                </c:pt>
                <c:pt idx="967">
                  <c:v>-100.72473807886581</c:v>
                </c:pt>
                <c:pt idx="968">
                  <c:v>-94.547412783427717</c:v>
                </c:pt>
                <c:pt idx="969">
                  <c:v>-88.563746356650881</c:v>
                </c:pt>
                <c:pt idx="970">
                  <c:v>-82.773975023443199</c:v>
                </c:pt>
                <c:pt idx="971">
                  <c:v>-77.178327354062276</c:v>
                </c:pt>
                <c:pt idx="972">
                  <c:v>-71.777024255095967</c:v>
                </c:pt>
                <c:pt idx="973">
                  <c:v>-66.570278960743053</c:v>
                </c:pt>
                <c:pt idx="974">
                  <c:v>-61.558297024392232</c:v>
                </c:pt>
                <c:pt idx="975">
                  <c:v>-56.741276310507601</c:v>
                </c:pt>
                <c:pt idx="976">
                  <c:v>-52.11940698682065</c:v>
                </c:pt>
                <c:pt idx="977">
                  <c:v>-47.692871516816012</c:v>
                </c:pt>
                <c:pt idx="978">
                  <c:v>-43.461844652535547</c:v>
                </c:pt>
                <c:pt idx="979">
                  <c:v>-39.426493427677087</c:v>
                </c:pt>
                <c:pt idx="980">
                  <c:v>-35.586977150995153</c:v>
                </c:pt>
                <c:pt idx="981">
                  <c:v>-31.943447400018158</c:v>
                </c:pt>
                <c:pt idx="982">
                  <c:v>-28.496048015062115</c:v>
                </c:pt>
                <c:pt idx="983">
                  <c:v>-25.244915093552663</c:v>
                </c:pt>
                <c:pt idx="984">
                  <c:v>-22.190176984650861</c:v>
                </c:pt>
                <c:pt idx="985">
                  <c:v>-19.331954284184576</c:v>
                </c:pt>
                <c:pt idx="986">
                  <c:v>-16.670359829894551</c:v>
                </c:pt>
                <c:pt idx="987">
                  <c:v>-14.205498696971517</c:v>
                </c:pt>
                <c:pt idx="988">
                  <c:v>-11.937468193911627</c:v>
                </c:pt>
                <c:pt idx="989">
                  <c:v>-9.8663578586765652</c:v>
                </c:pt>
                <c:pt idx="990">
                  <c:v>-7.9922494551556156</c:v>
                </c:pt>
                <c:pt idx="991">
                  <c:v>-6.3152169699396836</c:v>
                </c:pt>
                <c:pt idx="992">
                  <c:v>-4.8353266093999991</c:v>
                </c:pt>
                <c:pt idx="993">
                  <c:v>-3.5526367970742285</c:v>
                </c:pt>
                <c:pt idx="994">
                  <c:v>-2.4671981713599962</c:v>
                </c:pt>
                <c:pt idx="995">
                  <c:v>-1.5790535835139963</c:v>
                </c:pt>
                <c:pt idx="996">
                  <c:v>-0.8882380959657894</c:v>
                </c:pt>
                <c:pt idx="997">
                  <c:v>-0.39477898092627584</c:v>
                </c:pt>
                <c:pt idx="998">
                  <c:v>-9.8695719318129704E-2</c:v>
                </c:pt>
                <c:pt idx="999">
                  <c:v>0</c:v>
                </c:pt>
              </c:numCache>
            </c:numRef>
          </c:xVal>
          <c:yVal>
            <c:numRef>
              <c:f>Feuil1!$AC$12:$AC$1011</c:f>
              <c:numCache>
                <c:formatCode>General</c:formatCode>
                <c:ptCount val="1000"/>
                <c:pt idx="0">
                  <c:v>-14968.584280172205</c:v>
                </c:pt>
                <c:pt idx="1">
                  <c:v>-14937.169800583237</c:v>
                </c:pt>
                <c:pt idx="2">
                  <c:v>-14905.757801422958</c:v>
                </c:pt>
                <c:pt idx="3">
                  <c:v>-14874.349522783312</c:v>
                </c:pt>
                <c:pt idx="4">
                  <c:v>-14842.946204609358</c:v>
                </c:pt>
                <c:pt idx="5">
                  <c:v>-14811.549086650328</c:v>
                </c:pt>
                <c:pt idx="6">
                  <c:v>-14780.159408410676</c:v>
                </c:pt>
                <c:pt idx="7">
                  <c:v>-14748.778409101153</c:v>
                </c:pt>
                <c:pt idx="8">
                  <c:v>-14717.407327589877</c:v>
                </c:pt>
                <c:pt idx="9">
                  <c:v>-14686.047402353433</c:v>
                </c:pt>
                <c:pt idx="10">
                  <c:v>-14654.699871427971</c:v>
                </c:pt>
                <c:pt idx="11">
                  <c:v>-14623.365972360336</c:v>
                </c:pt>
                <c:pt idx="12">
                  <c:v>-14592.046942159212</c:v>
                </c:pt>
                <c:pt idx="13">
                  <c:v>-14560.744017246285</c:v>
                </c:pt>
                <c:pt idx="14">
                  <c:v>-14529.458433407428</c:v>
                </c:pt>
                <c:pt idx="15">
                  <c:v>-14498.191425743926</c:v>
                </c:pt>
                <c:pt idx="16">
                  <c:v>-14466.944228623701</c:v>
                </c:pt>
                <c:pt idx="17">
                  <c:v>-14435.718075632592</c:v>
                </c:pt>
                <c:pt idx="18">
                  <c:v>-14404.514199525651</c:v>
                </c:pt>
                <c:pt idx="19">
                  <c:v>-14373.333832178479</c:v>
                </c:pt>
                <c:pt idx="20">
                  <c:v>-14342.178204538588</c:v>
                </c:pt>
                <c:pt idx="21">
                  <c:v>-14311.048546576811</c:v>
                </c:pt>
                <c:pt idx="22">
                  <c:v>-14279.946087238739</c:v>
                </c:pt>
                <c:pt idx="23">
                  <c:v>-14248.872054396215</c:v>
                </c:pt>
                <c:pt idx="24">
                  <c:v>-14217.827674798846</c:v>
                </c:pt>
                <c:pt idx="25">
                  <c:v>-14186.814174025581</c:v>
                </c:pt>
                <c:pt idx="26">
                  <c:v>-14155.832776436331</c:v>
                </c:pt>
                <c:pt idx="27">
                  <c:v>-14124.884705123621</c:v>
                </c:pt>
                <c:pt idx="28">
                  <c:v>-14093.971181864314</c:v>
                </c:pt>
                <c:pt idx="29">
                  <c:v>-14063.093427071377</c:v>
                </c:pt>
                <c:pt idx="30">
                  <c:v>-14032.2526597457</c:v>
                </c:pt>
                <c:pt idx="31">
                  <c:v>-14001.450097427965</c:v>
                </c:pt>
                <c:pt idx="32">
                  <c:v>-13970.686956150594</c:v>
                </c:pt>
                <c:pt idx="33">
                  <c:v>-13939.964450389727</c:v>
                </c:pt>
                <c:pt idx="34">
                  <c:v>-13909.283793017288</c:v>
                </c:pt>
                <c:pt idx="35">
                  <c:v>-13878.646195253095</c:v>
                </c:pt>
                <c:pt idx="36">
                  <c:v>-13848.052866617047</c:v>
                </c:pt>
                <c:pt idx="37">
                  <c:v>-13817.505014881377</c:v>
                </c:pt>
                <c:pt idx="38">
                  <c:v>-13787.003846022963</c:v>
                </c:pt>
                <c:pt idx="39">
                  <c:v>-13756.550564175726</c:v>
                </c:pt>
                <c:pt idx="40">
                  <c:v>-13726.146371583089</c:v>
                </c:pt>
                <c:pt idx="41">
                  <c:v>-13695.792468550515</c:v>
                </c:pt>
                <c:pt idx="42">
                  <c:v>-13665.490053398122</c:v>
                </c:pt>
                <c:pt idx="43">
                  <c:v>-13635.240322413374</c:v>
                </c:pt>
                <c:pt idx="44">
                  <c:v>-13605.044469803854</c:v>
                </c:pt>
                <c:pt idx="45">
                  <c:v>-13574.90368765012</c:v>
                </c:pt>
                <c:pt idx="46">
                  <c:v>-13544.81916585864</c:v>
                </c:pt>
                <c:pt idx="47">
                  <c:v>-13514.792092114825</c:v>
                </c:pt>
                <c:pt idx="48">
                  <c:v>-13484.82365183613</c:v>
                </c:pt>
                <c:pt idx="49">
                  <c:v>-13454.915028125262</c:v>
                </c:pt>
                <c:pt idx="50">
                  <c:v>-13425.067401723476</c:v>
                </c:pt>
                <c:pt idx="51">
                  <c:v>-13395.281950963952</c:v>
                </c:pt>
                <c:pt idx="52">
                  <c:v>-13365.559851725287</c:v>
                </c:pt>
                <c:pt idx="53">
                  <c:v>-13335.902277385067</c:v>
                </c:pt>
                <c:pt idx="54">
                  <c:v>-13306.310398773543</c:v>
                </c:pt>
                <c:pt idx="55">
                  <c:v>-13276.785384127415</c:v>
                </c:pt>
                <c:pt idx="56">
                  <c:v>-13247.328399043705</c:v>
                </c:pt>
                <c:pt idx="57">
                  <c:v>-13217.940606433747</c:v>
                </c:pt>
                <c:pt idx="58">
                  <c:v>-13188.623166477271</c:v>
                </c:pt>
                <c:pt idx="59">
                  <c:v>-13159.377236576611</c:v>
                </c:pt>
                <c:pt idx="60">
                  <c:v>-13130.203971310999</c:v>
                </c:pt>
                <c:pt idx="61">
                  <c:v>-13101.104522390995</c:v>
                </c:pt>
                <c:pt idx="62">
                  <c:v>-13072.080038613018</c:v>
                </c:pt>
                <c:pt idx="63">
                  <c:v>-13043.131665813988</c:v>
                </c:pt>
                <c:pt idx="64">
                  <c:v>-13014.260546826097</c:v>
                </c:pt>
                <c:pt idx="65">
                  <c:v>-12985.467821431686</c:v>
                </c:pt>
                <c:pt idx="66">
                  <c:v>-12956.754626318256</c:v>
                </c:pt>
                <c:pt idx="67">
                  <c:v>-12928.122095033579</c:v>
                </c:pt>
                <c:pt idx="68">
                  <c:v>-12899.571357940969</c:v>
                </c:pt>
                <c:pt idx="69">
                  <c:v>-12871.103542174638</c:v>
                </c:pt>
                <c:pt idx="70">
                  <c:v>-12842.719771595206</c:v>
                </c:pt>
                <c:pt idx="71">
                  <c:v>-12814.421166745336</c:v>
                </c:pt>
                <c:pt idx="72">
                  <c:v>-12786.208844805493</c:v>
                </c:pt>
                <c:pt idx="73">
                  <c:v>-12758.083919549839</c:v>
                </c:pt>
                <c:pt idx="74">
                  <c:v>-12730.047501302266</c:v>
                </c:pt>
                <c:pt idx="75">
                  <c:v>-12702.100696892561</c:v>
                </c:pt>
                <c:pt idx="76">
                  <c:v>-12674.24460961271</c:v>
                </c:pt>
                <c:pt idx="77">
                  <c:v>-12646.480339173337</c:v>
                </c:pt>
                <c:pt idx="78">
                  <c:v>-12618.808981660306</c:v>
                </c:pt>
                <c:pt idx="79">
                  <c:v>-12591.231629491424</c:v>
                </c:pt>
                <c:pt idx="80">
                  <c:v>-12563.749371373338</c:v>
                </c:pt>
                <c:pt idx="81">
                  <c:v>-12536.363292258542</c:v>
                </c:pt>
                <c:pt idx="82">
                  <c:v>-12509.074473302546</c:v>
                </c:pt>
                <c:pt idx="83">
                  <c:v>-12481.883991821196</c:v>
                </c:pt>
                <c:pt idx="84">
                  <c:v>-12454.792921248143</c:v>
                </c:pt>
                <c:pt idx="85">
                  <c:v>-12427.802331092467</c:v>
                </c:pt>
                <c:pt idx="86">
                  <c:v>-12400.913286896452</c:v>
                </c:pt>
                <c:pt idx="87">
                  <c:v>-12374.126850193519</c:v>
                </c:pt>
                <c:pt idx="88">
                  <c:v>-12347.444078466327</c:v>
                </c:pt>
                <c:pt idx="89">
                  <c:v>-12320.866025105015</c:v>
                </c:pt>
                <c:pt idx="90">
                  <c:v>-12294.39373936562</c:v>
                </c:pt>
                <c:pt idx="91">
                  <c:v>-12268.028266328653</c:v>
                </c:pt>
                <c:pt idx="92">
                  <c:v>-12241.770646857847</c:v>
                </c:pt>
                <c:pt idx="93">
                  <c:v>-12215.621917559058</c:v>
                </c:pt>
                <c:pt idx="94">
                  <c:v>-12189.583110739344</c:v>
                </c:pt>
                <c:pt idx="95">
                  <c:v>-12163.655254366215</c:v>
                </c:pt>
                <c:pt idx="96">
                  <c:v>-12137.839372027043</c:v>
                </c:pt>
                <c:pt idx="97">
                  <c:v>-12112.136482888658</c:v>
                </c:pt>
                <c:pt idx="98">
                  <c:v>-12086.547601657116</c:v>
                </c:pt>
                <c:pt idx="99">
                  <c:v>-12061.073738537631</c:v>
                </c:pt>
                <c:pt idx="100">
                  <c:v>-12035.7158991947</c:v>
                </c:pt>
                <c:pt idx="101">
                  <c:v>-12010.475084712401</c:v>
                </c:pt>
                <c:pt idx="102">
                  <c:v>-11985.352291554871</c:v>
                </c:pt>
                <c:pt idx="103">
                  <c:v>-11960.348511526969</c:v>
                </c:pt>
                <c:pt idx="104">
                  <c:v>-11935.464731735112</c:v>
                </c:pt>
                <c:pt idx="105">
                  <c:v>-11910.701934548324</c:v>
                </c:pt>
                <c:pt idx="106">
                  <c:v>-11886.061097559432</c:v>
                </c:pt>
                <c:pt idx="107">
                  <c:v>-11861.543193546491</c:v>
                </c:pt>
                <c:pt idx="108">
                  <c:v>-11837.149190434373</c:v>
                </c:pt>
                <c:pt idx="109">
                  <c:v>-11812.880051256547</c:v>
                </c:pt>
                <c:pt idx="110">
                  <c:v>-11788.736734117072</c:v>
                </c:pt>
                <c:pt idx="111">
                  <c:v>-11764.720192152772</c:v>
                </c:pt>
                <c:pt idx="112">
                  <c:v>-11740.831373495599</c:v>
                </c:pt>
                <c:pt idx="113">
                  <c:v>-11717.071221235212</c:v>
                </c:pt>
                <c:pt idx="114">
                  <c:v>-11693.440673381734</c:v>
                </c:pt>
                <c:pt idx="115">
                  <c:v>-11669.940662828736</c:v>
                </c:pt>
                <c:pt idx="116">
                  <c:v>-11646.572117316393</c:v>
                </c:pt>
                <c:pt idx="117">
                  <c:v>-11623.33595939487</c:v>
                </c:pt>
                <c:pt idx="118">
                  <c:v>-11600.233106387896</c:v>
                </c:pt>
                <c:pt idx="119">
                  <c:v>-11577.264470356549</c:v>
                </c:pt>
                <c:pt idx="120">
                  <c:v>-11554.430958063251</c:v>
                </c:pt>
                <c:pt idx="121">
                  <c:v>-11531.733470935967</c:v>
                </c:pt>
                <c:pt idx="122">
                  <c:v>-11509.172905032628</c:v>
                </c:pt>
                <c:pt idx="123">
                  <c:v>-11486.750151005746</c:v>
                </c:pt>
                <c:pt idx="124">
                  <c:v>-11464.466094067255</c:v>
                </c:pt>
                <c:pt idx="125">
                  <c:v>-11442.321613953565</c:v>
                </c:pt>
                <c:pt idx="126">
                  <c:v>-11420.317584890836</c:v>
                </c:pt>
                <c:pt idx="127">
                  <c:v>-11398.454875560457</c:v>
                </c:pt>
                <c:pt idx="128">
                  <c:v>-11376.734349064758</c:v>
                </c:pt>
                <c:pt idx="129">
                  <c:v>-11355.156862892934</c:v>
                </c:pt>
                <c:pt idx="130">
                  <c:v>-11333.723268887192</c:v>
                </c:pt>
                <c:pt idx="131">
                  <c:v>-11312.434413209121</c:v>
                </c:pt>
                <c:pt idx="132">
                  <c:v>-11291.291136306294</c:v>
                </c:pt>
                <c:pt idx="133">
                  <c:v>-11270.29427287908</c:v>
                </c:pt>
                <c:pt idx="134">
                  <c:v>-11249.444651847693</c:v>
                </c:pt>
                <c:pt idx="135">
                  <c:v>-11228.743096319471</c:v>
                </c:pt>
                <c:pt idx="136">
                  <c:v>-11208.190423556382</c:v>
                </c:pt>
                <c:pt idx="137">
                  <c:v>-11187.787444942751</c:v>
                </c:pt>
                <c:pt idx="138">
                  <c:v>-11167.53496595324</c:v>
                </c:pt>
                <c:pt idx="139">
                  <c:v>-11147.433786121044</c:v>
                </c:pt>
                <c:pt idx="140">
                  <c:v>-11127.484699006322</c:v>
                </c:pt>
                <c:pt idx="141">
                  <c:v>-11107.688492164873</c:v>
                </c:pt>
                <c:pt idx="142">
                  <c:v>-11088.045947117049</c:v>
                </c:pt>
                <c:pt idx="143">
                  <c:v>-11068.557839316894</c:v>
                </c:pt>
                <c:pt idx="144">
                  <c:v>-11049.224938121537</c:v>
                </c:pt>
                <c:pt idx="145">
                  <c:v>-11030.048006760813</c:v>
                </c:pt>
                <c:pt idx="146">
                  <c:v>-11011.027802307135</c:v>
                </c:pt>
                <c:pt idx="147">
                  <c:v>-10992.165075645607</c:v>
                </c:pt>
                <c:pt idx="148">
                  <c:v>-10973.460571444379</c:v>
                </c:pt>
                <c:pt idx="149">
                  <c:v>-10954.915028125251</c:v>
                </c:pt>
                <c:pt idx="150">
                  <c:v>-10936.52917783452</c:v>
                </c:pt>
                <c:pt idx="151">
                  <c:v>-10918.303746414069</c:v>
                </c:pt>
                <c:pt idx="152">
                  <c:v>-10900.239453372727</c:v>
                </c:pt>
                <c:pt idx="153">
                  <c:v>-10882.337011857853</c:v>
                </c:pt>
                <c:pt idx="154">
                  <c:v>-10864.59712862718</c:v>
                </c:pt>
                <c:pt idx="155">
                  <c:v>-10847.020504020926</c:v>
                </c:pt>
                <c:pt idx="156">
                  <c:v>-10829.607831934132</c:v>
                </c:pt>
                <c:pt idx="157">
                  <c:v>-10812.359799789279</c:v>
                </c:pt>
                <c:pt idx="158">
                  <c:v>-10795.277088509145</c:v>
                </c:pt>
                <c:pt idx="159">
                  <c:v>-10778.360372489915</c:v>
                </c:pt>
                <c:pt idx="160">
                  <c:v>-10761.610319574573</c:v>
                </c:pt>
                <c:pt idx="161">
                  <c:v>-10745.02759102653</c:v>
                </c:pt>
                <c:pt idx="162">
                  <c:v>-10728.612841503513</c:v>
                </c:pt>
                <c:pt idx="163">
                  <c:v>-10712.366719031728</c:v>
                </c:pt>
                <c:pt idx="164">
                  <c:v>-10696.28986498027</c:v>
                </c:pt>
                <c:pt idx="165">
                  <c:v>-10680.382914035814</c:v>
                </c:pt>
                <c:pt idx="166">
                  <c:v>-10664.646494177538</c:v>
                </c:pt>
                <c:pt idx="167">
                  <c:v>-10649.081226652361</c:v>
                </c:pt>
                <c:pt idx="168">
                  <c:v>-10633.687725950389</c:v>
                </c:pt>
                <c:pt idx="169">
                  <c:v>-10618.46659978067</c:v>
                </c:pt>
                <c:pt idx="170">
                  <c:v>-10603.418449047207</c:v>
                </c:pt>
                <c:pt idx="171">
                  <c:v>-10588.543867825221</c:v>
                </c:pt>
                <c:pt idx="172">
                  <c:v>-10573.843443337713</c:v>
                </c:pt>
                <c:pt idx="173">
                  <c:v>-10559.317755932267</c:v>
                </c:pt>
                <c:pt idx="174">
                  <c:v>-10544.967379058151</c:v>
                </c:pt>
                <c:pt idx="175">
                  <c:v>-10530.792879243669</c:v>
                </c:pt>
                <c:pt idx="176">
                  <c:v>-10516.794816073809</c:v>
                </c:pt>
                <c:pt idx="177">
                  <c:v>-10502.973742168135</c:v>
                </c:pt>
                <c:pt idx="178">
                  <c:v>-10489.330203158974</c:v>
                </c:pt>
                <c:pt idx="179">
                  <c:v>-10475.864737669892</c:v>
                </c:pt>
                <c:pt idx="180">
                  <c:v>-10462.577877294403</c:v>
                </c:pt>
                <c:pt idx="181">
                  <c:v>-10449.470146575011</c:v>
                </c:pt>
                <c:pt idx="182">
                  <c:v>-10436.542062982475</c:v>
                </c:pt>
                <c:pt idx="183">
                  <c:v>-10423.794136895402</c:v>
                </c:pt>
                <c:pt idx="184">
                  <c:v>-10411.226871580084</c:v>
                </c:pt>
                <c:pt idx="185">
                  <c:v>-10398.840763170638</c:v>
                </c:pt>
                <c:pt idx="186">
                  <c:v>-10386.636300649414</c:v>
                </c:pt>
                <c:pt idx="187">
                  <c:v>-10374.613965827699</c:v>
                </c:pt>
                <c:pt idx="188">
                  <c:v>-10362.774233326683</c:v>
                </c:pt>
                <c:pt idx="189">
                  <c:v>-10351.117570558734</c:v>
                </c:pt>
                <c:pt idx="190">
                  <c:v>-10339.644437708936</c:v>
                </c:pt>
                <c:pt idx="191">
                  <c:v>-10328.35528771693</c:v>
                </c:pt>
                <c:pt idx="192">
                  <c:v>-10317.250566259028</c:v>
                </c:pt>
                <c:pt idx="193">
                  <c:v>-10306.330711730619</c:v>
                </c:pt>
                <c:pt idx="194">
                  <c:v>-10295.596155228863</c:v>
                </c:pt>
                <c:pt idx="195">
                  <c:v>-10285.047320535668</c:v>
                </c:pt>
                <c:pt idx="196">
                  <c:v>-10274.684624100966</c:v>
                </c:pt>
                <c:pt idx="197">
                  <c:v>-10264.508475026269</c:v>
                </c:pt>
                <c:pt idx="198">
                  <c:v>-10254.519275048518</c:v>
                </c:pt>
                <c:pt idx="199">
                  <c:v>-10244.717418524222</c:v>
                </c:pt>
                <c:pt idx="200">
                  <c:v>-10235.103292413896</c:v>
                </c:pt>
                <c:pt idx="201">
                  <c:v>-10225.677276266775</c:v>
                </c:pt>
                <c:pt idx="202">
                  <c:v>-10216.439742205839</c:v>
                </c:pt>
                <c:pt idx="203">
                  <c:v>-10207.391054913111</c:v>
                </c:pt>
                <c:pt idx="204">
                  <c:v>-10198.531571615276</c:v>
                </c:pt>
                <c:pt idx="205">
                  <c:v>-10189.861642069562</c:v>
                </c:pt>
                <c:pt idx="206">
                  <c:v>-10181.381608549942</c:v>
                </c:pt>
                <c:pt idx="207">
                  <c:v>-10173.091805833621</c:v>
                </c:pt>
                <c:pt idx="208">
                  <c:v>-10164.992561187817</c:v>
                </c:pt>
                <c:pt idx="209">
                  <c:v>-10157.084194356838</c:v>
                </c:pt>
                <c:pt idx="210">
                  <c:v>-10149.367017549463</c:v>
                </c:pt>
                <c:pt idx="211">
                  <c:v>-10141.841335426623</c:v>
                </c:pt>
                <c:pt idx="212">
                  <c:v>-10134.507445089359</c:v>
                </c:pt>
                <c:pt idx="213">
                  <c:v>-10127.365636067107</c:v>
                </c:pt>
                <c:pt idx="214">
                  <c:v>-10120.416190306256</c:v>
                </c:pt>
                <c:pt idx="215">
                  <c:v>-10113.659382159025</c:v>
                </c:pt>
                <c:pt idx="216">
                  <c:v>-10107.095478372634</c:v>
                </c:pt>
                <c:pt idx="217">
                  <c:v>-10100.724738078759</c:v>
                </c:pt>
                <c:pt idx="218">
                  <c:v>-10094.547412783322</c:v>
                </c:pt>
                <c:pt idx="219">
                  <c:v>-10088.563746356551</c:v>
                </c:pt>
                <c:pt idx="220">
                  <c:v>-10082.773975023345</c:v>
                </c:pt>
                <c:pt idx="221">
                  <c:v>-10077.178327353966</c:v>
                </c:pt>
                <c:pt idx="222">
                  <c:v>-10071.777024255003</c:v>
                </c:pt>
                <c:pt idx="223">
                  <c:v>-10066.570278960655</c:v>
                </c:pt>
                <c:pt idx="224">
                  <c:v>-10061.558297024305</c:v>
                </c:pt>
                <c:pt idx="225">
                  <c:v>-10056.741276310424</c:v>
                </c:pt>
                <c:pt idx="226">
                  <c:v>-10052.11940698674</c:v>
                </c:pt>
                <c:pt idx="227">
                  <c:v>-10047.692871516738</c:v>
                </c:pt>
                <c:pt idx="228">
                  <c:v>-10043.461844652462</c:v>
                </c:pt>
                <c:pt idx="229">
                  <c:v>-10039.426493427607</c:v>
                </c:pt>
                <c:pt idx="230">
                  <c:v>-10035.586977150928</c:v>
                </c:pt>
                <c:pt idx="231">
                  <c:v>-10031.943447399954</c:v>
                </c:pt>
                <c:pt idx="232">
                  <c:v>-10028.496048015</c:v>
                </c:pt>
                <c:pt idx="233">
                  <c:v>-10025.244915093495</c:v>
                </c:pt>
                <c:pt idx="234">
                  <c:v>-10022.190176984597</c:v>
                </c:pt>
                <c:pt idx="235">
                  <c:v>-10019.331954284135</c:v>
                </c:pt>
                <c:pt idx="236">
                  <c:v>-10016.670359829848</c:v>
                </c:pt>
                <c:pt idx="237">
                  <c:v>-10014.205498696927</c:v>
                </c:pt>
                <c:pt idx="238">
                  <c:v>-10011.937468193872</c:v>
                </c:pt>
                <c:pt idx="239">
                  <c:v>-10009.866357858638</c:v>
                </c:pt>
                <c:pt idx="240">
                  <c:v>-10007.992249455123</c:v>
                </c:pt>
                <c:pt idx="241">
                  <c:v>-10006.31521696991</c:v>
                </c:pt>
                <c:pt idx="242">
                  <c:v>-10004.835326609375</c:v>
                </c:pt>
                <c:pt idx="243">
                  <c:v>-10003.552636797052</c:v>
                </c:pt>
                <c:pt idx="244">
                  <c:v>-10002.46719817134</c:v>
                </c:pt>
                <c:pt idx="245">
                  <c:v>-10001.5790535835</c:v>
                </c:pt>
                <c:pt idx="246">
                  <c:v>-10000.888238095955</c:v>
                </c:pt>
                <c:pt idx="247">
                  <c:v>-10000.394778980919</c:v>
                </c:pt>
                <c:pt idx="248">
                  <c:v>-10000.098695719313</c:v>
                </c:pt>
                <c:pt idx="249">
                  <c:v>-10000</c:v>
                </c:pt>
                <c:pt idx="250">
                  <c:v>-10000.098695719314</c:v>
                </c:pt>
                <c:pt idx="251">
                  <c:v>-10000.394778980921</c:v>
                </c:pt>
                <c:pt idx="252">
                  <c:v>-10000.888238095955</c:v>
                </c:pt>
                <c:pt idx="253">
                  <c:v>-10001.5790535835</c:v>
                </c:pt>
                <c:pt idx="254">
                  <c:v>-10002.467198171344</c:v>
                </c:pt>
                <c:pt idx="255">
                  <c:v>-10003.552636797056</c:v>
                </c:pt>
                <c:pt idx="256">
                  <c:v>-10004.835326609378</c:v>
                </c:pt>
                <c:pt idx="257">
                  <c:v>-10006.315216969915</c:v>
                </c:pt>
                <c:pt idx="258">
                  <c:v>-10007.992249455128</c:v>
                </c:pt>
                <c:pt idx="259">
                  <c:v>-10009.866357858646</c:v>
                </c:pt>
                <c:pt idx="260">
                  <c:v>-10011.937468193877</c:v>
                </c:pt>
                <c:pt idx="261">
                  <c:v>-10014.205498696934</c:v>
                </c:pt>
                <c:pt idx="262">
                  <c:v>-10016.670359829855</c:v>
                </c:pt>
                <c:pt idx="263">
                  <c:v>-10019.331954284142</c:v>
                </c:pt>
                <c:pt idx="264">
                  <c:v>-10022.190176984604</c:v>
                </c:pt>
                <c:pt idx="265">
                  <c:v>-10025.244915093504</c:v>
                </c:pt>
                <c:pt idx="266">
                  <c:v>-10028.496048015011</c:v>
                </c:pt>
                <c:pt idx="267">
                  <c:v>-10031.943447399964</c:v>
                </c:pt>
                <c:pt idx="268">
                  <c:v>-10035.586977150939</c:v>
                </c:pt>
                <c:pt idx="269">
                  <c:v>-10039.426493427618</c:v>
                </c:pt>
                <c:pt idx="270">
                  <c:v>-10043.461844652473</c:v>
                </c:pt>
                <c:pt idx="271">
                  <c:v>-10047.692871516751</c:v>
                </c:pt>
                <c:pt idx="272">
                  <c:v>-10052.119406986752</c:v>
                </c:pt>
                <c:pt idx="273">
                  <c:v>-10056.741276310437</c:v>
                </c:pt>
                <c:pt idx="274">
                  <c:v>-10061.558297024319</c:v>
                </c:pt>
                <c:pt idx="275">
                  <c:v>-10066.570278960669</c:v>
                </c:pt>
                <c:pt idx="276">
                  <c:v>-10071.777024255018</c:v>
                </c:pt>
                <c:pt idx="277">
                  <c:v>-10077.178327353982</c:v>
                </c:pt>
                <c:pt idx="278">
                  <c:v>-10082.77397502336</c:v>
                </c:pt>
                <c:pt idx="279">
                  <c:v>-10088.563746356565</c:v>
                </c:pt>
                <c:pt idx="280">
                  <c:v>-10094.54741278334</c:v>
                </c:pt>
                <c:pt idx="281">
                  <c:v>-10100.724738078778</c:v>
                </c:pt>
                <c:pt idx="282">
                  <c:v>-10107.09547837265</c:v>
                </c:pt>
                <c:pt idx="283">
                  <c:v>-10113.659382159043</c:v>
                </c:pt>
                <c:pt idx="284">
                  <c:v>-10120.416190306274</c:v>
                </c:pt>
                <c:pt idx="285">
                  <c:v>-10127.365636067127</c:v>
                </c:pt>
                <c:pt idx="286">
                  <c:v>-10134.507445089381</c:v>
                </c:pt>
                <c:pt idx="287">
                  <c:v>-10141.841335426643</c:v>
                </c:pt>
                <c:pt idx="288">
                  <c:v>-10149.367017549484</c:v>
                </c:pt>
                <c:pt idx="289">
                  <c:v>-10157.084194356858</c:v>
                </c:pt>
                <c:pt idx="290">
                  <c:v>-10164.992561187839</c:v>
                </c:pt>
                <c:pt idx="291">
                  <c:v>-10173.091805833645</c:v>
                </c:pt>
                <c:pt idx="292">
                  <c:v>-10181.381608549967</c:v>
                </c:pt>
                <c:pt idx="293">
                  <c:v>-10189.861642069587</c:v>
                </c:pt>
                <c:pt idx="294">
                  <c:v>-10198.5315716153</c:v>
                </c:pt>
                <c:pt idx="295">
                  <c:v>-10207.391054913136</c:v>
                </c:pt>
                <c:pt idx="296">
                  <c:v>-10216.439742205865</c:v>
                </c:pt>
                <c:pt idx="297">
                  <c:v>-10225.677276266801</c:v>
                </c:pt>
                <c:pt idx="298">
                  <c:v>-10235.103292413924</c:v>
                </c:pt>
                <c:pt idx="299">
                  <c:v>-10244.717418524251</c:v>
                </c:pt>
                <c:pt idx="300">
                  <c:v>-10254.519275048546</c:v>
                </c:pt>
                <c:pt idx="301">
                  <c:v>-10264.508475026298</c:v>
                </c:pt>
                <c:pt idx="302">
                  <c:v>-10274.684624100995</c:v>
                </c:pt>
                <c:pt idx="303">
                  <c:v>-10285.047320535698</c:v>
                </c:pt>
                <c:pt idx="304">
                  <c:v>-10295.596155228894</c:v>
                </c:pt>
                <c:pt idx="305">
                  <c:v>-10306.33071173065</c:v>
                </c:pt>
                <c:pt idx="306">
                  <c:v>-10317.250566259059</c:v>
                </c:pt>
                <c:pt idx="307">
                  <c:v>-10328.35528771696</c:v>
                </c:pt>
                <c:pt idx="308">
                  <c:v>-10339.644437708967</c:v>
                </c:pt>
                <c:pt idx="309">
                  <c:v>-10351.117570558765</c:v>
                </c:pt>
                <c:pt idx="310">
                  <c:v>-10362.774233326716</c:v>
                </c:pt>
                <c:pt idx="311">
                  <c:v>-10374.613965827732</c:v>
                </c:pt>
                <c:pt idx="312">
                  <c:v>-10386.63630064945</c:v>
                </c:pt>
                <c:pt idx="313">
                  <c:v>-10398.840763170672</c:v>
                </c:pt>
                <c:pt idx="314">
                  <c:v>-10411.226871580118</c:v>
                </c:pt>
                <c:pt idx="315">
                  <c:v>-10423.794136895438</c:v>
                </c:pt>
                <c:pt idx="316">
                  <c:v>-10436.542062982511</c:v>
                </c:pt>
                <c:pt idx="317">
                  <c:v>-10449.470146575048</c:v>
                </c:pt>
                <c:pt idx="318">
                  <c:v>-10462.577877294441</c:v>
                </c:pt>
                <c:pt idx="319">
                  <c:v>-10475.86473766993</c:v>
                </c:pt>
                <c:pt idx="320">
                  <c:v>-10489.330203159014</c:v>
                </c:pt>
                <c:pt idx="321">
                  <c:v>-10502.973742168171</c:v>
                </c:pt>
                <c:pt idx="322">
                  <c:v>-10516.794816073849</c:v>
                </c:pt>
                <c:pt idx="323">
                  <c:v>-10530.792879243709</c:v>
                </c:pt>
                <c:pt idx="324">
                  <c:v>-10544.967379058191</c:v>
                </c:pt>
                <c:pt idx="325">
                  <c:v>-10559.317755932307</c:v>
                </c:pt>
                <c:pt idx="326">
                  <c:v>-10573.843443337753</c:v>
                </c:pt>
                <c:pt idx="327">
                  <c:v>-10588.543867825265</c:v>
                </c:pt>
                <c:pt idx="328">
                  <c:v>-10603.418449047251</c:v>
                </c:pt>
                <c:pt idx="329">
                  <c:v>-10618.466599780713</c:v>
                </c:pt>
                <c:pt idx="330">
                  <c:v>-10633.687725950431</c:v>
                </c:pt>
                <c:pt idx="331">
                  <c:v>-10649.081226652404</c:v>
                </c:pt>
                <c:pt idx="332">
                  <c:v>-10664.646494177583</c:v>
                </c:pt>
                <c:pt idx="333">
                  <c:v>-10680.382914035858</c:v>
                </c:pt>
                <c:pt idx="334">
                  <c:v>-10696.289864980316</c:v>
                </c:pt>
                <c:pt idx="335">
                  <c:v>-10712.366719031774</c:v>
                </c:pt>
                <c:pt idx="336">
                  <c:v>-10728.61284150356</c:v>
                </c:pt>
                <c:pt idx="337">
                  <c:v>-10745.027591026577</c:v>
                </c:pt>
                <c:pt idx="338">
                  <c:v>-10761.61031957462</c:v>
                </c:pt>
                <c:pt idx="339">
                  <c:v>-10778.360372489962</c:v>
                </c:pt>
                <c:pt idx="340">
                  <c:v>-10795.277088509192</c:v>
                </c:pt>
                <c:pt idx="341">
                  <c:v>-10812.35979978933</c:v>
                </c:pt>
                <c:pt idx="342">
                  <c:v>-10829.607831934183</c:v>
                </c:pt>
                <c:pt idx="343">
                  <c:v>-10847.020504020977</c:v>
                </c:pt>
                <c:pt idx="344">
                  <c:v>-10864.597128627229</c:v>
                </c:pt>
                <c:pt idx="345">
                  <c:v>-10882.337011857902</c:v>
                </c:pt>
                <c:pt idx="346">
                  <c:v>-10900.239453372778</c:v>
                </c:pt>
                <c:pt idx="347">
                  <c:v>-10918.30374641412</c:v>
                </c:pt>
                <c:pt idx="348">
                  <c:v>-10936.529177834571</c:v>
                </c:pt>
                <c:pt idx="349">
                  <c:v>-10954.915028125304</c:v>
                </c:pt>
                <c:pt idx="350">
                  <c:v>-10973.460571444433</c:v>
                </c:pt>
                <c:pt idx="351">
                  <c:v>-10992.16507564566</c:v>
                </c:pt>
                <c:pt idx="352">
                  <c:v>-11011.027802307188</c:v>
                </c:pt>
                <c:pt idx="353">
                  <c:v>-11030.048006760866</c:v>
                </c:pt>
                <c:pt idx="354">
                  <c:v>-11049.224938121592</c:v>
                </c:pt>
                <c:pt idx="355">
                  <c:v>-11068.557839316951</c:v>
                </c:pt>
                <c:pt idx="356">
                  <c:v>-11088.045947117105</c:v>
                </c:pt>
                <c:pt idx="357">
                  <c:v>-11107.688492164929</c:v>
                </c:pt>
                <c:pt idx="358">
                  <c:v>-11127.484699006378</c:v>
                </c:pt>
                <c:pt idx="359">
                  <c:v>-11147.433786121101</c:v>
                </c:pt>
                <c:pt idx="360">
                  <c:v>-11167.534965953299</c:v>
                </c:pt>
                <c:pt idx="361">
                  <c:v>-11187.787444942809</c:v>
                </c:pt>
                <c:pt idx="362">
                  <c:v>-11208.19042355644</c:v>
                </c:pt>
                <c:pt idx="363">
                  <c:v>-11228.743096319529</c:v>
                </c:pt>
                <c:pt idx="364">
                  <c:v>-11249.444651847753</c:v>
                </c:pt>
                <c:pt idx="365">
                  <c:v>-11270.294272879139</c:v>
                </c:pt>
                <c:pt idx="366">
                  <c:v>-11291.291136306354</c:v>
                </c:pt>
                <c:pt idx="367">
                  <c:v>-11312.434413209181</c:v>
                </c:pt>
                <c:pt idx="368">
                  <c:v>-11333.723268887252</c:v>
                </c:pt>
                <c:pt idx="369">
                  <c:v>-11355.156862892994</c:v>
                </c:pt>
                <c:pt idx="370">
                  <c:v>-11376.73434906482</c:v>
                </c:pt>
                <c:pt idx="371">
                  <c:v>-11398.454875560519</c:v>
                </c:pt>
                <c:pt idx="372">
                  <c:v>-11420.317584890898</c:v>
                </c:pt>
                <c:pt idx="373">
                  <c:v>-11442.321613953627</c:v>
                </c:pt>
                <c:pt idx="374">
                  <c:v>-11464.466094067317</c:v>
                </c:pt>
                <c:pt idx="375">
                  <c:v>-11486.75015100581</c:v>
                </c:pt>
                <c:pt idx="376">
                  <c:v>-11509.172905032692</c:v>
                </c:pt>
                <c:pt idx="377">
                  <c:v>-11531.733470936031</c:v>
                </c:pt>
                <c:pt idx="378">
                  <c:v>-11554.430958063314</c:v>
                </c:pt>
                <c:pt idx="379">
                  <c:v>-11577.264470356615</c:v>
                </c:pt>
                <c:pt idx="380">
                  <c:v>-11600.233106387961</c:v>
                </c:pt>
                <c:pt idx="381">
                  <c:v>-11623.335959394935</c:v>
                </c:pt>
                <c:pt idx="382">
                  <c:v>-11646.572117316458</c:v>
                </c:pt>
                <c:pt idx="383">
                  <c:v>-11669.940662828802</c:v>
                </c:pt>
                <c:pt idx="384">
                  <c:v>-11693.440673381801</c:v>
                </c:pt>
                <c:pt idx="385">
                  <c:v>-11717.071221235277</c:v>
                </c:pt>
                <c:pt idx="386">
                  <c:v>-11740.831373495666</c:v>
                </c:pt>
                <c:pt idx="387">
                  <c:v>-11764.720192152839</c:v>
                </c:pt>
                <c:pt idx="388">
                  <c:v>-11788.736734117141</c:v>
                </c:pt>
                <c:pt idx="389">
                  <c:v>-11812.880051256614</c:v>
                </c:pt>
                <c:pt idx="390">
                  <c:v>-11837.14919043444</c:v>
                </c:pt>
                <c:pt idx="391">
                  <c:v>-11861.543193546562</c:v>
                </c:pt>
                <c:pt idx="392">
                  <c:v>-11886.061097559501</c:v>
                </c:pt>
                <c:pt idx="393">
                  <c:v>-11910.701934548393</c:v>
                </c:pt>
                <c:pt idx="394">
                  <c:v>-11935.464731735183</c:v>
                </c:pt>
                <c:pt idx="395">
                  <c:v>-11960.348511527038</c:v>
                </c:pt>
                <c:pt idx="396">
                  <c:v>-11985.352291554942</c:v>
                </c:pt>
                <c:pt idx="397">
                  <c:v>-12010.475084712472</c:v>
                </c:pt>
                <c:pt idx="398">
                  <c:v>-12035.715899194771</c:v>
                </c:pt>
                <c:pt idx="399">
                  <c:v>-12061.073738537702</c:v>
                </c:pt>
                <c:pt idx="400">
                  <c:v>-12086.547601657188</c:v>
                </c:pt>
                <c:pt idx="401">
                  <c:v>-12112.136482888731</c:v>
                </c:pt>
                <c:pt idx="402">
                  <c:v>-12137.839372027116</c:v>
                </c:pt>
                <c:pt idx="403">
                  <c:v>-12163.655254366287</c:v>
                </c:pt>
                <c:pt idx="404">
                  <c:v>-12189.583110739417</c:v>
                </c:pt>
                <c:pt idx="405">
                  <c:v>-12215.62191755913</c:v>
                </c:pt>
                <c:pt idx="406">
                  <c:v>-12241.77064685792</c:v>
                </c:pt>
                <c:pt idx="407">
                  <c:v>-12268.028266328727</c:v>
                </c:pt>
                <c:pt idx="408">
                  <c:v>-12294.393739365692</c:v>
                </c:pt>
                <c:pt idx="409">
                  <c:v>-12320.86602510509</c:v>
                </c:pt>
                <c:pt idx="410">
                  <c:v>-12347.444078466404</c:v>
                </c:pt>
                <c:pt idx="411">
                  <c:v>-12374.126850193596</c:v>
                </c:pt>
                <c:pt idx="412">
                  <c:v>-12400.913286896528</c:v>
                </c:pt>
                <c:pt idx="413">
                  <c:v>-12427.802331092542</c:v>
                </c:pt>
                <c:pt idx="414">
                  <c:v>-12454.792921248219</c:v>
                </c:pt>
                <c:pt idx="415">
                  <c:v>-12481.883991821273</c:v>
                </c:pt>
                <c:pt idx="416">
                  <c:v>-12509.074473302622</c:v>
                </c:pt>
                <c:pt idx="417">
                  <c:v>-12536.363292258618</c:v>
                </c:pt>
                <c:pt idx="418">
                  <c:v>-12563.749371373417</c:v>
                </c:pt>
                <c:pt idx="419">
                  <c:v>-12591.231629491502</c:v>
                </c:pt>
                <c:pt idx="420">
                  <c:v>-12618.808981660382</c:v>
                </c:pt>
                <c:pt idx="421">
                  <c:v>-12646.480339173417</c:v>
                </c:pt>
                <c:pt idx="422">
                  <c:v>-12674.244609612788</c:v>
                </c:pt>
                <c:pt idx="423">
                  <c:v>-12702.100696892641</c:v>
                </c:pt>
                <c:pt idx="424">
                  <c:v>-12730.047501302346</c:v>
                </c:pt>
                <c:pt idx="425">
                  <c:v>-12758.083919549919</c:v>
                </c:pt>
                <c:pt idx="426">
                  <c:v>-12786.208844805575</c:v>
                </c:pt>
                <c:pt idx="427">
                  <c:v>-12814.421166745418</c:v>
                </c:pt>
                <c:pt idx="428">
                  <c:v>-12842.719771595288</c:v>
                </c:pt>
                <c:pt idx="429">
                  <c:v>-12871.10354217472</c:v>
                </c:pt>
                <c:pt idx="430">
                  <c:v>-12899.571357941051</c:v>
                </c:pt>
                <c:pt idx="431">
                  <c:v>-12928.122095033663</c:v>
                </c:pt>
                <c:pt idx="432">
                  <c:v>-12956.754626318339</c:v>
                </c:pt>
                <c:pt idx="433">
                  <c:v>-12985.467821431772</c:v>
                </c:pt>
                <c:pt idx="434">
                  <c:v>-13014.260546826183</c:v>
                </c:pt>
                <c:pt idx="435">
                  <c:v>-13043.131665814073</c:v>
                </c:pt>
                <c:pt idx="436">
                  <c:v>-13072.080038613103</c:v>
                </c:pt>
                <c:pt idx="437">
                  <c:v>-13101.104522391081</c:v>
                </c:pt>
                <c:pt idx="438">
                  <c:v>-13130.203971311086</c:v>
                </c:pt>
                <c:pt idx="439">
                  <c:v>-13159.377236576698</c:v>
                </c:pt>
                <c:pt idx="440">
                  <c:v>-13188.62316647736</c:v>
                </c:pt>
                <c:pt idx="441">
                  <c:v>-13217.940606433835</c:v>
                </c:pt>
                <c:pt idx="442">
                  <c:v>-13247.328399043794</c:v>
                </c:pt>
                <c:pt idx="443">
                  <c:v>-13276.785384127505</c:v>
                </c:pt>
                <c:pt idx="444">
                  <c:v>-13306.310398773634</c:v>
                </c:pt>
                <c:pt idx="445">
                  <c:v>-13335.902277385158</c:v>
                </c:pt>
                <c:pt idx="446">
                  <c:v>-13365.559851725378</c:v>
                </c:pt>
                <c:pt idx="447">
                  <c:v>-13395.281950964045</c:v>
                </c:pt>
                <c:pt idx="448">
                  <c:v>-13425.067401723569</c:v>
                </c:pt>
                <c:pt idx="449">
                  <c:v>-13454.915028125355</c:v>
                </c:pt>
                <c:pt idx="450">
                  <c:v>-13484.823651836223</c:v>
                </c:pt>
                <c:pt idx="451">
                  <c:v>-13514.792092114918</c:v>
                </c:pt>
                <c:pt idx="452">
                  <c:v>-13544.819165858735</c:v>
                </c:pt>
                <c:pt idx="453">
                  <c:v>-13574.903687650214</c:v>
                </c:pt>
                <c:pt idx="454">
                  <c:v>-13605.044469803948</c:v>
                </c:pt>
                <c:pt idx="455">
                  <c:v>-13635.240322413469</c:v>
                </c:pt>
                <c:pt idx="456">
                  <c:v>-13665.490053398218</c:v>
                </c:pt>
                <c:pt idx="457">
                  <c:v>-13695.792468550611</c:v>
                </c:pt>
                <c:pt idx="458">
                  <c:v>-13726.146371583185</c:v>
                </c:pt>
                <c:pt idx="459">
                  <c:v>-13756.550564175823</c:v>
                </c:pt>
                <c:pt idx="460">
                  <c:v>-13787.003846023061</c:v>
                </c:pt>
                <c:pt idx="461">
                  <c:v>-13817.505014881473</c:v>
                </c:pt>
                <c:pt idx="462">
                  <c:v>-13848.052866617145</c:v>
                </c:pt>
                <c:pt idx="463">
                  <c:v>-13878.646195253192</c:v>
                </c:pt>
                <c:pt idx="464">
                  <c:v>-13909.283793017386</c:v>
                </c:pt>
                <c:pt idx="465">
                  <c:v>-13939.964450389825</c:v>
                </c:pt>
                <c:pt idx="466">
                  <c:v>-13970.686956150694</c:v>
                </c:pt>
                <c:pt idx="467">
                  <c:v>-14001.450097428065</c:v>
                </c:pt>
                <c:pt idx="468">
                  <c:v>-14032.252659745798</c:v>
                </c:pt>
                <c:pt idx="469">
                  <c:v>-14063.093427071477</c:v>
                </c:pt>
                <c:pt idx="470">
                  <c:v>-14093.971181864414</c:v>
                </c:pt>
                <c:pt idx="471">
                  <c:v>-14124.884705123721</c:v>
                </c:pt>
                <c:pt idx="472">
                  <c:v>-14155.832776436433</c:v>
                </c:pt>
                <c:pt idx="473">
                  <c:v>-14186.814174025683</c:v>
                </c:pt>
                <c:pt idx="474">
                  <c:v>-14217.827674798948</c:v>
                </c:pt>
                <c:pt idx="475">
                  <c:v>-14248.872054396317</c:v>
                </c:pt>
                <c:pt idx="476">
                  <c:v>-14279.946087238843</c:v>
                </c:pt>
                <c:pt idx="477">
                  <c:v>-14311.048546576912</c:v>
                </c:pt>
                <c:pt idx="478">
                  <c:v>-14342.178204538692</c:v>
                </c:pt>
                <c:pt idx="479">
                  <c:v>-14373.333832178583</c:v>
                </c:pt>
                <c:pt idx="480">
                  <c:v>-14404.514199525756</c:v>
                </c:pt>
                <c:pt idx="481">
                  <c:v>-14435.718075632696</c:v>
                </c:pt>
                <c:pt idx="482">
                  <c:v>-14466.944228623806</c:v>
                </c:pt>
                <c:pt idx="483">
                  <c:v>-14498.191425744031</c:v>
                </c:pt>
                <c:pt idx="484">
                  <c:v>-14529.458433407535</c:v>
                </c:pt>
                <c:pt idx="485">
                  <c:v>-14560.74401724639</c:v>
                </c:pt>
                <c:pt idx="486">
                  <c:v>-14592.046942159319</c:v>
                </c:pt>
                <c:pt idx="487">
                  <c:v>-14623.365972360443</c:v>
                </c:pt>
                <c:pt idx="488">
                  <c:v>-14654.699871428078</c:v>
                </c:pt>
                <c:pt idx="489">
                  <c:v>-14686.047402353541</c:v>
                </c:pt>
                <c:pt idx="490">
                  <c:v>-14717.407327589985</c:v>
                </c:pt>
                <c:pt idx="491">
                  <c:v>-14748.77840910126</c:v>
                </c:pt>
                <c:pt idx="492">
                  <c:v>-14780.159408410784</c:v>
                </c:pt>
                <c:pt idx="493">
                  <c:v>-14811.549086650437</c:v>
                </c:pt>
                <c:pt idx="494">
                  <c:v>-14842.946204609467</c:v>
                </c:pt>
                <c:pt idx="495">
                  <c:v>-14874.349522783423</c:v>
                </c:pt>
                <c:pt idx="496">
                  <c:v>-14905.757801423069</c:v>
                </c:pt>
                <c:pt idx="497">
                  <c:v>-14937.169800583346</c:v>
                </c:pt>
                <c:pt idx="498">
                  <c:v>-14968.584280172316</c:v>
                </c:pt>
                <c:pt idx="499">
                  <c:v>-15000.000000000111</c:v>
                </c:pt>
                <c:pt idx="500">
                  <c:v>-15031.415719827906</c:v>
                </c:pt>
                <c:pt idx="501">
                  <c:v>-15062.830199416874</c:v>
                </c:pt>
                <c:pt idx="502">
                  <c:v>-15094.242198577153</c:v>
                </c:pt>
                <c:pt idx="503">
                  <c:v>-15125.650477216799</c:v>
                </c:pt>
                <c:pt idx="504">
                  <c:v>-15157.053795390753</c:v>
                </c:pt>
                <c:pt idx="505">
                  <c:v>-15188.450913349785</c:v>
                </c:pt>
                <c:pt idx="506">
                  <c:v>-15219.840591589436</c:v>
                </c:pt>
                <c:pt idx="507">
                  <c:v>-15251.22159089896</c:v>
                </c:pt>
                <c:pt idx="508">
                  <c:v>-15282.592672410236</c:v>
                </c:pt>
                <c:pt idx="509">
                  <c:v>-15313.952597646679</c:v>
                </c:pt>
                <c:pt idx="510">
                  <c:v>-15345.300128572142</c:v>
                </c:pt>
                <c:pt idx="511">
                  <c:v>-15376.634027639777</c:v>
                </c:pt>
                <c:pt idx="512">
                  <c:v>-15407.953057840901</c:v>
                </c:pt>
                <c:pt idx="513">
                  <c:v>-15439.25598275383</c:v>
                </c:pt>
                <c:pt idx="514">
                  <c:v>-15470.541566592685</c:v>
                </c:pt>
                <c:pt idx="515">
                  <c:v>-15501.808574256189</c:v>
                </c:pt>
                <c:pt idx="516">
                  <c:v>-15533.055771376414</c:v>
                </c:pt>
                <c:pt idx="517">
                  <c:v>-15564.281924367522</c:v>
                </c:pt>
                <c:pt idx="518">
                  <c:v>-15595.485800474464</c:v>
                </c:pt>
                <c:pt idx="519">
                  <c:v>-15626.666167821637</c:v>
                </c:pt>
                <c:pt idx="520">
                  <c:v>-15657.821795461528</c:v>
                </c:pt>
                <c:pt idx="521">
                  <c:v>-15688.951453423306</c:v>
                </c:pt>
                <c:pt idx="522">
                  <c:v>-15720.053912761376</c:v>
                </c:pt>
                <c:pt idx="523">
                  <c:v>-15751.127945603901</c:v>
                </c:pt>
                <c:pt idx="524">
                  <c:v>-15782.172325201271</c:v>
                </c:pt>
                <c:pt idx="525">
                  <c:v>-15813.185825974533</c:v>
                </c:pt>
                <c:pt idx="526">
                  <c:v>-15844.167223563785</c:v>
                </c:pt>
                <c:pt idx="527">
                  <c:v>-15875.115294876496</c:v>
                </c:pt>
                <c:pt idx="528">
                  <c:v>-15906.028818135803</c:v>
                </c:pt>
                <c:pt idx="529">
                  <c:v>-15936.906572928739</c:v>
                </c:pt>
                <c:pt idx="530">
                  <c:v>-15967.747340254418</c:v>
                </c:pt>
                <c:pt idx="531">
                  <c:v>-15998.549902572151</c:v>
                </c:pt>
                <c:pt idx="532">
                  <c:v>-16029.313043849523</c:v>
                </c:pt>
                <c:pt idx="533">
                  <c:v>-16060.035549610389</c:v>
                </c:pt>
                <c:pt idx="534">
                  <c:v>-16090.71620698283</c:v>
                </c:pt>
                <c:pt idx="535">
                  <c:v>-16121.353804747023</c:v>
                </c:pt>
                <c:pt idx="536">
                  <c:v>-16151.94713338307</c:v>
                </c:pt>
                <c:pt idx="537">
                  <c:v>-16182.494985118741</c:v>
                </c:pt>
                <c:pt idx="538">
                  <c:v>-16212.996153977154</c:v>
                </c:pt>
                <c:pt idx="539">
                  <c:v>-16243.44943582439</c:v>
                </c:pt>
                <c:pt idx="540">
                  <c:v>-16273.853628417028</c:v>
                </c:pt>
                <c:pt idx="541">
                  <c:v>-16304.207531449601</c:v>
                </c:pt>
                <c:pt idx="542">
                  <c:v>-16334.509946601995</c:v>
                </c:pt>
                <c:pt idx="543">
                  <c:v>-16364.759677586744</c:v>
                </c:pt>
                <c:pt idx="544">
                  <c:v>-16394.955530196265</c:v>
                </c:pt>
                <c:pt idx="545">
                  <c:v>-16425.096312349997</c:v>
                </c:pt>
                <c:pt idx="546">
                  <c:v>-16455.180834141476</c:v>
                </c:pt>
                <c:pt idx="547">
                  <c:v>-16485.207907885291</c:v>
                </c:pt>
                <c:pt idx="548">
                  <c:v>-16515.176348163986</c:v>
                </c:pt>
                <c:pt idx="549">
                  <c:v>-16545.084971874854</c:v>
                </c:pt>
                <c:pt idx="550">
                  <c:v>-16574.932598276642</c:v>
                </c:pt>
                <c:pt idx="551">
                  <c:v>-16604.718049036164</c:v>
                </c:pt>
                <c:pt idx="552">
                  <c:v>-16634.440148274829</c:v>
                </c:pt>
                <c:pt idx="553">
                  <c:v>-16664.09772261505</c:v>
                </c:pt>
                <c:pt idx="554">
                  <c:v>-16693.689601226575</c:v>
                </c:pt>
                <c:pt idx="555">
                  <c:v>-16723.214615872705</c:v>
                </c:pt>
                <c:pt idx="556">
                  <c:v>-16752.671600956412</c:v>
                </c:pt>
                <c:pt idx="557">
                  <c:v>-16782.059393566371</c:v>
                </c:pt>
                <c:pt idx="558">
                  <c:v>-16811.376833522845</c:v>
                </c:pt>
                <c:pt idx="559">
                  <c:v>-16840.622763423507</c:v>
                </c:pt>
                <c:pt idx="560">
                  <c:v>-16869.796028689121</c:v>
                </c:pt>
                <c:pt idx="561">
                  <c:v>-16898.895477609123</c:v>
                </c:pt>
                <c:pt idx="562">
                  <c:v>-16927.919961387099</c:v>
                </c:pt>
                <c:pt idx="563">
                  <c:v>-16956.868334186129</c:v>
                </c:pt>
                <c:pt idx="564">
                  <c:v>-16985.739453174021</c:v>
                </c:pt>
                <c:pt idx="565">
                  <c:v>-17014.532178568432</c:v>
                </c:pt>
                <c:pt idx="566">
                  <c:v>-17043.245373681861</c:v>
                </c:pt>
                <c:pt idx="567">
                  <c:v>-17071.877904966539</c:v>
                </c:pt>
                <c:pt idx="568">
                  <c:v>-17100.428642059149</c:v>
                </c:pt>
                <c:pt idx="569">
                  <c:v>-17128.896457825482</c:v>
                </c:pt>
                <c:pt idx="570">
                  <c:v>-17157.28022840491</c:v>
                </c:pt>
                <c:pt idx="571">
                  <c:v>-17185.578833254782</c:v>
                </c:pt>
                <c:pt idx="572">
                  <c:v>-17213.791155194624</c:v>
                </c:pt>
                <c:pt idx="573">
                  <c:v>-17241.916080450279</c:v>
                </c:pt>
                <c:pt idx="574">
                  <c:v>-17269.95249869785</c:v>
                </c:pt>
                <c:pt idx="575">
                  <c:v>-17297.899303107555</c:v>
                </c:pt>
                <c:pt idx="576">
                  <c:v>-17325.755390387407</c:v>
                </c:pt>
                <c:pt idx="577">
                  <c:v>-17353.51966082678</c:v>
                </c:pt>
                <c:pt idx="578">
                  <c:v>-17381.19101833981</c:v>
                </c:pt>
                <c:pt idx="579">
                  <c:v>-17408.768370508693</c:v>
                </c:pt>
                <c:pt idx="580">
                  <c:v>-17436.250628626778</c:v>
                </c:pt>
                <c:pt idx="581">
                  <c:v>-17463.636707741571</c:v>
                </c:pt>
                <c:pt idx="582">
                  <c:v>-17490.925526697571</c:v>
                </c:pt>
                <c:pt idx="583">
                  <c:v>-17518.11600817892</c:v>
                </c:pt>
                <c:pt idx="584">
                  <c:v>-17545.20707875197</c:v>
                </c:pt>
                <c:pt idx="585">
                  <c:v>-17572.197668907647</c:v>
                </c:pt>
                <c:pt idx="586">
                  <c:v>-17599.086713103661</c:v>
                </c:pt>
                <c:pt idx="587">
                  <c:v>-17625.873149806594</c:v>
                </c:pt>
                <c:pt idx="588">
                  <c:v>-17652.555921533785</c:v>
                </c:pt>
                <c:pt idx="589">
                  <c:v>-17679.133974895096</c:v>
                </c:pt>
                <c:pt idx="590">
                  <c:v>-17705.606260634493</c:v>
                </c:pt>
                <c:pt idx="591">
                  <c:v>-17731.97173367146</c:v>
                </c:pt>
                <c:pt idx="592">
                  <c:v>-17758.229353142262</c:v>
                </c:pt>
                <c:pt idx="593">
                  <c:v>-17784.378082441053</c:v>
                </c:pt>
                <c:pt idx="594">
                  <c:v>-17810.416889260763</c:v>
                </c:pt>
                <c:pt idx="595">
                  <c:v>-17836.344745633894</c:v>
                </c:pt>
                <c:pt idx="596">
                  <c:v>-17862.160627973066</c:v>
                </c:pt>
                <c:pt idx="597">
                  <c:v>-17887.863517111451</c:v>
                </c:pt>
                <c:pt idx="598">
                  <c:v>-17913.45239834299</c:v>
                </c:pt>
                <c:pt idx="599">
                  <c:v>-17938.926261462475</c:v>
                </c:pt>
                <c:pt idx="600">
                  <c:v>-17964.284100805406</c:v>
                </c:pt>
                <c:pt idx="601">
                  <c:v>-17989.524915287704</c:v>
                </c:pt>
                <c:pt idx="602">
                  <c:v>-18014.647708445234</c:v>
                </c:pt>
                <c:pt idx="603">
                  <c:v>-18039.651488473137</c:v>
                </c:pt>
                <c:pt idx="604">
                  <c:v>-18064.53526826499</c:v>
                </c:pt>
                <c:pt idx="605">
                  <c:v>-18089.298065451781</c:v>
                </c:pt>
                <c:pt idx="606">
                  <c:v>-18113.93890244067</c:v>
                </c:pt>
                <c:pt idx="607">
                  <c:v>-18138.456806453611</c:v>
                </c:pt>
                <c:pt idx="608">
                  <c:v>-18162.850809565731</c:v>
                </c:pt>
                <c:pt idx="609">
                  <c:v>-18187.119948743555</c:v>
                </c:pt>
                <c:pt idx="610">
                  <c:v>-18211.26326588303</c:v>
                </c:pt>
                <c:pt idx="611">
                  <c:v>-18235.279807847328</c:v>
                </c:pt>
                <c:pt idx="612">
                  <c:v>-18259.168626504499</c:v>
                </c:pt>
                <c:pt idx="613">
                  <c:v>-18282.928778764886</c:v>
                </c:pt>
                <c:pt idx="614">
                  <c:v>-18306.559326618364</c:v>
                </c:pt>
                <c:pt idx="615">
                  <c:v>-18330.059337171362</c:v>
                </c:pt>
                <c:pt idx="616">
                  <c:v>-18353.427882683704</c:v>
                </c:pt>
                <c:pt idx="617">
                  <c:v>-18376.664040605225</c:v>
                </c:pt>
                <c:pt idx="618">
                  <c:v>-18399.766893612199</c:v>
                </c:pt>
                <c:pt idx="619">
                  <c:v>-18422.735529643545</c:v>
                </c:pt>
                <c:pt idx="620">
                  <c:v>-18445.569041936847</c:v>
                </c:pt>
                <c:pt idx="621">
                  <c:v>-18468.266529064127</c:v>
                </c:pt>
                <c:pt idx="622">
                  <c:v>-18490.827094967466</c:v>
                </c:pt>
                <c:pt idx="623">
                  <c:v>-18513.249848994346</c:v>
                </c:pt>
                <c:pt idx="624">
                  <c:v>-18535.53390593284</c:v>
                </c:pt>
                <c:pt idx="625">
                  <c:v>-18557.678386046529</c:v>
                </c:pt>
                <c:pt idx="626">
                  <c:v>-18579.682415109255</c:v>
                </c:pt>
                <c:pt idx="627">
                  <c:v>-18601.545124439635</c:v>
                </c:pt>
                <c:pt idx="628">
                  <c:v>-18623.265650935333</c:v>
                </c:pt>
                <c:pt idx="629">
                  <c:v>-18644.843137107157</c:v>
                </c:pt>
                <c:pt idx="630">
                  <c:v>-18666.276731112899</c:v>
                </c:pt>
                <c:pt idx="631">
                  <c:v>-18687.565586790966</c:v>
                </c:pt>
                <c:pt idx="632">
                  <c:v>-18708.708863693795</c:v>
                </c:pt>
                <c:pt idx="633">
                  <c:v>-18729.705727121007</c:v>
                </c:pt>
                <c:pt idx="634">
                  <c:v>-18750.555348152393</c:v>
                </c:pt>
                <c:pt idx="635">
                  <c:v>-18771.256903680616</c:v>
                </c:pt>
                <c:pt idx="636">
                  <c:v>-18791.809576443702</c:v>
                </c:pt>
                <c:pt idx="637">
                  <c:v>-18812.212555057333</c:v>
                </c:pt>
                <c:pt idx="638">
                  <c:v>-18832.46503404684</c:v>
                </c:pt>
                <c:pt idx="639">
                  <c:v>-18852.566213879036</c:v>
                </c:pt>
                <c:pt idx="640">
                  <c:v>-18872.515300993757</c:v>
                </c:pt>
                <c:pt idx="641">
                  <c:v>-18892.311507835202</c:v>
                </c:pt>
                <c:pt idx="642">
                  <c:v>-18911.954052883022</c:v>
                </c:pt>
                <c:pt idx="643">
                  <c:v>-18931.442160683175</c:v>
                </c:pt>
                <c:pt idx="644">
                  <c:v>-18950.775061878532</c:v>
                </c:pt>
                <c:pt idx="645">
                  <c:v>-18969.951993239254</c:v>
                </c:pt>
                <c:pt idx="646">
                  <c:v>-18988.972197692929</c:v>
                </c:pt>
                <c:pt idx="647">
                  <c:v>-19007.834924354458</c:v>
                </c:pt>
                <c:pt idx="648">
                  <c:v>-19026.539428555683</c:v>
                </c:pt>
                <c:pt idx="649">
                  <c:v>-19045.084971874807</c:v>
                </c:pt>
                <c:pt idx="650">
                  <c:v>-19063.470822165538</c:v>
                </c:pt>
                <c:pt idx="651">
                  <c:v>-19081.696253585986</c:v>
                </c:pt>
                <c:pt idx="652">
                  <c:v>-19099.760546627327</c:v>
                </c:pt>
                <c:pt idx="653">
                  <c:v>-19117.662988142201</c:v>
                </c:pt>
                <c:pt idx="654">
                  <c:v>-19135.402871372869</c:v>
                </c:pt>
                <c:pt idx="655">
                  <c:v>-19152.979495979122</c:v>
                </c:pt>
                <c:pt idx="656">
                  <c:v>-19170.392168065915</c:v>
                </c:pt>
                <c:pt idx="657">
                  <c:v>-19187.640200210764</c:v>
                </c:pt>
                <c:pt idx="658">
                  <c:v>-19204.722911490899</c:v>
                </c:pt>
                <c:pt idx="659">
                  <c:v>-19221.639627510129</c:v>
                </c:pt>
                <c:pt idx="660">
                  <c:v>-19238.389680425469</c:v>
                </c:pt>
                <c:pt idx="661">
                  <c:v>-19254.97240897351</c:v>
                </c:pt>
                <c:pt idx="662">
                  <c:v>-19271.387158496524</c:v>
                </c:pt>
                <c:pt idx="663">
                  <c:v>-19287.633280968308</c:v>
                </c:pt>
                <c:pt idx="664">
                  <c:v>-19303.710135019763</c:v>
                </c:pt>
                <c:pt idx="665">
                  <c:v>-19319.617085964222</c:v>
                </c:pt>
                <c:pt idx="666">
                  <c:v>-19335.353505822492</c:v>
                </c:pt>
                <c:pt idx="667">
                  <c:v>-19350.918773347668</c:v>
                </c:pt>
                <c:pt idx="668">
                  <c:v>-19366.31227404964</c:v>
                </c:pt>
                <c:pt idx="669">
                  <c:v>-19381.533400219356</c:v>
                </c:pt>
                <c:pt idx="670">
                  <c:v>-19396.581550952818</c:v>
                </c:pt>
                <c:pt idx="671">
                  <c:v>-19411.456132174804</c:v>
                </c:pt>
                <c:pt idx="672">
                  <c:v>-19426.15655666231</c:v>
                </c:pt>
                <c:pt idx="673">
                  <c:v>-19440.682244067757</c:v>
                </c:pt>
                <c:pt idx="674">
                  <c:v>-19455.032620941871</c:v>
                </c:pt>
                <c:pt idx="675">
                  <c:v>-19469.207120756349</c:v>
                </c:pt>
                <c:pt idx="676">
                  <c:v>-19483.205183926209</c:v>
                </c:pt>
                <c:pt idx="677">
                  <c:v>-19497.026257831883</c:v>
                </c:pt>
                <c:pt idx="678">
                  <c:v>-19510.669796841041</c:v>
                </c:pt>
                <c:pt idx="679">
                  <c:v>-19524.135262330125</c:v>
                </c:pt>
                <c:pt idx="680">
                  <c:v>-19537.422122705611</c:v>
                </c:pt>
                <c:pt idx="681">
                  <c:v>-19550.529853425003</c:v>
                </c:pt>
                <c:pt idx="682">
                  <c:v>-19563.457937017534</c:v>
                </c:pt>
                <c:pt idx="683">
                  <c:v>-19576.205863104609</c:v>
                </c:pt>
                <c:pt idx="684">
                  <c:v>-19588.773128419925</c:v>
                </c:pt>
                <c:pt idx="685">
                  <c:v>-19601.159236829371</c:v>
                </c:pt>
                <c:pt idx="686">
                  <c:v>-19613.363699350593</c:v>
                </c:pt>
                <c:pt idx="687">
                  <c:v>-19625.386034172308</c:v>
                </c:pt>
                <c:pt idx="688">
                  <c:v>-19637.22576667332</c:v>
                </c:pt>
                <c:pt idx="689">
                  <c:v>-19648.882429441273</c:v>
                </c:pt>
                <c:pt idx="690">
                  <c:v>-19660.355562291068</c:v>
                </c:pt>
                <c:pt idx="691">
                  <c:v>-19671.644712283072</c:v>
                </c:pt>
                <c:pt idx="692">
                  <c:v>-19682.749433740973</c:v>
                </c:pt>
                <c:pt idx="693">
                  <c:v>-19693.669288269382</c:v>
                </c:pt>
                <c:pt idx="694">
                  <c:v>-19704.403844771139</c:v>
                </c:pt>
                <c:pt idx="695">
                  <c:v>-19714.952679464332</c:v>
                </c:pt>
                <c:pt idx="696">
                  <c:v>-19725.315375899034</c:v>
                </c:pt>
                <c:pt idx="697">
                  <c:v>-19735.491524973731</c:v>
                </c:pt>
                <c:pt idx="698">
                  <c:v>-19745.480724951482</c:v>
                </c:pt>
                <c:pt idx="699">
                  <c:v>-19755.282581475774</c:v>
                </c:pt>
                <c:pt idx="700">
                  <c:v>-19764.8967075861</c:v>
                </c:pt>
                <c:pt idx="701">
                  <c:v>-19774.322723733218</c:v>
                </c:pt>
                <c:pt idx="702">
                  <c:v>-19783.560257794157</c:v>
                </c:pt>
                <c:pt idx="703">
                  <c:v>-19792.608945086882</c:v>
                </c:pt>
                <c:pt idx="704">
                  <c:v>-19801.468428384716</c:v>
                </c:pt>
                <c:pt idx="705">
                  <c:v>-19810.138357930431</c:v>
                </c:pt>
                <c:pt idx="706">
                  <c:v>-19818.618391450051</c:v>
                </c:pt>
                <c:pt idx="707">
                  <c:v>-19826.908194166372</c:v>
                </c:pt>
                <c:pt idx="708">
                  <c:v>-19835.007438812176</c:v>
                </c:pt>
                <c:pt idx="709">
                  <c:v>-19842.915805643155</c:v>
                </c:pt>
                <c:pt idx="710">
                  <c:v>-19850.63298245053</c:v>
                </c:pt>
                <c:pt idx="711">
                  <c:v>-19858.15866457337</c:v>
                </c:pt>
                <c:pt idx="712">
                  <c:v>-19865.492554910634</c:v>
                </c:pt>
                <c:pt idx="713">
                  <c:v>-19872.634363932884</c:v>
                </c:pt>
                <c:pt idx="714">
                  <c:v>-19879.583809693737</c:v>
                </c:pt>
                <c:pt idx="715">
                  <c:v>-19886.340617840964</c:v>
                </c:pt>
                <c:pt idx="716">
                  <c:v>-19892.904521627359</c:v>
                </c:pt>
                <c:pt idx="717">
                  <c:v>-19899.275261921233</c:v>
                </c:pt>
                <c:pt idx="718">
                  <c:v>-19905.452587216667</c:v>
                </c:pt>
                <c:pt idx="719">
                  <c:v>-19911.436253643442</c:v>
                </c:pt>
                <c:pt idx="720">
                  <c:v>-19917.226024976644</c:v>
                </c:pt>
                <c:pt idx="721">
                  <c:v>-19922.821672646023</c:v>
                </c:pt>
                <c:pt idx="722">
                  <c:v>-19928.222975744986</c:v>
                </c:pt>
                <c:pt idx="723">
                  <c:v>-19933.429721039334</c:v>
                </c:pt>
                <c:pt idx="724">
                  <c:v>-19938.441702975684</c:v>
                </c:pt>
                <c:pt idx="725">
                  <c:v>-19943.258723689567</c:v>
                </c:pt>
                <c:pt idx="726">
                  <c:v>-19947.880593013251</c:v>
                </c:pt>
                <c:pt idx="727">
                  <c:v>-19952.307128483251</c:v>
                </c:pt>
                <c:pt idx="728">
                  <c:v>-19956.538155347527</c:v>
                </c:pt>
                <c:pt idx="729">
                  <c:v>-19960.573506572386</c:v>
                </c:pt>
                <c:pt idx="730">
                  <c:v>-19964.413022849061</c:v>
                </c:pt>
                <c:pt idx="731">
                  <c:v>-19968.056552600036</c:v>
                </c:pt>
                <c:pt idx="732">
                  <c:v>-19971.503951984989</c:v>
                </c:pt>
                <c:pt idx="733">
                  <c:v>-19974.755084906497</c:v>
                </c:pt>
                <c:pt idx="734">
                  <c:v>-19977.809823015396</c:v>
                </c:pt>
                <c:pt idx="735">
                  <c:v>-19980.668045715858</c:v>
                </c:pt>
                <c:pt idx="736">
                  <c:v>-19983.329640170145</c:v>
                </c:pt>
                <c:pt idx="737">
                  <c:v>-19985.794501303066</c:v>
                </c:pt>
                <c:pt idx="738">
                  <c:v>-19988.062531806121</c:v>
                </c:pt>
                <c:pt idx="739">
                  <c:v>-19990.133642141354</c:v>
                </c:pt>
                <c:pt idx="740">
                  <c:v>-19992.007750544872</c:v>
                </c:pt>
                <c:pt idx="741">
                  <c:v>-19993.684783030083</c:v>
                </c:pt>
                <c:pt idx="742">
                  <c:v>-19995.16467339062</c:v>
                </c:pt>
                <c:pt idx="743">
                  <c:v>-19996.447363202944</c:v>
                </c:pt>
                <c:pt idx="744">
                  <c:v>-19997.532801828656</c:v>
                </c:pt>
                <c:pt idx="745">
                  <c:v>-19998.420946416496</c:v>
                </c:pt>
                <c:pt idx="746">
                  <c:v>-19999.111761904045</c:v>
                </c:pt>
                <c:pt idx="747">
                  <c:v>-19999.605221019079</c:v>
                </c:pt>
                <c:pt idx="748">
                  <c:v>-19999.901304280684</c:v>
                </c:pt>
                <c:pt idx="749">
                  <c:v>-20000</c:v>
                </c:pt>
                <c:pt idx="750">
                  <c:v>-19999.901304280687</c:v>
                </c:pt>
                <c:pt idx="751">
                  <c:v>-19999.605221019083</c:v>
                </c:pt>
                <c:pt idx="752">
                  <c:v>-19999.111761904045</c:v>
                </c:pt>
                <c:pt idx="753">
                  <c:v>-19998.420946416503</c:v>
                </c:pt>
                <c:pt idx="754">
                  <c:v>-19997.53280182866</c:v>
                </c:pt>
                <c:pt idx="755">
                  <c:v>-19996.447363202948</c:v>
                </c:pt>
                <c:pt idx="756">
                  <c:v>-19995.164673390627</c:v>
                </c:pt>
                <c:pt idx="757">
                  <c:v>-19993.68478303009</c:v>
                </c:pt>
                <c:pt idx="758">
                  <c:v>-19992.007750544879</c:v>
                </c:pt>
                <c:pt idx="759">
                  <c:v>-19990.133642141365</c:v>
                </c:pt>
                <c:pt idx="760">
                  <c:v>-19988.062531806132</c:v>
                </c:pt>
                <c:pt idx="761">
                  <c:v>-19985.794501303077</c:v>
                </c:pt>
                <c:pt idx="762">
                  <c:v>-19983.329640170159</c:v>
                </c:pt>
                <c:pt idx="763">
                  <c:v>-19980.668045715873</c:v>
                </c:pt>
                <c:pt idx="764">
                  <c:v>-19977.80982301541</c:v>
                </c:pt>
                <c:pt idx="765">
                  <c:v>-19974.755084906512</c:v>
                </c:pt>
                <c:pt idx="766">
                  <c:v>-19971.503951985007</c:v>
                </c:pt>
                <c:pt idx="767">
                  <c:v>-19968.056552600054</c:v>
                </c:pt>
                <c:pt idx="768">
                  <c:v>-19964.413022849083</c:v>
                </c:pt>
                <c:pt idx="769">
                  <c:v>-19960.573506572404</c:v>
                </c:pt>
                <c:pt idx="770">
                  <c:v>-19956.538155347549</c:v>
                </c:pt>
                <c:pt idx="771">
                  <c:v>-19952.307128483273</c:v>
                </c:pt>
                <c:pt idx="772">
                  <c:v>-19947.880593013273</c:v>
                </c:pt>
                <c:pt idx="773">
                  <c:v>-19943.258723689589</c:v>
                </c:pt>
                <c:pt idx="774">
                  <c:v>-19938.44170297571</c:v>
                </c:pt>
                <c:pt idx="775">
                  <c:v>-19933.429721039363</c:v>
                </c:pt>
                <c:pt idx="776">
                  <c:v>-19928.222975745011</c:v>
                </c:pt>
                <c:pt idx="777">
                  <c:v>-19922.821672646049</c:v>
                </c:pt>
                <c:pt idx="778">
                  <c:v>-19917.226024976673</c:v>
                </c:pt>
                <c:pt idx="779">
                  <c:v>-19911.436253643467</c:v>
                </c:pt>
                <c:pt idx="780">
                  <c:v>-19905.452587216696</c:v>
                </c:pt>
                <c:pt idx="781">
                  <c:v>-19899.275261921262</c:v>
                </c:pt>
                <c:pt idx="782">
                  <c:v>-19892.904521627388</c:v>
                </c:pt>
                <c:pt idx="783">
                  <c:v>-19886.340617840997</c:v>
                </c:pt>
                <c:pt idx="784">
                  <c:v>-19879.58380969377</c:v>
                </c:pt>
                <c:pt idx="785">
                  <c:v>-19872.634363932921</c:v>
                </c:pt>
                <c:pt idx="786">
                  <c:v>-19865.492554910667</c:v>
                </c:pt>
                <c:pt idx="787">
                  <c:v>-19858.158664573406</c:v>
                </c:pt>
                <c:pt idx="788">
                  <c:v>-19850.632982450566</c:v>
                </c:pt>
                <c:pt idx="789">
                  <c:v>-19842.915805643195</c:v>
                </c:pt>
                <c:pt idx="790">
                  <c:v>-19835.007438812216</c:v>
                </c:pt>
                <c:pt idx="791">
                  <c:v>-19826.908194166412</c:v>
                </c:pt>
                <c:pt idx="792">
                  <c:v>-19818.618391450091</c:v>
                </c:pt>
                <c:pt idx="793">
                  <c:v>-19810.138357930475</c:v>
                </c:pt>
                <c:pt idx="794">
                  <c:v>-19801.46842838476</c:v>
                </c:pt>
                <c:pt idx="795">
                  <c:v>-19792.608945086926</c:v>
                </c:pt>
                <c:pt idx="796">
                  <c:v>-19783.560257794201</c:v>
                </c:pt>
                <c:pt idx="797">
                  <c:v>-19774.322723733265</c:v>
                </c:pt>
                <c:pt idx="798">
                  <c:v>-19764.896707586147</c:v>
                </c:pt>
                <c:pt idx="799">
                  <c:v>-19755.282581475822</c:v>
                </c:pt>
                <c:pt idx="800">
                  <c:v>-19745.480724951529</c:v>
                </c:pt>
                <c:pt idx="801">
                  <c:v>-19735.491524973779</c:v>
                </c:pt>
                <c:pt idx="802">
                  <c:v>-19725.315375899081</c:v>
                </c:pt>
                <c:pt idx="803">
                  <c:v>-19714.952679464383</c:v>
                </c:pt>
                <c:pt idx="804">
                  <c:v>-19704.40384477119</c:v>
                </c:pt>
                <c:pt idx="805">
                  <c:v>-19693.669288269433</c:v>
                </c:pt>
                <c:pt idx="806">
                  <c:v>-19682.749433741028</c:v>
                </c:pt>
                <c:pt idx="807">
                  <c:v>-19671.644712283127</c:v>
                </c:pt>
                <c:pt idx="808">
                  <c:v>-19660.355562291123</c:v>
                </c:pt>
                <c:pt idx="809">
                  <c:v>-19648.882429441328</c:v>
                </c:pt>
                <c:pt idx="810">
                  <c:v>-19637.225766673379</c:v>
                </c:pt>
                <c:pt idx="811">
                  <c:v>-19625.386034172363</c:v>
                </c:pt>
                <c:pt idx="812">
                  <c:v>-19613.363699350652</c:v>
                </c:pt>
                <c:pt idx="813">
                  <c:v>-19601.15923682943</c:v>
                </c:pt>
                <c:pt idx="814">
                  <c:v>-19588.773128419987</c:v>
                </c:pt>
                <c:pt idx="815">
                  <c:v>-19576.205863104671</c:v>
                </c:pt>
                <c:pt idx="816">
                  <c:v>-19563.4579370176</c:v>
                </c:pt>
                <c:pt idx="817">
                  <c:v>-19550.529853425065</c:v>
                </c:pt>
                <c:pt idx="818">
                  <c:v>-19537.422122705673</c:v>
                </c:pt>
                <c:pt idx="819">
                  <c:v>-19524.135262330186</c:v>
                </c:pt>
                <c:pt idx="820">
                  <c:v>-19510.669796841106</c:v>
                </c:pt>
                <c:pt idx="821">
                  <c:v>-19497.026257831953</c:v>
                </c:pt>
                <c:pt idx="822">
                  <c:v>-19483.205183926279</c:v>
                </c:pt>
                <c:pt idx="823">
                  <c:v>-19469.207120756419</c:v>
                </c:pt>
                <c:pt idx="824">
                  <c:v>-19455.03262094194</c:v>
                </c:pt>
                <c:pt idx="825">
                  <c:v>-19440.682244067826</c:v>
                </c:pt>
                <c:pt idx="826">
                  <c:v>-19426.156556662383</c:v>
                </c:pt>
                <c:pt idx="827">
                  <c:v>-19411.456132174873</c:v>
                </c:pt>
                <c:pt idx="828">
                  <c:v>-19396.581550952891</c:v>
                </c:pt>
                <c:pt idx="829">
                  <c:v>-19381.533400219429</c:v>
                </c:pt>
                <c:pt idx="830">
                  <c:v>-19366.312274049713</c:v>
                </c:pt>
                <c:pt idx="831">
                  <c:v>-19350.918773347745</c:v>
                </c:pt>
                <c:pt idx="832">
                  <c:v>-19335.353505822568</c:v>
                </c:pt>
                <c:pt idx="833">
                  <c:v>-19319.617085964299</c:v>
                </c:pt>
                <c:pt idx="834">
                  <c:v>-19303.710135019843</c:v>
                </c:pt>
                <c:pt idx="835">
                  <c:v>-19287.633280968388</c:v>
                </c:pt>
                <c:pt idx="836">
                  <c:v>-19271.387158496604</c:v>
                </c:pt>
                <c:pt idx="837">
                  <c:v>-19254.97240897359</c:v>
                </c:pt>
                <c:pt idx="838">
                  <c:v>-19238.389680425549</c:v>
                </c:pt>
                <c:pt idx="839">
                  <c:v>-19221.639627510209</c:v>
                </c:pt>
                <c:pt idx="840">
                  <c:v>-19204.722911490982</c:v>
                </c:pt>
                <c:pt idx="841">
                  <c:v>-19187.640200210848</c:v>
                </c:pt>
                <c:pt idx="842">
                  <c:v>-19170.392168065999</c:v>
                </c:pt>
                <c:pt idx="843">
                  <c:v>-19152.979495979209</c:v>
                </c:pt>
                <c:pt idx="844">
                  <c:v>-19135.402871372957</c:v>
                </c:pt>
                <c:pt idx="845">
                  <c:v>-19117.662988142285</c:v>
                </c:pt>
                <c:pt idx="846">
                  <c:v>-19099.760546627414</c:v>
                </c:pt>
                <c:pt idx="847">
                  <c:v>-19081.696253586073</c:v>
                </c:pt>
                <c:pt idx="848">
                  <c:v>-19063.470822165626</c:v>
                </c:pt>
                <c:pt idx="849">
                  <c:v>-19045.084971874898</c:v>
                </c:pt>
                <c:pt idx="850">
                  <c:v>-19026.53942855577</c:v>
                </c:pt>
                <c:pt idx="851">
                  <c:v>-19007.834924354549</c:v>
                </c:pt>
                <c:pt idx="852">
                  <c:v>-18988.972197693023</c:v>
                </c:pt>
                <c:pt idx="853">
                  <c:v>-18969.951993239345</c:v>
                </c:pt>
                <c:pt idx="854">
                  <c:v>-18950.775061878623</c:v>
                </c:pt>
                <c:pt idx="855">
                  <c:v>-18931.442160683269</c:v>
                </c:pt>
                <c:pt idx="856">
                  <c:v>-18911.95405288312</c:v>
                </c:pt>
                <c:pt idx="857">
                  <c:v>-18892.311507835297</c:v>
                </c:pt>
                <c:pt idx="858">
                  <c:v>-18872.515300993851</c:v>
                </c:pt>
                <c:pt idx="859">
                  <c:v>-18852.56621387913</c:v>
                </c:pt>
                <c:pt idx="860">
                  <c:v>-18832.465034046938</c:v>
                </c:pt>
                <c:pt idx="861">
                  <c:v>-18812.212555057431</c:v>
                </c:pt>
                <c:pt idx="862">
                  <c:v>-18791.809576443804</c:v>
                </c:pt>
                <c:pt idx="863">
                  <c:v>-18771.256903680714</c:v>
                </c:pt>
                <c:pt idx="864">
                  <c:v>-18750.555348152498</c:v>
                </c:pt>
                <c:pt idx="865">
                  <c:v>-18729.705727121112</c:v>
                </c:pt>
                <c:pt idx="866">
                  <c:v>-18708.708863693901</c:v>
                </c:pt>
                <c:pt idx="867">
                  <c:v>-18687.565586791075</c:v>
                </c:pt>
                <c:pt idx="868">
                  <c:v>-18666.276731113008</c:v>
                </c:pt>
                <c:pt idx="869">
                  <c:v>-18644.843137107269</c:v>
                </c:pt>
                <c:pt idx="870">
                  <c:v>-18623.265650935449</c:v>
                </c:pt>
                <c:pt idx="871">
                  <c:v>-18601.545124439752</c:v>
                </c:pt>
                <c:pt idx="872">
                  <c:v>-18579.682415109375</c:v>
                </c:pt>
                <c:pt idx="873">
                  <c:v>-18557.678386046653</c:v>
                </c:pt>
                <c:pt idx="874">
                  <c:v>-18535.533905932964</c:v>
                </c:pt>
                <c:pt idx="875">
                  <c:v>-18513.249848994477</c:v>
                </c:pt>
                <c:pt idx="876">
                  <c:v>-18490.827094967597</c:v>
                </c:pt>
                <c:pt idx="877">
                  <c:v>-18468.266529064262</c:v>
                </c:pt>
                <c:pt idx="878">
                  <c:v>-18445.569041936982</c:v>
                </c:pt>
                <c:pt idx="879">
                  <c:v>-18422.735529643684</c:v>
                </c:pt>
                <c:pt idx="880">
                  <c:v>-18399.766893612341</c:v>
                </c:pt>
                <c:pt idx="881">
                  <c:v>-18376.66404060537</c:v>
                </c:pt>
                <c:pt idx="882">
                  <c:v>-18353.427882683849</c:v>
                </c:pt>
                <c:pt idx="883">
                  <c:v>-18330.059337171511</c:v>
                </c:pt>
                <c:pt idx="884">
                  <c:v>-18306.559326618513</c:v>
                </c:pt>
                <c:pt idx="885">
                  <c:v>-18282.928778765039</c:v>
                </c:pt>
                <c:pt idx="886">
                  <c:v>-18259.168626504656</c:v>
                </c:pt>
                <c:pt idx="887">
                  <c:v>-18235.279807847484</c:v>
                </c:pt>
                <c:pt idx="888">
                  <c:v>-18211.26326588319</c:v>
                </c:pt>
                <c:pt idx="889">
                  <c:v>-18187.119948743719</c:v>
                </c:pt>
                <c:pt idx="890">
                  <c:v>-18162.850809565894</c:v>
                </c:pt>
                <c:pt idx="891">
                  <c:v>-18138.456806453778</c:v>
                </c:pt>
                <c:pt idx="892">
                  <c:v>-18113.938902440841</c:v>
                </c:pt>
                <c:pt idx="893">
                  <c:v>-18089.298065451952</c:v>
                </c:pt>
                <c:pt idx="894">
                  <c:v>-18064.535268265165</c:v>
                </c:pt>
                <c:pt idx="895">
                  <c:v>-18039.651488473315</c:v>
                </c:pt>
                <c:pt idx="896">
                  <c:v>-18014.647708445413</c:v>
                </c:pt>
                <c:pt idx="897">
                  <c:v>-17989.52491528789</c:v>
                </c:pt>
                <c:pt idx="898">
                  <c:v>-17964.284100805591</c:v>
                </c:pt>
                <c:pt idx="899">
                  <c:v>-17938.926261462664</c:v>
                </c:pt>
                <c:pt idx="900">
                  <c:v>-17913.452398343183</c:v>
                </c:pt>
                <c:pt idx="901">
                  <c:v>-17887.863517111644</c:v>
                </c:pt>
                <c:pt idx="902">
                  <c:v>-17862.160627973262</c:v>
                </c:pt>
                <c:pt idx="903">
                  <c:v>-17836.344745634095</c:v>
                </c:pt>
                <c:pt idx="904">
                  <c:v>-17810.416889260967</c:v>
                </c:pt>
                <c:pt idx="905">
                  <c:v>-17784.378082441257</c:v>
                </c:pt>
                <c:pt idx="906">
                  <c:v>-17758.229353142473</c:v>
                </c:pt>
                <c:pt idx="907">
                  <c:v>-17731.971733671668</c:v>
                </c:pt>
                <c:pt idx="908">
                  <c:v>-17705.606260634704</c:v>
                </c:pt>
                <c:pt idx="909">
                  <c:v>-17679.133974895311</c:v>
                </c:pt>
                <c:pt idx="910">
                  <c:v>-17652.555921534004</c:v>
                </c:pt>
                <c:pt idx="911">
                  <c:v>-17625.873149806812</c:v>
                </c:pt>
                <c:pt idx="912">
                  <c:v>-17599.086713103883</c:v>
                </c:pt>
                <c:pt idx="913">
                  <c:v>-17572.197668907873</c:v>
                </c:pt>
                <c:pt idx="914">
                  <c:v>-17545.207078752199</c:v>
                </c:pt>
                <c:pt idx="915">
                  <c:v>-17518.11600817915</c:v>
                </c:pt>
                <c:pt idx="916">
                  <c:v>-17490.925526697803</c:v>
                </c:pt>
                <c:pt idx="917">
                  <c:v>-17463.636707741811</c:v>
                </c:pt>
                <c:pt idx="918">
                  <c:v>-17436.250628627018</c:v>
                </c:pt>
                <c:pt idx="919">
                  <c:v>-17408.768370508937</c:v>
                </c:pt>
                <c:pt idx="920">
                  <c:v>-17381.191018340058</c:v>
                </c:pt>
                <c:pt idx="921">
                  <c:v>-17353.519660827027</c:v>
                </c:pt>
                <c:pt idx="922">
                  <c:v>-17325.755390387658</c:v>
                </c:pt>
                <c:pt idx="923">
                  <c:v>-17297.89930310781</c:v>
                </c:pt>
                <c:pt idx="924">
                  <c:v>-17269.952498698105</c:v>
                </c:pt>
                <c:pt idx="925">
                  <c:v>-17241.916080450537</c:v>
                </c:pt>
                <c:pt idx="926">
                  <c:v>-17213.791155194886</c:v>
                </c:pt>
                <c:pt idx="927">
                  <c:v>-17185.578833255047</c:v>
                </c:pt>
                <c:pt idx="928">
                  <c:v>-17157.28022840518</c:v>
                </c:pt>
                <c:pt idx="929">
                  <c:v>-17128.896457825751</c:v>
                </c:pt>
                <c:pt idx="930">
                  <c:v>-17100.428642059422</c:v>
                </c:pt>
                <c:pt idx="931">
                  <c:v>-17071.877904966816</c:v>
                </c:pt>
                <c:pt idx="932">
                  <c:v>-17043.245373682141</c:v>
                </c:pt>
                <c:pt idx="933">
                  <c:v>-17014.532178568712</c:v>
                </c:pt>
                <c:pt idx="934">
                  <c:v>-16985.739453174305</c:v>
                </c:pt>
                <c:pt idx="935">
                  <c:v>-16956.868334186416</c:v>
                </c:pt>
                <c:pt idx="936">
                  <c:v>-16927.91996138739</c:v>
                </c:pt>
                <c:pt idx="937">
                  <c:v>-16898.895477609418</c:v>
                </c:pt>
                <c:pt idx="938">
                  <c:v>-16869.796028689416</c:v>
                </c:pt>
                <c:pt idx="939">
                  <c:v>-16840.622763423806</c:v>
                </c:pt>
                <c:pt idx="940">
                  <c:v>-16811.376833523147</c:v>
                </c:pt>
                <c:pt idx="941">
                  <c:v>-16782.059393566677</c:v>
                </c:pt>
                <c:pt idx="942">
                  <c:v>-16752.671600956721</c:v>
                </c:pt>
                <c:pt idx="943">
                  <c:v>-16723.214615873014</c:v>
                </c:pt>
                <c:pt idx="944">
                  <c:v>-16693.689601226888</c:v>
                </c:pt>
                <c:pt idx="945">
                  <c:v>-16664.097722615366</c:v>
                </c:pt>
                <c:pt idx="946">
                  <c:v>-16634.440148275149</c:v>
                </c:pt>
                <c:pt idx="947">
                  <c:v>-16604.718049036488</c:v>
                </c:pt>
                <c:pt idx="948">
                  <c:v>-16574.932598276966</c:v>
                </c:pt>
                <c:pt idx="949">
                  <c:v>-16545.084971875182</c:v>
                </c:pt>
                <c:pt idx="950">
                  <c:v>-16515.176348164317</c:v>
                </c:pt>
                <c:pt idx="951">
                  <c:v>-16485.207907885626</c:v>
                </c:pt>
                <c:pt idx="952">
                  <c:v>-16455.180834141811</c:v>
                </c:pt>
                <c:pt idx="953">
                  <c:v>-16425.096312350335</c:v>
                </c:pt>
                <c:pt idx="954">
                  <c:v>-16394.955530196603</c:v>
                </c:pt>
                <c:pt idx="955">
                  <c:v>-16364.759677587088</c:v>
                </c:pt>
                <c:pt idx="956">
                  <c:v>-16334.509946602342</c:v>
                </c:pt>
                <c:pt idx="957">
                  <c:v>-16304.207531449951</c:v>
                </c:pt>
                <c:pt idx="958">
                  <c:v>-16273.853628417381</c:v>
                </c:pt>
                <c:pt idx="959">
                  <c:v>-16243.449435824747</c:v>
                </c:pt>
                <c:pt idx="960">
                  <c:v>-16212.996153977512</c:v>
                </c:pt>
                <c:pt idx="961">
                  <c:v>-16182.494985119101</c:v>
                </c:pt>
                <c:pt idx="962">
                  <c:v>-16151.947133383434</c:v>
                </c:pt>
                <c:pt idx="963">
                  <c:v>-16121.353804747388</c:v>
                </c:pt>
                <c:pt idx="964">
                  <c:v>-16090.716206983197</c:v>
                </c:pt>
                <c:pt idx="965">
                  <c:v>-16060.03554961076</c:v>
                </c:pt>
                <c:pt idx="966">
                  <c:v>-16029.313043849896</c:v>
                </c:pt>
                <c:pt idx="967">
                  <c:v>-15998.549902572528</c:v>
                </c:pt>
                <c:pt idx="968">
                  <c:v>-15967.747340254797</c:v>
                </c:pt>
                <c:pt idx="969">
                  <c:v>-15936.906572929121</c:v>
                </c:pt>
                <c:pt idx="970">
                  <c:v>-15906.028818136187</c:v>
                </c:pt>
                <c:pt idx="971">
                  <c:v>-15875.115294876883</c:v>
                </c:pt>
                <c:pt idx="972">
                  <c:v>-15844.167223564174</c:v>
                </c:pt>
                <c:pt idx="973">
                  <c:v>-15813.185825974926</c:v>
                </c:pt>
                <c:pt idx="974">
                  <c:v>-15782.172325201664</c:v>
                </c:pt>
                <c:pt idx="975">
                  <c:v>-15751.127945604298</c:v>
                </c:pt>
                <c:pt idx="976">
                  <c:v>-15720.053912761776</c:v>
                </c:pt>
                <c:pt idx="977">
                  <c:v>-15688.951453423708</c:v>
                </c:pt>
                <c:pt idx="978">
                  <c:v>-15657.821795461932</c:v>
                </c:pt>
                <c:pt idx="979">
                  <c:v>-15626.666167822043</c:v>
                </c:pt>
                <c:pt idx="980">
                  <c:v>-15595.485800474873</c:v>
                </c:pt>
                <c:pt idx="981">
                  <c:v>-15564.281924367935</c:v>
                </c:pt>
                <c:pt idx="982">
                  <c:v>-15533.055771376828</c:v>
                </c:pt>
                <c:pt idx="983">
                  <c:v>-15501.808574256605</c:v>
                </c:pt>
                <c:pt idx="984">
                  <c:v>-15470.541566593105</c:v>
                </c:pt>
                <c:pt idx="985">
                  <c:v>-15439.255982754252</c:v>
                </c:pt>
                <c:pt idx="986">
                  <c:v>-15407.953057841325</c:v>
                </c:pt>
                <c:pt idx="987">
                  <c:v>-15376.634027640204</c:v>
                </c:pt>
                <c:pt idx="988">
                  <c:v>-15345.300128572571</c:v>
                </c:pt>
                <c:pt idx="989">
                  <c:v>-15313.952597647112</c:v>
                </c:pt>
                <c:pt idx="990">
                  <c:v>-15282.592672410668</c:v>
                </c:pt>
                <c:pt idx="991">
                  <c:v>-15251.221590899397</c:v>
                </c:pt>
                <c:pt idx="992">
                  <c:v>-15219.840591589875</c:v>
                </c:pt>
                <c:pt idx="993">
                  <c:v>-15188.450913350225</c:v>
                </c:pt>
                <c:pt idx="994">
                  <c:v>-15157.053795391197</c:v>
                </c:pt>
                <c:pt idx="995">
                  <c:v>-15125.650477217245</c:v>
                </c:pt>
                <c:pt idx="996">
                  <c:v>-15094.2421985776</c:v>
                </c:pt>
                <c:pt idx="997">
                  <c:v>-15062.830199417323</c:v>
                </c:pt>
                <c:pt idx="998">
                  <c:v>-15031.415719828357</c:v>
                </c:pt>
                <c:pt idx="999">
                  <c:v>-15000.000000000566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8F-4F07-B939-9DED5894CEEB}"/>
            </c:ext>
          </c:extLst>
        </c:ser>
        <c:ser>
          <c:idx val="3"/>
          <c:order val="3"/>
          <c:tx>
            <c:v>vaisseau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Feuil1!$AZ$7:$AZ$1007</c:f>
              <c:numCache>
                <c:formatCode>0.0000E+00</c:formatCode>
                <c:ptCount val="1001"/>
                <c:pt idx="0" formatCode="General">
                  <c:v>0</c:v>
                </c:pt>
                <c:pt idx="1">
                  <c:v>14.896066662928284</c:v>
                </c:pt>
                <c:pt idx="2">
                  <c:v>58.763346006098608</c:v>
                </c:pt>
                <c:pt idx="3" formatCode="General">
                  <c:v>128.2240586578348</c:v>
                </c:pt>
                <c:pt idx="4" formatCode="General">
                  <c:v>216.13974170265206</c:v>
                </c:pt>
                <c:pt idx="5" formatCode="General">
                  <c:v>310.82750076894791</c:v>
                </c:pt>
                <c:pt idx="6" formatCode="General">
                  <c:v>394.85512702817806</c:v>
                </c:pt>
                <c:pt idx="7" formatCode="General">
                  <c:v>443.40662540911143</c:v>
                </c:pt>
                <c:pt idx="8" formatCode="General">
                  <c:v>422.2580799762992</c:v>
                </c:pt>
                <c:pt idx="9" formatCode="General">
                  <c:v>285.58924200038052</c:v>
                </c:pt>
                <c:pt idx="10" formatCode="General">
                  <c:v>-25.477447829588542</c:v>
                </c:pt>
                <c:pt idx="11" formatCode="General">
                  <c:v>-580.59478059598393</c:v>
                </c:pt>
                <c:pt idx="12" formatCode="General">
                  <c:v>-1446.1464434888014</c:v>
                </c:pt>
                <c:pt idx="13" formatCode="General">
                  <c:v>-2648.2099956923234</c:v>
                </c:pt>
                <c:pt idx="14" formatCode="General">
                  <c:v>-4125.8644659824431</c:v>
                </c:pt>
                <c:pt idx="15" formatCode="General">
                  <c:v>-5735.1009192843476</c:v>
                </c:pt>
                <c:pt idx="16" formatCode="General">
                  <c:v>-7317.9869908901283</c:v>
                </c:pt>
                <c:pt idx="17" formatCode="General">
                  <c:v>-8758.1165401914823</c:v>
                </c:pt>
                <c:pt idx="18" formatCode="General">
                  <c:v>-9982.2828998172135</c:v>
                </c:pt>
                <c:pt idx="19" formatCode="General">
                  <c:v>-10941.137467635344</c:v>
                </c:pt>
                <c:pt idx="20" formatCode="General">
                  <c:v>-11593.405098906624</c:v>
                </c:pt>
                <c:pt idx="21" formatCode="General">
                  <c:v>-11896.399138700093</c:v>
                </c:pt>
                <c:pt idx="22" formatCode="General">
                  <c:v>-11800.869060891881</c:v>
                </c:pt>
                <c:pt idx="23" formatCode="General">
                  <c:v>-11250.644764132247</c:v>
                </c:pt>
                <c:pt idx="24" formatCode="General">
                  <c:v>-10192.927132982944</c:v>
                </c:pt>
                <c:pt idx="25" formatCode="General">
                  <c:v>-8610.6561923647569</c:v>
                </c:pt>
                <c:pt idx="26" formatCode="General">
                  <c:v>-6573.0130698725106</c:v>
                </c:pt>
                <c:pt idx="27" formatCode="General">
                  <c:v>-4245.5807942716738</c:v>
                </c:pt>
                <c:pt idx="28" formatCode="General">
                  <c:v>-1814.6060313898649</c:v>
                </c:pt>
                <c:pt idx="29" formatCode="General">
                  <c:v>597.78138509711937</c:v>
                </c:pt>
                <c:pt idx="30" formatCode="General">
                  <c:v>2948.2328775483902</c:v>
                </c:pt>
                <c:pt idx="31" formatCode="General">
                  <c:v>5245.4913349528479</c:v>
                </c:pt>
                <c:pt idx="32" formatCode="General">
                  <c:v>7525.9718963109817</c:v>
                </c:pt>
                <c:pt idx="33" formatCode="General">
                  <c:v>9840.1718597083327</c:v>
                </c:pt>
                <c:pt idx="34" formatCode="General">
                  <c:v>12244.943311125386</c:v>
                </c:pt>
                <c:pt idx="35" formatCode="General">
                  <c:v>14794.875574956401</c:v>
                </c:pt>
                <c:pt idx="36" formatCode="General">
                  <c:v>17522.598329195564</c:v>
                </c:pt>
                <c:pt idx="37" formatCode="General">
                  <c:v>20391.642185488956</c:v>
                </c:pt>
                <c:pt idx="38" formatCode="General">
                  <c:v>23230.194083354585</c:v>
                </c:pt>
                <c:pt idx="39" formatCode="General">
                  <c:v>25761.36134486708</c:v>
                </c:pt>
                <c:pt idx="40" formatCode="General">
                  <c:v>27780.405187877077</c:v>
                </c:pt>
                <c:pt idx="41" formatCode="General">
                  <c:v>29248.402756937106</c:v>
                </c:pt>
                <c:pt idx="42" formatCode="General">
                  <c:v>30215.81270433875</c:v>
                </c:pt>
                <c:pt idx="43" formatCode="General">
                  <c:v>30745.101259605617</c:v>
                </c:pt>
                <c:pt idx="44" formatCode="General">
                  <c:v>30886.790392534094</c:v>
                </c:pt>
                <c:pt idx="45" formatCode="General">
                  <c:v>30677.461320887389</c:v>
                </c:pt>
                <c:pt idx="46" formatCode="General">
                  <c:v>30142.303506834975</c:v>
                </c:pt>
                <c:pt idx="47" formatCode="General">
                  <c:v>29297.777533785298</c:v>
                </c:pt>
                <c:pt idx="48" formatCode="General">
                  <c:v>28153.785104550865</c:v>
                </c:pt>
                <c:pt idx="49" formatCode="General">
                  <c:v>26715.716663000017</c:v>
                </c:pt>
                <c:pt idx="50" formatCode="General">
                  <c:v>24987.318013590739</c:v>
                </c:pt>
                <c:pt idx="51" formatCode="General">
                  <c:v>22976.472539850369</c:v>
                </c:pt>
                <c:pt idx="52" formatCode="General">
                  <c:v>20708.650299308556</c:v>
                </c:pt>
                <c:pt idx="53" formatCode="General">
                  <c:v>18256.048790721747</c:v>
                </c:pt>
                <c:pt idx="54" formatCode="General">
                  <c:v>15777.152184099688</c:v>
                </c:pt>
                <c:pt idx="55" formatCode="General">
                  <c:v>13493.520434419981</c:v>
                </c:pt>
                <c:pt idx="56" formatCode="General">
                  <c:v>11547.047691312633</c:v>
                </c:pt>
                <c:pt idx="57" formatCode="General">
                  <c:v>9910.9609676595592</c:v>
                </c:pt>
                <c:pt idx="58" formatCode="General">
                  <c:v>8462.8099801477911</c:v>
                </c:pt>
                <c:pt idx="59" formatCode="General">
                  <c:v>7068.3084532837529</c:v>
                </c:pt>
                <c:pt idx="60" formatCode="General">
                  <c:v>5601.6989169080825</c:v>
                </c:pt>
                <c:pt idx="61" formatCode="General">
                  <c:v>3940.3522252461503</c:v>
                </c:pt>
                <c:pt idx="62" formatCode="General">
                  <c:v>1962.7825789155049</c:v>
                </c:pt>
                <c:pt idx="63" formatCode="General">
                  <c:v>-425.67914039397073</c:v>
                </c:pt>
                <c:pt idx="64" formatCode="General">
                  <c:v>-3217.9260129039176</c:v>
                </c:pt>
                <c:pt idx="65" formatCode="General">
                  <c:v>-6247.2286321005122</c:v>
                </c:pt>
                <c:pt idx="66" formatCode="General">
                  <c:v>-9274.1001941297163</c:v>
                </c:pt>
                <c:pt idx="67" formatCode="General">
                  <c:v>-12128.453483572199</c:v>
                </c:pt>
                <c:pt idx="68" formatCode="General">
                  <c:v>-14737.842895389453</c:v>
                </c:pt>
                <c:pt idx="69" formatCode="General">
                  <c:v>-17083.8301350978</c:v>
                </c:pt>
                <c:pt idx="70" formatCode="General">
                  <c:v>-19168.468262468439</c:v>
                </c:pt>
                <c:pt idx="71" formatCode="General">
                  <c:v>-20999.620327114204</c:v>
                </c:pt>
                <c:pt idx="72" formatCode="General">
                  <c:v>-22585.524596539028</c:v>
                </c:pt>
                <c:pt idx="73" formatCode="General">
                  <c:v>-23932.944997394818</c:v>
                </c:pt>
                <c:pt idx="74" formatCode="General">
                  <c:v>-25046.625394282768</c:v>
                </c:pt>
                <c:pt idx="75" formatCode="General">
                  <c:v>-25929.19509765644</c:v>
                </c:pt>
                <c:pt idx="76" formatCode="General">
                  <c:v>-26581.209700666644</c:v>
                </c:pt>
                <c:pt idx="77" formatCode="General">
                  <c:v>-27001.212118284413</c:v>
                </c:pt>
                <c:pt idx="78" formatCode="General">
                  <c:v>-27185.77685578552</c:v>
                </c:pt>
                <c:pt idx="79" formatCode="General">
                  <c:v>-27129.535015349193</c:v>
                </c:pt>
                <c:pt idx="80" formatCode="General">
                  <c:v>-26825.199751947639</c:v>
                </c:pt>
                <c:pt idx="81" formatCode="General">
                  <c:v>-26263.637906131622</c:v>
                </c:pt>
                <c:pt idx="82" formatCode="General">
                  <c:v>-25434.077422908209</c:v>
                </c:pt>
                <c:pt idx="83" formatCode="General">
                  <c:v>-24324.621588823975</c:v>
                </c:pt>
                <c:pt idx="84" formatCode="General">
                  <c:v>-22923.391257416231</c:v>
                </c:pt>
                <c:pt idx="85" formatCode="General">
                  <c:v>-21220.874935733467</c:v>
                </c:pt>
                <c:pt idx="86" formatCode="General">
                  <c:v>-19214.425290645442</c:v>
                </c:pt>
                <c:pt idx="87" formatCode="General">
                  <c:v>-16915.943114739261</c:v>
                </c:pt>
                <c:pt idx="88" formatCode="General">
                  <c:v>-14361.983954495359</c:v>
                </c:pt>
                <c:pt idx="89" formatCode="General">
                  <c:v>-11618.596008085142</c:v>
                </c:pt>
                <c:pt idx="90" formatCode="General">
                  <c:v>-8766.2728338619654</c:v>
                </c:pt>
                <c:pt idx="91" formatCode="General">
                  <c:v>-5866.9099992255115</c:v>
                </c:pt>
                <c:pt idx="92" formatCode="General">
                  <c:v>-2942.0499743314431</c:v>
                </c:pt>
                <c:pt idx="93" formatCode="General">
                  <c:v>23.217842275216505</c:v>
                </c:pt>
                <c:pt idx="94" formatCode="General">
                  <c:v>3067.3982624692644</c:v>
                </c:pt>
                <c:pt idx="95" formatCode="General">
                  <c:v>6244.5152794712922</c:v>
                </c:pt>
                <c:pt idx="96" formatCode="General">
                  <c:v>9619.9472014950497</c:v>
                </c:pt>
                <c:pt idx="97" formatCode="General">
                  <c:v>13261.688861180904</c:v>
                </c:pt>
                <c:pt idx="98" formatCode="General">
                  <c:v>17207.795860301412</c:v>
                </c:pt>
                <c:pt idx="99" formatCode="General">
                  <c:v>21382.897160049939</c:v>
                </c:pt>
                <c:pt idx="100" formatCode="General">
                  <c:v>25527.780776295236</c:v>
                </c:pt>
                <c:pt idx="101" formatCode="General">
                  <c:v>29332.539046253863</c:v>
                </c:pt>
                <c:pt idx="102" formatCode="General">
                  <c:v>32647.263301223611</c:v>
                </c:pt>
                <c:pt idx="103" formatCode="General">
                  <c:v>35481.327162436552</c:v>
                </c:pt>
                <c:pt idx="104" formatCode="General">
                  <c:v>37895.804187629277</c:v>
                </c:pt>
                <c:pt idx="105" formatCode="General">
                  <c:v>39951.16129128763</c:v>
                </c:pt>
                <c:pt idx="106" formatCode="General">
                  <c:v>41696.165858058484</c:v>
                </c:pt>
                <c:pt idx="107" formatCode="General">
                  <c:v>43168.476126795089</c:v>
                </c:pt>
                <c:pt idx="108" formatCode="General">
                  <c:v>44397.134301028476</c:v>
                </c:pt>
                <c:pt idx="109" formatCode="General">
                  <c:v>45404.779111356998</c:v>
                </c:pt>
                <c:pt idx="110" formatCode="General">
                  <c:v>46209.290956353638</c:v>
                </c:pt>
                <c:pt idx="111" formatCode="General">
                  <c:v>46824.965117994805</c:v>
                </c:pt>
                <c:pt idx="112" formatCode="General">
                  <c:v>47263.34521703756</c:v>
                </c:pt>
                <c:pt idx="113" formatCode="General">
                  <c:v>47533.82069221235</c:v>
                </c:pt>
                <c:pt idx="114" formatCode="General">
                  <c:v>47644.060809450049</c:v>
                </c:pt>
                <c:pt idx="115" formatCode="General">
                  <c:v>47600.334290622995</c:v>
                </c:pt>
                <c:pt idx="116" formatCode="General">
                  <c:v>47407.747696505285</c:v>
                </c:pt>
                <c:pt idx="117" formatCode="General">
                  <c:v>47070.425113676894</c:v>
                </c:pt>
                <c:pt idx="118" formatCode="General">
                  <c:v>46591.644691714835</c:v>
                </c:pt>
                <c:pt idx="119" formatCode="General">
                  <c:v>45973.942911833874</c:v>
                </c:pt>
                <c:pt idx="120" formatCode="General">
                  <c:v>45219.194329256672</c:v>
                </c:pt>
                <c:pt idx="121" formatCode="General">
                  <c:v>44328.67239900594</c:v>
                </c:pt>
                <c:pt idx="122" formatCode="General">
                  <c:v>43303.095535655433</c:v>
                </c:pt>
                <c:pt idx="123" formatCode="General">
                  <c:v>42142.661555692532</c:v>
                </c:pt>
                <c:pt idx="124" formatCode="General">
                  <c:v>40847.072959610443</c:v>
                </c:pt>
                <c:pt idx="125" formatCode="General">
                  <c:v>39415.555016027334</c:v>
                </c:pt>
                <c:pt idx="126" formatCode="General">
                  <c:v>37846.868195776638</c:v>
                </c:pt>
                <c:pt idx="127" formatCode="General">
                  <c:v>36139.316000435167</c:v>
                </c:pt>
                <c:pt idx="128" formatCode="General">
                  <c:v>34290.748323710919</c:v>
                </c:pt>
                <c:pt idx="129" formatCode="General">
                  <c:v>32298.558541161769</c:v>
                </c:pt>
                <c:pt idx="130" formatCode="General">
                  <c:v>30159.668235805028</c:v>
                </c:pt>
                <c:pt idx="131" formatCode="General">
                  <c:v>27870.484161496799</c:v>
                </c:pt>
                <c:pt idx="132" formatCode="General">
                  <c:v>25426.792396761459</c:v>
                </c:pt>
                <c:pt idx="133" formatCode="General">
                  <c:v>22823.51451860696</c:v>
                </c:pt>
                <c:pt idx="134" formatCode="General">
                  <c:v>20054.172441460516</c:v>
                </c:pt>
                <c:pt idx="135" formatCode="General">
                  <c:v>17109.76790552364</c:v>
                </c:pt>
                <c:pt idx="136" formatCode="General">
                  <c:v>13976.569983367724</c:v>
                </c:pt>
                <c:pt idx="137" formatCode="General">
                  <c:v>10632.139535994247</c:v>
                </c:pt>
                <c:pt idx="138" formatCode="General">
                  <c:v>7039.5393114410945</c:v>
                </c:pt>
                <c:pt idx="139" formatCode="General">
                  <c:v>3144.2746556408611</c:v>
                </c:pt>
                <c:pt idx="140" formatCode="General">
                  <c:v>-1103.2054927395388</c:v>
                </c:pt>
                <c:pt idx="141" formatCode="General">
                  <c:v>-5651.6796163023773</c:v>
                </c:pt>
                <c:pt idx="142" formatCode="General">
                  <c:v>-10261.000359270049</c:v>
                </c:pt>
                <c:pt idx="143" formatCode="General">
                  <c:v>-14656.030853968152</c:v>
                </c:pt>
                <c:pt idx="144" formatCode="General">
                  <c:v>-18722.60105691737</c:v>
                </c:pt>
                <c:pt idx="145" formatCode="General">
                  <c:v>-22464.523100088049</c:v>
                </c:pt>
                <c:pt idx="146" formatCode="General">
                  <c:v>-25906.865482920122</c:v>
                </c:pt>
                <c:pt idx="147" formatCode="General">
                  <c:v>-29069.387473119885</c:v>
                </c:pt>
                <c:pt idx="148" formatCode="General">
                  <c:v>-31969.25997903218</c:v>
                </c:pt>
                <c:pt idx="149" formatCode="General">
                  <c:v>-34624.614037956148</c:v>
                </c:pt>
                <c:pt idx="150" formatCode="General">
                  <c:v>-37054.470478275362</c:v>
                </c:pt>
                <c:pt idx="151" formatCode="General">
                  <c:v>-39277.398102827909</c:v>
                </c:pt>
                <c:pt idx="152" formatCode="General">
                  <c:v>-41310.485900573884</c:v>
                </c:pt>
                <c:pt idx="153" formatCode="General">
                  <c:v>-43168.898096941615</c:v>
                </c:pt>
                <c:pt idx="154" formatCode="General">
                  <c:v>-44865.826030512697</c:v>
                </c:pt>
                <c:pt idx="155" formatCode="General">
                  <c:v>-46412.6348977159</c:v>
                </c:pt>
                <c:pt idx="156" formatCode="General">
                  <c:v>-47819.08025896937</c:v>
                </c:pt>
                <c:pt idx="157" formatCode="General">
                  <c:v>-49093.53171171336</c:v>
                </c:pt>
                <c:pt idx="158" formatCode="General">
                  <c:v>-50243.177200357313</c:v>
                </c:pt>
                <c:pt idx="159" formatCode="General">
                  <c:v>-51274.199432570014</c:v>
                </c:pt>
                <c:pt idx="160" formatCode="General">
                  <c:v>-52191.923969737007</c:v>
                </c:pt>
                <c:pt idx="161" formatCode="General">
                  <c:v>-53000.941746303091</c:v>
                </c:pt>
                <c:pt idx="162" formatCode="General">
                  <c:v>-53705.209683984292</c:v>
                </c:pt>
                <c:pt idx="163" formatCode="General">
                  <c:v>-54308.133001649447</c:v>
                </c:pt>
                <c:pt idx="164" formatCode="General">
                  <c:v>-54812.632391269792</c:v>
                </c:pt>
                <c:pt idx="165" formatCode="General">
                  <c:v>-55221.198708541393</c:v>
                </c:pt>
                <c:pt idx="166" formatCode="General">
                  <c:v>-55535.937327036467</c:v>
                </c:pt>
                <c:pt idx="167" formatCode="General">
                  <c:v>-55758.603866520338</c:v>
                </c:pt>
                <c:pt idx="168" formatCode="General">
                  <c:v>-55890.632636228082</c:v>
                </c:pt>
                <c:pt idx="169" formatCode="General">
                  <c:v>-55933.158825954757</c:v>
                </c:pt>
                <c:pt idx="170" formatCode="General">
                  <c:v>-55887.035220722144</c:v>
                </c:pt>
                <c:pt idx="171" formatCode="General">
                  <c:v>-55752.843996612719</c:v>
                </c:pt>
                <c:pt idx="172" formatCode="General">
                  <c:v>-55530.903964618752</c:v>
                </c:pt>
                <c:pt idx="173" formatCode="General">
                  <c:v>-55221.273455187584</c:v>
                </c:pt>
                <c:pt idx="174" formatCode="General">
                  <c:v>-54823.748867978022</c:v>
                </c:pt>
                <c:pt idx="175" formatCode="General">
                  <c:v>-54337.858738188224</c:v>
                </c:pt>
                <c:pt idx="176" formatCode="General">
                  <c:v>-53762.852980298012</c:v>
                </c:pt>
                <c:pt idx="177" formatCode="General">
                  <c:v>-53097.686747076958</c:v>
                </c:pt>
                <c:pt idx="178" formatCode="General">
                  <c:v>-52340.998066484615</c:v>
                </c:pt>
                <c:pt idx="179" formatCode="General">
                  <c:v>-51491.078064389621</c:v>
                </c:pt>
                <c:pt idx="180" formatCode="General">
                  <c:v>-50545.832107815899</c:v>
                </c:pt>
                <c:pt idx="181" formatCode="General">
                  <c:v>-49502.729554077683</c:v>
                </c:pt>
                <c:pt idx="182" formatCode="General">
                  <c:v>-48358.738878744174</c:v>
                </c:pt>
                <c:pt idx="183" formatCode="General">
                  <c:v>-47110.2436462685</c:v>
                </c:pt>
                <c:pt idx="184" formatCode="General">
                  <c:v>-45752.932873101679</c:v>
                </c:pt>
                <c:pt idx="185" formatCode="General">
                  <c:v>-44281.656486954911</c:v>
                </c:pt>
                <c:pt idx="186" formatCode="General">
                  <c:v>-42690.232294232679</c:v>
                </c:pt>
                <c:pt idx="187" formatCode="General">
                  <c:v>-40971.184344465219</c:v>
                </c:pt>
                <c:pt idx="188" formatCode="General">
                  <c:v>-39115.38271754689</c:v>
                </c:pt>
                <c:pt idx="189" formatCode="General">
                  <c:v>-37111.540408016917</c:v>
                </c:pt>
                <c:pt idx="190" formatCode="General">
                  <c:v>-34945.504856972206</c:v>
                </c:pt>
                <c:pt idx="191" formatCode="General">
                  <c:v>-32599.271441608129</c:v>
                </c:pt>
                <c:pt idx="192" formatCode="General">
                  <c:v>-30049.707072004221</c:v>
                </c:pt>
                <c:pt idx="193" formatCode="General">
                  <c:v>-27267.401590486494</c:v>
                </c:pt>
                <c:pt idx="194" formatCode="General">
                  <c:v>-24218.212106046034</c:v>
                </c:pt>
                <c:pt idx="195" formatCode="General">
                  <c:v>-20879.229067169224</c:v>
                </c:pt>
                <c:pt idx="196" formatCode="General">
                  <c:v>-17302.009455564716</c:v>
                </c:pt>
                <c:pt idx="197" formatCode="General">
                  <c:v>-13680.662973438371</c:v>
                </c:pt>
                <c:pt idx="198" formatCode="General">
                  <c:v>-10198.136658306055</c:v>
                </c:pt>
                <c:pt idx="199" formatCode="General">
                  <c:v>-6853.480021462693</c:v>
                </c:pt>
                <c:pt idx="200" formatCode="General">
                  <c:v>-3554.319591125633</c:v>
                </c:pt>
                <c:pt idx="201" formatCode="General">
                  <c:v>-230.11510165922746</c:v>
                </c:pt>
                <c:pt idx="202" formatCode="General">
                  <c:v>3144.6834798928371</c:v>
                </c:pt>
                <c:pt idx="203" formatCode="General">
                  <c:v>6547.3655718135542</c:v>
                </c:pt>
                <c:pt idx="204" formatCode="General">
                  <c:v>9914.6877992740538</c:v>
                </c:pt>
                <c:pt idx="205" formatCode="General">
                  <c:v>13170.42955534188</c:v>
                </c:pt>
                <c:pt idx="206" formatCode="General">
                  <c:v>16258.192591732774</c:v>
                </c:pt>
                <c:pt idx="207" formatCode="General">
                  <c:v>19154.204773715814</c:v>
                </c:pt>
                <c:pt idx="208" formatCode="General">
                  <c:v>21859.322395550887</c:v>
                </c:pt>
                <c:pt idx="209" formatCode="General">
                  <c:v>24386.329671334919</c:v>
                </c:pt>
                <c:pt idx="210" formatCode="General">
                  <c:v>26751.573464906625</c:v>
                </c:pt>
                <c:pt idx="211" formatCode="General">
                  <c:v>28971.09909463043</c:v>
                </c:pt>
                <c:pt idx="212" formatCode="General">
                  <c:v>31059.281313900821</c:v>
                </c:pt>
                <c:pt idx="213" formatCode="General">
                  <c:v>33028.544222235047</c:v>
                </c:pt>
                <c:pt idx="214" formatCode="General">
                  <c:v>34889.487105349632</c:v>
                </c:pt>
                <c:pt idx="215" formatCode="General">
                  <c:v>36651.129040375432</c:v>
                </c:pt>
                <c:pt idx="216" formatCode="General">
                  <c:v>38321.162308771141</c:v>
                </c:pt>
                <c:pt idx="217" formatCode="General">
                  <c:v>39906.177760244245</c:v>
                </c:pt>
                <c:pt idx="218" formatCode="General">
                  <c:v>41411.853820698088</c:v>
                </c:pt>
                <c:pt idx="219" formatCode="General">
                  <c:v>42843.111138430897</c:v>
                </c:pt>
                <c:pt idx="220" formatCode="General">
                  <c:v>44204.237916508173</c:v>
                </c:pt>
                <c:pt idx="221" formatCode="General">
                  <c:v>45498.991290987404</c:v>
                </c:pt>
                <c:pt idx="222" formatCode="General">
                  <c:v>46730.679500694911</c:v>
                </c:pt>
                <c:pt idx="223" formatCode="General">
                  <c:v>47902.228765194748</c:v>
                </c:pt>
                <c:pt idx="224" formatCode="General">
                  <c:v>49016.238002478291</c:v>
                </c:pt>
                <c:pt idx="225" formatCode="General">
                  <c:v>50075.023854487139</c:v>
                </c:pt>
                <c:pt idx="226" formatCode="General">
                  <c:v>51080.657955094044</c:v>
                </c:pt>
                <c:pt idx="227" formatCode="General">
                  <c:v>52034.997956108971</c:v>
                </c:pt>
                <c:pt idx="228" formatCode="General">
                  <c:v>52939.713501219449</c:v>
                </c:pt>
                <c:pt idx="229" formatCode="General">
                  <c:v>53796.308085671357</c:v>
                </c:pt>
                <c:pt idx="230" formatCode="General">
                  <c:v>54606.137544310033</c:v>
                </c:pt>
                <c:pt idx="231" formatCode="General">
                  <c:v>55370.425759105441</c:v>
                </c:pt>
                <c:pt idx="232" formatCode="General">
                  <c:v>56090.278059235185</c:v>
                </c:pt>
                <c:pt idx="233" formatCode="General">
                  <c:v>56766.692694366604</c:v>
                </c:pt>
                <c:pt idx="234" formatCode="General">
                  <c:v>57400.570689014836</c:v>
                </c:pt>
                <c:pt idx="235" formatCode="General">
                  <c:v>57992.724328245058</c:v>
                </c:pt>
                <c:pt idx="236" formatCode="General">
                  <c:v>58543.884479105953</c:v>
                </c:pt>
                <c:pt idx="237" formatCode="General">
                  <c:v>59054.706915418123</c:v>
                </c:pt>
                <c:pt idx="238" formatCode="General">
                  <c:v>59525.777783898942</c:v>
                </c:pt>
                <c:pt idx="239" formatCode="General">
                  <c:v>59957.618325551746</c:v>
                </c:pt>
                <c:pt idx="240" formatCode="General">
                  <c:v>60350.688946597664</c:v>
                </c:pt>
                <c:pt idx="241" formatCode="General">
                  <c:v>60705.392717063747</c:v>
                </c:pt>
                <c:pt idx="242" formatCode="General">
                  <c:v>61022.078361742191</c:v>
                </c:pt>
                <c:pt idx="243" formatCode="General">
                  <c:v>61301.042797037284</c:v>
                </c:pt>
                <c:pt idx="244" formatCode="General">
                  <c:v>61542.533257770374</c:v>
                </c:pt>
                <c:pt idx="245" formatCode="General">
                  <c:v>61746.749049961065</c:v>
                </c:pt>
                <c:pt idx="246" formatCode="General">
                  <c:v>61913.84295865435</c:v>
                </c:pt>
                <c:pt idx="247" formatCode="General">
                  <c:v>62043.922333782655</c:v>
                </c:pt>
                <c:pt idx="248" formatCode="General">
                  <c:v>62137.049871642019</c:v>
                </c:pt>
                <c:pt idx="249" formatCode="General">
                  <c:v>62193.244104656573</c:v>
                </c:pt>
                <c:pt idx="250" formatCode="General">
                  <c:v>62212.479607562171</c:v>
                </c:pt>
                <c:pt idx="251" formatCode="General">
                  <c:v>62194.686923829606</c:v>
                </c:pt>
                <c:pt idx="252" formatCode="General">
                  <c:v>62139.752211953848</c:v>
                </c:pt>
                <c:pt idx="253" formatCode="General">
                  <c:v>62047.516607044607</c:v>
                </c:pt>
                <c:pt idx="254" formatCode="General">
                  <c:v>61917.775288854507</c:v>
                </c:pt>
                <c:pt idx="255" formatCode="General">
                  <c:v>61750.276242857763</c:v>
                </c:pt>
                <c:pt idx="256" formatCode="General">
                  <c:v>61544.71869612005</c:v>
                </c:pt>
                <c:pt idx="257" formatCode="General">
                  <c:v>61300.75120434066</c:v>
                </c:pt>
                <c:pt idx="258" formatCode="General">
                  <c:v>61017.96936044193</c:v>
                </c:pt>
                <c:pt idx="259" formatCode="General">
                  <c:v>60695.91308824224</c:v>
                </c:pt>
                <c:pt idx="260" formatCode="General">
                  <c:v>60334.06347685455</c:v>
                </c:pt>
                <c:pt idx="261" formatCode="General">
                  <c:v>59931.839102232865</c:v>
                </c:pt>
                <c:pt idx="262" formatCode="General">
                  <c:v>59488.591771412488</c:v>
                </c:pt>
                <c:pt idx="263" formatCode="General">
                  <c:v>59003.601612045757</c:v>
                </c:pt>
                <c:pt idx="264" formatCode="General">
                  <c:v>58476.071414309641</c:v>
                </c:pt>
                <c:pt idx="265" formatCode="General">
                  <c:v>57905.120113509671</c:v>
                </c:pt>
                <c:pt idx="266" formatCode="General">
                  <c:v>57289.77527890831</c:v>
                </c:pt>
                <c:pt idx="267" formatCode="General">
                  <c:v>56628.964446425671</c:v>
                </c:pt>
                <c:pt idx="268" formatCode="General">
                  <c:v>55921.505098566486</c:v>
                </c:pt>
                <c:pt idx="269" formatCode="General">
                  <c:v>55166.093052514763</c:v>
                </c:pt>
                <c:pt idx="270" formatCode="General">
                  <c:v>54361.288964611587</c:v>
                </c:pt>
                <c:pt idx="271" formatCode="General">
                  <c:v>53505.502593564357</c:v>
                </c:pt>
                <c:pt idx="272" formatCode="General">
                  <c:v>52596.974382082546</c:v>
                </c:pt>
                <c:pt idx="273" formatCode="General">
                  <c:v>51633.753812512565</c:v>
                </c:pt>
                <c:pt idx="274" formatCode="General">
                  <c:v>50613.673860476752</c:v>
                </c:pt>
                <c:pt idx="275" formatCode="General">
                  <c:v>49534.320703990932</c:v>
                </c:pt>
                <c:pt idx="276" formatCode="General">
                  <c:v>48392.997634832427</c:v>
                </c:pt>
                <c:pt idx="277" formatCode="General">
                  <c:v>47186.681853340197</c:v>
                </c:pt>
                <c:pt idx="278" formatCode="General">
                  <c:v>45911.972496187955</c:v>
                </c:pt>
                <c:pt idx="279" formatCode="General">
                  <c:v>44565.027840505543</c:v>
                </c:pt>
                <c:pt idx="280" formatCode="General">
                  <c:v>43141.489149162611</c:v>
                </c:pt>
                <c:pt idx="281" formatCode="General">
                  <c:v>41636.388102520061</c:v>
                </c:pt>
                <c:pt idx="282" formatCode="General">
                  <c:v>40044.034305439542</c:v>
                </c:pt>
                <c:pt idx="283" formatCode="General">
                  <c:v>38357.879240238704</c:v>
                </c:pt>
                <c:pt idx="284" formatCode="General">
                  <c:v>36570.353931708632</c:v>
                </c:pt>
                <c:pt idx="285" formatCode="General">
                  <c:v>34672.68110693559</c:v>
                </c:pt>
                <c:pt idx="286" formatCode="General">
                  <c:v>32654.672574934692</c:v>
                </c:pt>
                <c:pt idx="287" formatCode="General">
                  <c:v>30504.547966305006</c:v>
                </c:pt>
                <c:pt idx="288" formatCode="General">
                  <c:v>28208.873543972295</c:v>
                </c:pt>
                <c:pt idx="289" formatCode="General">
                  <c:v>25752.871464089563</c:v>
                </c:pt>
                <c:pt idx="290" formatCode="General">
                  <c:v>23121.711123848985</c:v>
                </c:pt>
                <c:pt idx="291" formatCode="General">
                  <c:v>20304.209142964199</c:v>
                </c:pt>
                <c:pt idx="292" formatCode="General">
                  <c:v>17301.882039118427</c:v>
                </c:pt>
                <c:pt idx="293" formatCode="General">
                  <c:v>14147.232834402927</c:v>
                </c:pt>
                <c:pt idx="294" formatCode="General">
                  <c:v>10926.641999821983</c:v>
                </c:pt>
                <c:pt idx="295" formatCode="General">
                  <c:v>7773.0570673342718</c:v>
                </c:pt>
                <c:pt idx="296" formatCode="General">
                  <c:v>4797.8578715012018</c:v>
                </c:pt>
                <c:pt idx="297" formatCode="General">
                  <c:v>2029.4191830678121</c:v>
                </c:pt>
                <c:pt idx="298" formatCode="General">
                  <c:v>-570.29991048901525</c:v>
                </c:pt>
                <c:pt idx="299" formatCode="General">
                  <c:v>-3057.185484231542</c:v>
                </c:pt>
                <c:pt idx="300" formatCode="General">
                  <c:v>-5477.2334645733899</c:v>
                </c:pt>
                <c:pt idx="301" formatCode="General">
                  <c:v>-7857.9912098113919</c:v>
                </c:pt>
                <c:pt idx="302" formatCode="General">
                  <c:v>-10209.456845338374</c:v>
                </c:pt>
                <c:pt idx="303" formatCode="General">
                  <c:v>-12529.849266530127</c:v>
                </c:pt>
                <c:pt idx="304" formatCode="General">
                  <c:v>-14812.31949818855</c:v>
                </c:pt>
                <c:pt idx="305" formatCode="General">
                  <c:v>-17049.650880601039</c:v>
                </c:pt>
                <c:pt idx="306" formatCode="General">
                  <c:v>-19236.356860319593</c:v>
                </c:pt>
                <c:pt idx="307" formatCode="General">
                  <c:v>-21369.06640733319</c:v>
                </c:pt>
                <c:pt idx="308" formatCode="General">
                  <c:v>-23446.182401839265</c:v>
                </c:pt>
                <c:pt idx="309" formatCode="General">
                  <c:v>-25467.380314076156</c:v>
                </c:pt>
                <c:pt idx="310" formatCode="General">
                  <c:v>-27433.169758361746</c:v>
                </c:pt>
                <c:pt idx="311" formatCode="General">
                  <c:v>-29344.569860488326</c:v>
                </c:pt>
                <c:pt idx="312" formatCode="General">
                  <c:v>-31202.886975430851</c:v>
                </c:pt>
                <c:pt idx="313" formatCode="General">
                  <c:v>-33009.56900625753</c:v>
                </c:pt>
                <c:pt idx="314" formatCode="General">
                  <c:v>-34766.11272953132</c:v>
                </c:pt>
                <c:pt idx="315" formatCode="General">
                  <c:v>-36474.006402609062</c:v>
                </c:pt>
                <c:pt idx="316" formatCode="General">
                  <c:v>-38134.695366687592</c:v>
                </c:pt>
                <c:pt idx="317" formatCode="General">
                  <c:v>-39749.562445127507</c:v>
                </c:pt>
                <c:pt idx="318" formatCode="General">
                  <c:v>-41319.917763614576</c:v>
                </c:pt>
                <c:pt idx="319" formatCode="General">
                  <c:v>-42846.994502258145</c:v>
                </c:pt>
                <c:pt idx="320" formatCode="General">
                  <c:v>-44331.948322632627</c:v>
                </c:pt>
                <c:pt idx="321" formatCode="General">
                  <c:v>-45775.859013743386</c:v>
                </c:pt>
                <c:pt idx="322" formatCode="General">
                  <c:v>-47179.733420127151</c:v>
                </c:pt>
                <c:pt idx="323" formatCode="General">
                  <c:v>-48544.509052045665</c:v>
                </c:pt>
                <c:pt idx="324" formatCode="General">
                  <c:v>-49871.057996461124</c:v>
                </c:pt>
                <c:pt idx="325" formatCode="General">
                  <c:v>-51160.190889758953</c:v>
                </c:pt>
                <c:pt idx="326" formatCode="General">
                  <c:v>-52412.660805774671</c:v>
                </c:pt>
                <c:pt idx="327" formatCode="General">
                  <c:v>-53629.166972861829</c:v>
                </c:pt>
                <c:pt idx="328" formatCode="General">
                  <c:v>-54810.358272696649</c:v>
                </c:pt>
                <c:pt idx="329" formatCode="General">
                  <c:v>-55956.836498536519</c:v>
                </c:pt>
                <c:pt idx="330" formatCode="General">
                  <c:v>-57069.159366498607</c:v>
                </c:pt>
                <c:pt idx="331" formatCode="General">
                  <c:v>-58147.843283233742</c:v>
                </c:pt>
                <c:pt idx="332" formatCode="General">
                  <c:v>-59193.365879208366</c:v>
                </c:pt>
                <c:pt idx="333" formatCode="General">
                  <c:v>-60206.168320044213</c:v>
                </c:pt>
                <c:pt idx="334" formatCode="General">
                  <c:v>-61186.657409912754</c:v>
                </c:pt>
                <c:pt idx="335" formatCode="General">
                  <c:v>-62135.20750144546</c:v>
                </c:pt>
                <c:pt idx="336" formatCode="General">
                  <c:v>-63052.162226405257</c:v>
                </c:pt>
                <c:pt idx="337" formatCode="General">
                  <c:v>-63937.836060736481</c:v>
                </c:pt>
                <c:pt idx="338" formatCode="General">
                  <c:v>-64792.515736747388</c:v>
                </c:pt>
                <c:pt idx="339" formatCode="General">
                  <c:v>-65616.461514195966</c:v>
                </c:pt>
                <c:pt idx="340" formatCode="General">
                  <c:v>-66409.908321021416</c:v>
                </c:pt>
                <c:pt idx="341" formatCode="General">
                  <c:v>-67173.066773436411</c:v>
                </c:pt>
                <c:pt idx="342" formatCode="General">
                  <c:v>-67906.124084098134</c:v>
                </c:pt>
                <c:pt idx="343" formatCode="General">
                  <c:v>-68609.244866123947</c:v>
                </c:pt>
                <c:pt idx="344" formatCode="General">
                  <c:v>-69282.571839819022</c:v>
                </c:pt>
                <c:pt idx="345" formatCode="General">
                  <c:v>-69926.226448139772</c:v>
                </c:pt>
                <c:pt idx="346" formatCode="General">
                  <c:v>-70540.309386127614</c:v>
                </c:pt>
                <c:pt idx="347" formatCode="General">
                  <c:v>-71124.90104880881</c:v>
                </c:pt>
                <c:pt idx="348" formatCode="General">
                  <c:v>-71680.061901362715</c:v>
                </c:pt>
                <c:pt idx="349" formatCode="General">
                  <c:v>-72205.832774707567</c:v>
                </c:pt>
                <c:pt idx="350" formatCode="General">
                  <c:v>-72702.235089033318</c:v>
                </c:pt>
                <c:pt idx="351" formatCode="General">
                  <c:v>-73169.271007218646</c:v>
                </c:pt>
                <c:pt idx="352" formatCode="General">
                  <c:v>-73606.923519497359</c:v>
                </c:pt>
                <c:pt idx="353" formatCode="General">
                  <c:v>-74015.156460181795</c:v>
                </c:pt>
                <c:pt idx="354" formatCode="General">
                  <c:v>-74393.914456700091</c:v>
                </c:pt>
                <c:pt idx="355" formatCode="General">
                  <c:v>-74743.122810652989</c:v>
                </c:pt>
                <c:pt idx="356" formatCode="General">
                  <c:v>-75062.687310038498</c:v>
                </c:pt>
                <c:pt idx="357" formatCode="General">
                  <c:v>-75352.493971218981</c:v>
                </c:pt>
                <c:pt idx="358" formatCode="General">
                  <c:v>-75612.408708609611</c:v>
                </c:pt>
                <c:pt idx="359" formatCode="General">
                  <c:v>-75842.27692943874</c:v>
                </c:pt>
                <c:pt idx="360" formatCode="General">
                  <c:v>-76041.923050260855</c:v>
                </c:pt>
                <c:pt idx="361" formatCode="General">
                  <c:v>-76211.149931180727</c:v>
                </c:pt>
                <c:pt idx="362" formatCode="General">
                  <c:v>-76349.738222959975</c:v>
                </c:pt>
                <c:pt idx="363" formatCode="General">
                  <c:v>-76457.445621312479</c:v>
                </c:pt>
                <c:pt idx="364" formatCode="General">
                  <c:v>-76534.006021734953</c:v>
                </c:pt>
                <c:pt idx="365" formatCode="General">
                  <c:v>-76579.128567147025</c:v>
                </c:pt>
                <c:pt idx="366" formatCode="General">
                  <c:v>-76592.496579408631</c:v>
                </c:pt>
                <c:pt idx="367" formatCode="General">
                  <c:v>-76573.766364416952</c:v>
                </c:pt>
                <c:pt idx="368" formatCode="General">
                  <c:v>-76522.565878930312</c:v>
                </c:pt>
                <c:pt idx="369" formatCode="General">
                  <c:v>-76438.493245487567</c:v>
                </c:pt>
                <c:pt idx="370" formatCode="General">
                  <c:v>-76321.11509974541</c:v>
                </c:pt>
                <c:pt idx="371" formatCode="General">
                  <c:v>-76169.96475219306</c:v>
                </c:pt>
                <c:pt idx="372" formatCode="General">
                  <c:v>-75984.540143462262</c:v>
                </c:pt>
                <c:pt idx="373" formatCode="General">
                  <c:v>-75764.301569256713</c:v>
                </c:pt>
                <c:pt idx="374" formatCode="General">
                  <c:v>-75508.669147188819</c:v>
                </c:pt>
                <c:pt idx="375" formatCode="General">
                  <c:v>-75217.019993424386</c:v>
                </c:pt>
                <c:pt idx="376" formatCode="General">
                  <c:v>-74888.685071861735</c:v>
                </c:pt>
                <c:pt idx="377" formatCode="General">
                  <c:v>-74522.945672446614</c:v>
                </c:pt>
                <c:pt idx="378" formatCode="General">
                  <c:v>-74119.029467943517</c:v>
                </c:pt>
                <c:pt idx="379" formatCode="General">
                  <c:v>-73676.106089793728</c:v>
                </c:pt>
                <c:pt idx="380" formatCode="General">
                  <c:v>-73193.282153275242</c:v>
                </c:pt>
                <c:pt idx="381" formatCode="General">
                  <c:v>-72669.59564964399</c:v>
                </c:pt>
                <c:pt idx="382" formatCode="General">
                  <c:v>-72104.009607782602</c:v>
                </c:pt>
                <c:pt idx="383" formatCode="General">
                  <c:v>-71495.404909485835</c:v>
                </c:pt>
                <c:pt idx="384" formatCode="General">
                  <c:v>-70842.57212007638</c:v>
                </c:pt>
                <c:pt idx="385" formatCode="General">
                  <c:v>-70144.202168561489</c:v>
                </c:pt>
                <c:pt idx="386" formatCode="General">
                  <c:v>-69398.875677721822</c:v>
                </c:pt>
                <c:pt idx="387" formatCode="General">
                  <c:v>-68605.050702721535</c:v>
                </c:pt>
                <c:pt idx="388" formatCode="General">
                  <c:v>-67761.048584928998</c:v>
                </c:pt>
                <c:pt idx="389" formatCode="General">
                  <c:v>-66865.037562931699</c:v>
                </c:pt>
                <c:pt idx="390" formatCode="General">
                  <c:v>-65915.013701738164</c:v>
                </c:pt>
                <c:pt idx="391" formatCode="General">
                  <c:v>-64908.778599443765</c:v>
                </c:pt>
                <c:pt idx="392" formatCode="General">
                  <c:v>-63843.913202558411</c:v>
                </c:pt>
                <c:pt idx="393" formatCode="General">
                  <c:v>-62717.746899703139</c:v>
                </c:pt>
                <c:pt idx="394" formatCode="General">
                  <c:v>-61527.320859872416</c:v>
                </c:pt>
                <c:pt idx="395" formatCode="General">
                  <c:v>-60269.344325901402</c:v>
                </c:pt>
                <c:pt idx="396" formatCode="General">
                  <c:v>-58940.142255514249</c:v>
                </c:pt>
                <c:pt idx="397" formatCode="General">
                  <c:v>-57535.592312385408</c:v>
                </c:pt>
                <c:pt idx="398" formatCode="General">
                  <c:v>-56051.048746309694</c:v>
                </c:pt>
                <c:pt idx="399" formatCode="General">
                  <c:v>-54481.250182854121</c:v>
                </c:pt>
                <c:pt idx="400" formatCode="General">
                  <c:v>-52820.207833101071</c:v>
                </c:pt>
                <c:pt idx="401" formatCode="General">
                  <c:v>-51061.070299259278</c:v>
                </c:pt>
                <c:pt idx="402" formatCode="General">
                  <c:v>-49195.961371454454</c:v>
                </c:pt>
                <c:pt idx="403" formatCode="General">
                  <c:v>-47215.788796323075</c:v>
                </c:pt>
                <c:pt idx="404" formatCode="General">
                  <c:v>-45110.026594116956</c:v>
                </c:pt>
                <c:pt idx="405" formatCode="General">
                  <c:v>-42866.484233267853</c:v>
                </c:pt>
                <c:pt idx="406" formatCode="General">
                  <c:v>-40471.098139568901</c:v>
                </c:pt>
                <c:pt idx="407" formatCode="General">
                  <c:v>-37907.821403363298</c:v>
                </c:pt>
                <c:pt idx="408" formatCode="General">
                  <c:v>-35158.746670247594</c:v>
                </c:pt>
                <c:pt idx="409" formatCode="General">
                  <c:v>-32204.638554770761</c:v>
                </c:pt>
                <c:pt idx="410" formatCode="General">
                  <c:v>-29025.924301673844</c:v>
                </c:pt>
                <c:pt idx="411" formatCode="General">
                  <c:v>-25603.551531509838</c:v>
                </c:pt>
                <c:pt idx="412" formatCode="General">
                  <c:v>-21917.732294411591</c:v>
                </c:pt>
                <c:pt idx="413" formatCode="General">
                  <c:v>-17941.579979329868</c:v>
                </c:pt>
                <c:pt idx="414" formatCode="General">
                  <c:v>-13629.665781579599</c:v>
                </c:pt>
                <c:pt idx="415" formatCode="General">
                  <c:v>-8915.9371343537805</c:v>
                </c:pt>
                <c:pt idx="416" formatCode="General">
                  <c:v>-3787.6818650226719</c:v>
                </c:pt>
                <c:pt idx="417" formatCode="General">
                  <c:v>1494.3199314254055</c:v>
                </c:pt>
                <c:pt idx="418" formatCode="General">
                  <c:v>6517.3386449958189</c:v>
                </c:pt>
                <c:pt idx="419" formatCode="General">
                  <c:v>11137.282827633835</c:v>
                </c:pt>
                <c:pt idx="420" formatCode="General">
                  <c:v>15437.343842396458</c:v>
                </c:pt>
                <c:pt idx="421" formatCode="General">
                  <c:v>19498.771696221396</c:v>
                </c:pt>
                <c:pt idx="422" formatCode="General">
                  <c:v>23368.08985787155</c:v>
                </c:pt>
                <c:pt idx="423" formatCode="General">
                  <c:v>27070.929473583899</c:v>
                </c:pt>
                <c:pt idx="424" formatCode="General">
                  <c:v>30622.938837405065</c:v>
                </c:pt>
                <c:pt idx="425" formatCode="General">
                  <c:v>34035.341562664617</c:v>
                </c:pt>
                <c:pt idx="426" formatCode="General">
                  <c:v>37317.395086717319</c:v>
                </c:pt>
                <c:pt idx="427" formatCode="General">
                  <c:v>40477.368539952447</c:v>
                </c:pt>
                <c:pt idx="428" formatCode="General">
                  <c:v>43522.887570361621</c:v>
                </c:pt>
                <c:pt idx="429" formatCode="General">
                  <c:v>46461.037663473166</c:v>
                </c:pt>
                <c:pt idx="430" formatCode="General">
                  <c:v>49298.390514583669</c:v>
                </c:pt>
                <c:pt idx="431" formatCode="General">
                  <c:v>52041.015515036415</c:v>
                </c:pt>
                <c:pt idx="432" formatCode="General">
                  <c:v>54694.495761769176</c:v>
                </c:pt>
                <c:pt idx="433" formatCode="General">
                  <c:v>57263.951897373772</c:v>
                </c:pt>
                <c:pt idx="434" formatCode="General">
                  <c:v>59754.071967997632</c:v>
                </c:pt>
                <c:pt idx="435" formatCode="General">
                  <c:v>62169.144537129192</c:v>
                </c:pt>
                <c:pt idx="436" formatCode="General">
                  <c:v>64513.092707214848</c:v>
                </c:pt>
                <c:pt idx="437" formatCode="General">
                  <c:v>66789.507403597614</c:v>
                </c:pt>
                <c:pt idx="438" formatCode="General">
                  <c:v>69001.67890490088</c:v>
                </c:pt>
                <c:pt idx="439" formatCode="General">
                  <c:v>71152.626074383836</c:v>
                </c:pt>
                <c:pt idx="440" formatCode="General">
                  <c:v>73245.123066789354</c:v>
                </c:pt>
                <c:pt idx="441" formatCode="General">
                  <c:v>75281.723488649353</c:v>
                </c:pt>
                <c:pt idx="442" formatCode="General">
                  <c:v>77264.782110966946</c:v>
                </c:pt>
                <c:pt idx="443" formatCode="General">
                  <c:v>79196.474298870206</c:v>
                </c:pt>
                <c:pt idx="444" formatCode="General">
                  <c:v>81078.813352956859</c:v>
                </c:pt>
                <c:pt idx="445" formatCode="General">
                  <c:v>82913.665965190608</c:v>
                </c:pt>
                <c:pt idx="446" formatCode="General">
                  <c:v>84702.765987382241</c:v>
                </c:pt>
                <c:pt idx="447" formatCode="General">
                  <c:v>86447.726698322294</c:v>
                </c:pt>
                <c:pt idx="448" formatCode="General">
                  <c:v>88150.051740203809</c:v>
                </c:pt>
                <c:pt idx="449" formatCode="General">
                  <c:v>89811.144878341001</c:v>
                </c:pt>
                <c:pt idx="450" formatCode="General">
                  <c:v>91432.318721683783</c:v>
                </c:pt>
                <c:pt idx="451" formatCode="General">
                  <c:v>93014.802525993247</c:v>
                </c:pt>
                <c:pt idx="452" formatCode="General">
                  <c:v>94559.749187153415</c:v>
                </c:pt>
                <c:pt idx="453" formatCode="General">
                  <c:v>96068.241519098287</c:v>
                </c:pt>
                <c:pt idx="454" formatCode="General">
                  <c:v>97541.297899242549</c:v>
                </c:pt>
                <c:pt idx="455" formatCode="General">
                  <c:v>98979.877354058845</c:v>
                </c:pt>
                <c:pt idx="456" formatCode="General">
                  <c:v>100384.88414844016</c:v>
                </c:pt>
                <c:pt idx="457" formatCode="General">
                  <c:v>101757.17193460633</c:v>
                </c:pt>
                <c:pt idx="458" formatCode="General">
                  <c:v>103097.54750943556</c:v>
                </c:pt>
                <c:pt idx="459" formatCode="General">
                  <c:v>104406.77422310803</c:v>
                </c:pt>
                <c:pt idx="460" formatCode="General">
                  <c:v>105685.57507673001</c:v>
                </c:pt>
                <c:pt idx="461" formatCode="General">
                  <c:v>106934.635542064</c:v>
                </c:pt>
                <c:pt idx="462" formatCode="General">
                  <c:v>108154.60613253601</c:v>
                </c:pt>
                <c:pt idx="463" formatCode="General">
                  <c:v>109346.10475124489</c:v>
                </c:pt>
                <c:pt idx="464" formatCode="General">
                  <c:v>110509.71883869644</c:v>
                </c:pt>
                <c:pt idx="465" formatCode="General">
                  <c:v>111646.00734036276</c:v>
                </c:pt>
                <c:pt idx="466" formatCode="General">
                  <c:v>112755.50251187805</c:v>
                </c:pt>
                <c:pt idx="467" formatCode="General">
                  <c:v>113838.71157767814</c:v>
                </c:pt>
                <c:pt idx="468" formatCode="General">
                  <c:v>114896.11825713651</c:v>
                </c:pt>
                <c:pt idx="469" formatCode="General">
                  <c:v>115928.18417070899</c:v>
                </c:pt>
                <c:pt idx="470" formatCode="General">
                  <c:v>116935.35013724738</c:v>
                </c:pt>
                <c:pt idx="471" formatCode="General">
                  <c:v>117918.03737245071</c:v>
                </c:pt>
                <c:pt idx="472" formatCode="General">
                  <c:v>118876.64859737424</c:v>
                </c:pt>
                <c:pt idx="473" formatCode="General">
                  <c:v>119811.5690649896</c:v>
                </c:pt>
                <c:pt idx="474" formatCode="General">
                  <c:v>120723.16751197071</c:v>
                </c:pt>
                <c:pt idx="475" formatCode="General">
                  <c:v>121611.79704215443</c:v>
                </c:pt>
                <c:pt idx="476" formatCode="General">
                  <c:v>122477.79594748233</c:v>
                </c:pt>
                <c:pt idx="477" formatCode="General">
                  <c:v>123321.48847165762</c:v>
                </c:pt>
                <c:pt idx="478" formatCode="General">
                  <c:v>124143.18552124375</c:v>
                </c:pt>
                <c:pt idx="479" formatCode="General">
                  <c:v>124943.18532847756</c:v>
                </c:pt>
                <c:pt idx="480" formatCode="General">
                  <c:v>125721.77406966567</c:v>
                </c:pt>
                <c:pt idx="481" formatCode="General">
                  <c:v>126479.2264426719</c:v>
                </c:pt>
                <c:pt idx="482" formatCode="General">
                  <c:v>127215.80620667941</c:v>
                </c:pt>
                <c:pt idx="483" formatCode="General">
                  <c:v>127931.76668712198</c:v>
                </c:pt>
                <c:pt idx="484" formatCode="General">
                  <c:v>128627.35124841843</c:v>
                </c:pt>
                <c:pt idx="485" formatCode="General">
                  <c:v>129302.79373690995</c:v>
                </c:pt>
                <c:pt idx="486" formatCode="General">
                  <c:v>129958.31889619028</c:v>
                </c:pt>
                <c:pt idx="487" formatCode="General">
                  <c:v>130594.14275682818</c:v>
                </c:pt>
                <c:pt idx="488" formatCode="General">
                  <c:v>131210.47300231096</c:v>
                </c:pt>
                <c:pt idx="489" formatCode="General">
                  <c:v>131807.50931288264</c:v>
                </c:pt>
                <c:pt idx="490" formatCode="General">
                  <c:v>132385.44368881031</c:v>
                </c:pt>
                <c:pt idx="491" formatCode="General">
                  <c:v>132944.46075448583</c:v>
                </c:pt>
                <c:pt idx="492" formatCode="General">
                  <c:v>133484.73804465387</c:v>
                </c:pt>
                <c:pt idx="493" formatCode="General">
                  <c:v>134006.44627395403</c:v>
                </c:pt>
                <c:pt idx="494" formatCode="General">
                  <c:v>134509.74959086833</c:v>
                </c:pt>
                <c:pt idx="495" formatCode="General">
                  <c:v>134994.80581707988</c:v>
                </c:pt>
                <c:pt idx="496" formatCode="General">
                  <c:v>135461.76667316892</c:v>
                </c:pt>
                <c:pt idx="497" formatCode="General">
                  <c:v>135910.77799150054</c:v>
                </c:pt>
                <c:pt idx="498" formatCode="General">
                  <c:v>136341.9799170928</c:v>
                </c:pt>
                <c:pt idx="499" formatCode="General">
                  <c:v>136755.50709719324</c:v>
                </c:pt>
                <c:pt idx="500" formatCode="General">
                  <c:v>137151.48886023712</c:v>
                </c:pt>
                <c:pt idx="501" formatCode="General">
                  <c:v>137530.0493848098</c:v>
                </c:pt>
                <c:pt idx="502" formatCode="General">
                  <c:v>137891.3078591894</c:v>
                </c:pt>
                <c:pt idx="503" formatCode="General">
                  <c:v>138235.37863200309</c:v>
                </c:pt>
                <c:pt idx="504" formatCode="General">
                  <c:v>138562.37135449116</c:v>
                </c:pt>
                <c:pt idx="505" formatCode="General">
                  <c:v>138872.39111483676</c:v>
                </c:pt>
                <c:pt idx="506" formatCode="General">
                  <c:v>139165.53856498617</c:v>
                </c:pt>
                <c:pt idx="507" formatCode="General">
                  <c:v>139441.91004035273</c:v>
                </c:pt>
                <c:pt idx="508" formatCode="General">
                  <c:v>139701.59767277035</c:v>
                </c:pt>
                <c:pt idx="509" formatCode="General">
                  <c:v>139944.68949703517</c:v>
                </c:pt>
                <c:pt idx="510" formatCode="General">
                  <c:v>140171.2695513496</c:v>
                </c:pt>
                <c:pt idx="511" formatCode="General">
                  <c:v>140381.41797196082</c:v>
                </c:pt>
                <c:pt idx="512" formatCode="General">
                  <c:v>140575.21108226414</c:v>
                </c:pt>
                <c:pt idx="513" formatCode="General">
                  <c:v>140752.72147662219</c:v>
                </c:pt>
                <c:pt idx="514" formatCode="General">
                  <c:v>140914.01809913255</c:v>
                </c:pt>
                <c:pt idx="515" formatCode="General">
                  <c:v>141059.16631755966</c:v>
                </c:pt>
                <c:pt idx="516" formatCode="General">
                  <c:v>141188.22799263007</c:v>
                </c:pt>
                <c:pt idx="517" formatCode="General">
                  <c:v>141301.26154287611</c:v>
                </c:pt>
                <c:pt idx="518" formatCode="General">
                  <c:v>141398.32200519813</c:v>
                </c:pt>
                <c:pt idx="519" formatCode="General">
                  <c:v>141479.46109130286</c:v>
                </c:pt>
                <c:pt idx="520" formatCode="General">
                  <c:v>141544.72724016232</c:v>
                </c:pt>
                <c:pt idx="521" formatCode="General">
                  <c:v>141594.16566662688</c:v>
                </c:pt>
                <c:pt idx="522" formatCode="General">
                  <c:v>141627.81840631383</c:v>
                </c:pt>
                <c:pt idx="523" formatCode="General">
                  <c:v>141645.72435688306</c:v>
                </c:pt>
                <c:pt idx="524" formatCode="General">
                  <c:v>141647.919315801</c:v>
                </c:pt>
                <c:pt idx="525" formatCode="General">
                  <c:v>141634.43601468467</c:v>
                </c:pt>
                <c:pt idx="526" formatCode="General">
                  <c:v>141605.30415030778</c:v>
                </c:pt>
                <c:pt idx="527" formatCode="General">
                  <c:v>141560.55041234306</c:v>
                </c:pt>
                <c:pt idx="528" formatCode="General">
                  <c:v>141500.19850790562</c:v>
                </c:pt>
                <c:pt idx="529" formatCode="General">
                  <c:v>141424.26918295433</c:v>
                </c:pt>
                <c:pt idx="530" formatCode="General">
                  <c:v>141332.78024060011</c:v>
                </c:pt>
                <c:pt idx="531" formatCode="General">
                  <c:v>141225.74655636225</c:v>
                </c:pt>
                <c:pt idx="532" formatCode="General">
                  <c:v>141103.18009040647</c:v>
                </c:pt>
                <c:pt idx="533" formatCode="General">
                  <c:v>140965.0898967906</c:v>
                </c:pt>
                <c:pt idx="534" formatCode="General">
                  <c:v>140811.4821297368</c:v>
                </c:pt>
                <c:pt idx="535" formatCode="General">
                  <c:v>140642.36004694187</c:v>
                </c:pt>
                <c:pt idx="536" formatCode="General">
                  <c:v>140457.72400992954</c:v>
                </c:pt>
                <c:pt idx="537" formatCode="General">
                  <c:v>140257.57148144225</c:v>
                </c:pt>
                <c:pt idx="538" formatCode="General">
                  <c:v>140041.89701986164</c:v>
                </c:pt>
                <c:pt idx="539" formatCode="General">
                  <c:v>139810.69227064072</c:v>
                </c:pt>
                <c:pt idx="540" formatCode="General">
                  <c:v>139563.94595472238</c:v>
                </c:pt>
                <c:pt idx="541" formatCode="General">
                  <c:v>139301.64385391204</c:v>
                </c:pt>
                <c:pt idx="542" formatCode="General">
                  <c:v>139023.76879316391</c:v>
                </c:pt>
                <c:pt idx="543" formatCode="General">
                  <c:v>138730.3006197334</c:v>
                </c:pt>
                <c:pt idx="544" formatCode="General">
                  <c:v>138421.21617913916</c:v>
                </c:pt>
                <c:pt idx="545" formatCode="General">
                  <c:v>138096.4892878703</c:v>
                </c:pt>
                <c:pt idx="546" formatCode="General">
                  <c:v>137756.0907027658</c:v>
                </c:pt>
                <c:pt idx="547" formatCode="General">
                  <c:v>137399.988086984</c:v>
                </c:pt>
                <c:pt idx="548" formatCode="General">
                  <c:v>137028.14597247014</c:v>
                </c:pt>
                <c:pt idx="549" formatCode="General">
                  <c:v>136640.52571882121</c:v>
                </c:pt>
                <c:pt idx="550" formatCode="General">
                  <c:v>136237.08546843557</c:v>
                </c:pt>
                <c:pt idx="551" formatCode="General">
                  <c:v>135817.78009782522</c:v>
                </c:pt>
                <c:pt idx="552" formatCode="General">
                  <c:v>135382.56116495625</c:v>
                </c:pt>
                <c:pt idx="553" formatCode="General">
                  <c:v>134931.37685247083</c:v>
                </c:pt>
                <c:pt idx="554" formatCode="General">
                  <c:v>134464.17190663196</c:v>
                </c:pt>
                <c:pt idx="555" formatCode="General">
                  <c:v>133980.88757181738</c:v>
                </c:pt>
                <c:pt idx="556" formatCode="General">
                  <c:v>133481.46152037487</c:v>
                </c:pt>
                <c:pt idx="557" formatCode="General">
                  <c:v>132965.82777763598</c:v>
                </c:pt>
                <c:pt idx="558" formatCode="General">
                  <c:v>132433.91664186746</c:v>
                </c:pt>
                <c:pt idx="559" formatCode="General">
                  <c:v>131885.6545989227</c:v>
                </c:pt>
                <c:pt idx="560" formatCode="General">
                  <c:v>131320.96423133559</c:v>
                </c:pt>
                <c:pt idx="561" formatCode="General">
                  <c:v>130739.76412157869</c:v>
                </c:pt>
                <c:pt idx="562" formatCode="General">
                  <c:v>130141.96874918554</c:v>
                </c:pt>
                <c:pt idx="563" formatCode="General">
                  <c:v>129527.48838141255</c:v>
                </c:pt>
                <c:pt idx="564" formatCode="General">
                  <c:v>128896.22895709006</c:v>
                </c:pt>
                <c:pt idx="565" formatCode="General">
                  <c:v>128248.09196328424</c:v>
                </c:pt>
                <c:pt idx="566" formatCode="General">
                  <c:v>127582.97430436091</c:v>
                </c:pt>
                <c:pt idx="567" formatCode="General">
                  <c:v>126900.76816300952</c:v>
                </c:pt>
                <c:pt idx="568" formatCode="General">
                  <c:v>126201.36085274977</c:v>
                </c:pt>
                <c:pt idx="569" formatCode="General">
                  <c:v>125484.63466140439</c:v>
                </c:pt>
                <c:pt idx="570" formatCode="General">
                  <c:v>124750.46668497946</c:v>
                </c:pt>
                <c:pt idx="571" formatCode="General">
                  <c:v>123998.7286513475</c:v>
                </c:pt>
                <c:pt idx="572" formatCode="General">
                  <c:v>123229.28673307816</c:v>
                </c:pt>
                <c:pt idx="573" formatCode="General">
                  <c:v>122442.00134870701</c:v>
                </c:pt>
                <c:pt idx="574" formatCode="General">
                  <c:v>121636.72695167222</c:v>
                </c:pt>
                <c:pt idx="575" formatCode="General">
                  <c:v>120813.31180608388</c:v>
                </c:pt>
                <c:pt idx="576" formatCode="General">
                  <c:v>119971.59774841867</c:v>
                </c:pt>
                <c:pt idx="577" formatCode="General">
                  <c:v>119111.41993415347</c:v>
                </c:pt>
                <c:pt idx="578" formatCode="General">
                  <c:v>118232.60656826526</c:v>
                </c:pt>
                <c:pt idx="579" formatCode="General">
                  <c:v>117334.97861842917</c:v>
                </c:pt>
                <c:pt idx="580" formatCode="General">
                  <c:v>116418.34950964204</c:v>
                </c:pt>
                <c:pt idx="581" formatCode="General">
                  <c:v>115482.52479888289</c:v>
                </c:pt>
                <c:pt idx="582" formatCode="General">
                  <c:v>114527.30182829518</c:v>
                </c:pt>
                <c:pt idx="583" formatCode="General">
                  <c:v>113552.46935523412</c:v>
                </c:pt>
                <c:pt idx="584" formatCode="General">
                  <c:v>112557.80715736758</c:v>
                </c:pt>
                <c:pt idx="585" formatCode="General">
                  <c:v>111543.08561084686</c:v>
                </c:pt>
                <c:pt idx="586" formatCode="General">
                  <c:v>110508.06523937271</c:v>
                </c:pt>
                <c:pt idx="587" formatCode="General">
                  <c:v>109452.49623177089</c:v>
                </c:pt>
                <c:pt idx="588" formatCode="General">
                  <c:v>108376.11792545678</c:v>
                </c:pt>
                <c:pt idx="589" formatCode="General">
                  <c:v>107278.65825290733</c:v>
                </c:pt>
                <c:pt idx="590" formatCode="General">
                  <c:v>106159.83314796898</c:v>
                </c:pt>
                <c:pt idx="591" formatCode="General">
                  <c:v>105019.34590850644</c:v>
                </c:pt>
                <c:pt idx="592" formatCode="General">
                  <c:v>103856.88651153767</c:v>
                </c:pt>
                <c:pt idx="593" formatCode="General">
                  <c:v>102672.13087659824</c:v>
                </c:pt>
                <c:pt idx="594" formatCode="General">
                  <c:v>101464.74007263048</c:v>
                </c:pt>
                <c:pt idx="595" formatCode="General">
                  <c:v>100234.35946319181</c:v>
                </c:pt>
                <c:pt idx="596" formatCode="General">
                  <c:v>98980.617784218062</c:v>
                </c:pt>
                <c:pt idx="597" formatCode="General">
                  <c:v>97703.126147952498</c:v>
                </c:pt>
                <c:pt idx="598" formatCode="General">
                  <c:v>96401.476965953538</c:v>
                </c:pt>
                <c:pt idx="599" formatCode="General">
                  <c:v>95075.242783314825</c:v>
                </c:pt>
                <c:pt idx="600" formatCode="General">
                  <c:v>93723.975015361386</c:v>
                </c:pt>
                <c:pt idx="601" formatCode="General">
                  <c:v>92347.20257711655</c:v>
                </c:pt>
                <c:pt idx="602" formatCode="General">
                  <c:v>90944.430394756317</c:v>
                </c:pt>
                <c:pt idx="603" formatCode="General">
                  <c:v>89515.137787071682</c:v>
                </c:pt>
                <c:pt idx="604" formatCode="General">
                  <c:v>88058.776703639363</c:v>
                </c:pt>
                <c:pt idx="605" formatCode="General">
                  <c:v>86574.769804949581</c:v>
                </c:pt>
                <c:pt idx="606" formatCode="General">
                  <c:v>85062.508368158451</c:v>
                </c:pt>
                <c:pt idx="607" formatCode="General">
                  <c:v>83521.350000426901</c:v>
                </c:pt>
                <c:pt idx="608" formatCode="General">
                  <c:v>81950.616139997714</c:v>
                </c:pt>
                <c:pt idx="609" formatCode="General">
                  <c:v>80349.589323284512</c:v>
                </c:pt>
                <c:pt idx="610" formatCode="General">
                  <c:v>78717.510194366128</c:v>
                </c:pt>
                <c:pt idx="611" formatCode="General">
                  <c:v>77053.57423150618</c:v>
                </c:pt>
                <c:pt idx="612" formatCode="General">
                  <c:v>75356.928163824239</c:v>
                </c:pt>
                <c:pt idx="613" formatCode="General">
                  <c:v>73626.666050303218</c:v>
                </c:pt>
                <c:pt idx="614" formatCode="General">
                  <c:v>71861.824993347502</c:v>
                </c:pt>
                <c:pt idx="615" formatCode="General">
                  <c:v>70061.380460751359</c:v>
                </c:pt>
                <c:pt idx="616" formatCode="General">
                  <c:v>68224.241194176837</c:v>
                </c:pt>
                <c:pt idx="617" formatCode="General">
                  <c:v>66349.243690569798</c:v>
                </c:pt>
                <c:pt idx="618" formatCode="General">
                  <c:v>64435.146257637789</c:v>
                </c:pt>
                <c:pt idx="619" formatCode="General">
                  <c:v>62480.622669053002</c:v>
                </c:pt>
                <c:pt idx="620" formatCode="General">
                  <c:v>60484.255484763809</c:v>
                </c:pt>
                <c:pt idx="621" formatCode="General">
                  <c:v>58444.529164923515</c:v>
                </c:pt>
                <c:pt idx="622" formatCode="General">
                  <c:v>56359.823205231536</c:v>
                </c:pt>
                <c:pt idx="623" formatCode="General">
                  <c:v>54228.405676845323</c:v>
                </c:pt>
                <c:pt idx="624" formatCode="General">
                  <c:v>52048.427796783959</c:v>
                </c:pt>
                <c:pt idx="625" formatCode="General">
                  <c:v>49817.920534542769</c:v>
                </c:pt>
                <c:pt idx="626" formatCode="General">
                  <c:v>47534.794856718821</c:v>
                </c:pt>
                <c:pt idx="627" formatCode="General">
                  <c:v>45196.848151188671</c:v>
                </c:pt>
                <c:pt idx="628" formatCode="General">
                  <c:v>42801.780861602572</c:v>
                </c:pt>
                <c:pt idx="629" formatCode="General">
                  <c:v>40347.229734998953</c:v>
                </c:pt>
                <c:pt idx="630" formatCode="General">
                  <c:v>37830.827878411685</c:v>
                </c:pt>
                <c:pt idx="631" formatCode="General">
                  <c:v>35250.307892373807</c:v>
                </c:pt>
                <c:pt idx="632" formatCode="General">
                  <c:v>32603.674025078402</c:v>
                </c:pt>
                <c:pt idx="633" formatCode="General">
                  <c:v>29889.484472969714</c:v>
                </c:pt>
                <c:pt idx="634" formatCode="General">
                  <c:v>27107.307908023391</c:v>
                </c:pt>
                <c:pt idx="635" formatCode="General">
                  <c:v>24258.45019004506</c:v>
                </c:pt>
                <c:pt idx="636" formatCode="General">
                  <c:v>21347.082638314751</c:v>
                </c:pt>
                <c:pt idx="637" formatCode="General">
                  <c:v>18381.914476731454</c:v>
                </c:pt>
                <c:pt idx="638" formatCode="General">
                  <c:v>15378.452197181989</c:v>
                </c:pt>
                <c:pt idx="639" formatCode="General">
                  <c:v>12361.47623328028</c:v>
                </c:pt>
                <c:pt idx="640" formatCode="General">
                  <c:v>9366.3579971285544</c:v>
                </c:pt>
                <c:pt idx="641" formatCode="General">
                  <c:v>6436.3789257426306</c:v>
                </c:pt>
                <c:pt idx="642" formatCode="General">
                  <c:v>3613.0832049205628</c:v>
                </c:pt>
                <c:pt idx="643" formatCode="General">
                  <c:v>921.01376709525596</c:v>
                </c:pt>
                <c:pt idx="644" formatCode="General">
                  <c:v>-1644.3033883987757</c:v>
                </c:pt>
                <c:pt idx="645" formatCode="General">
                  <c:v>-4113.9242888203007</c:v>
                </c:pt>
                <c:pt idx="646" formatCode="General">
                  <c:v>-6523.5751044691697</c:v>
                </c:pt>
                <c:pt idx="647" formatCode="General">
                  <c:v>-8876.6994237424242</c:v>
                </c:pt>
                <c:pt idx="648" formatCode="General">
                  <c:v>-11104.739445447749</c:v>
                </c:pt>
                <c:pt idx="649" formatCode="General">
                  <c:v>-13046.74102935128</c:v>
                </c:pt>
                <c:pt idx="650" formatCode="General">
                  <c:v>-14524.941645850202</c:v>
                </c:pt>
                <c:pt idx="651" formatCode="General">
                  <c:v>-15500.489633323341</c:v>
                </c:pt>
                <c:pt idx="652" formatCode="General">
                  <c:v>-16080.667806319121</c:v>
                </c:pt>
                <c:pt idx="653" formatCode="General">
                  <c:v>-16392.111709441502</c:v>
                </c:pt>
                <c:pt idx="654" formatCode="General">
                  <c:v>-16522.871799258999</c:v>
                </c:pt>
                <c:pt idx="655" formatCode="General">
                  <c:v>-16527.664660970877</c:v>
                </c:pt>
                <c:pt idx="656" formatCode="General">
                  <c:v>-16440.834258197778</c:v>
                </c:pt>
                <c:pt idx="657" formatCode="General">
                  <c:v>-16284.826073730022</c:v>
                </c:pt>
                <c:pt idx="658" formatCode="General">
                  <c:v>-16074.960805531075</c:v>
                </c:pt>
                <c:pt idx="659" formatCode="General">
                  <c:v>-15822.114208753561</c:v>
                </c:pt>
                <c:pt idx="660" formatCode="General">
                  <c:v>-15534.270959061456</c:v>
                </c:pt>
                <c:pt idx="661" formatCode="General">
                  <c:v>-15217.462499324422</c:v>
                </c:pt>
                <c:pt idx="662" formatCode="General">
                  <c:v>-14876.355801542724</c:v>
                </c:pt>
                <c:pt idx="663" formatCode="General">
                  <c:v>-14514.636547402284</c:v>
                </c:pt>
                <c:pt idx="664" formatCode="General">
                  <c:v>-14135.266675071824</c:v>
                </c:pt>
                <c:pt idx="665" formatCode="General">
                  <c:v>-13740.662493104042</c:v>
                </c:pt>
                <c:pt idx="666" formatCode="General">
                  <c:v>-13332.82100569728</c:v>
                </c:pt>
                <c:pt idx="667" formatCode="General">
                  <c:v>-12913.411529388235</c:v>
                </c:pt>
                <c:pt idx="668" formatCode="General">
                  <c:v>-12483.843466803242</c:v>
                </c:pt>
                <c:pt idx="669" formatCode="General">
                  <c:v>-12045.317334994781</c:v>
                </c:pt>
                <c:pt idx="670" formatCode="General">
                  <c:v>-11598.86379683664</c:v>
                </c:pt>
                <c:pt idx="671" formatCode="General">
                  <c:v>-11145.373941976299</c:v>
                </c:pt>
                <c:pt idx="672" formatCode="General">
                  <c:v>-10685.623081041149</c:v>
                </c:pt>
                <c:pt idx="673" formatCode="General">
                  <c:v>-10220.289660001685</c:v>
                </c:pt>
                <c:pt idx="674" formatCode="General">
                  <c:v>-9749.9704541217707</c:v>
                </c:pt>
                <c:pt idx="675" formatCode="General">
                  <c:v>-9275.1928906286175</c:v>
                </c:pt>
                <c:pt idx="676" formatCode="General">
                  <c:v>-8796.4251305416892</c:v>
                </c:pt>
                <c:pt idx="677" formatCode="General">
                  <c:v>-8314.0843836488657</c:v>
                </c:pt>
                <c:pt idx="678" formatCode="General">
                  <c:v>-7828.5438171424785</c:v>
                </c:pt>
                <c:pt idx="679" formatCode="General">
                  <c:v>-7340.1383350675069</c:v>
                </c:pt>
                <c:pt idx="680" formatCode="General">
                  <c:v>-6849.169443770018</c:v>
                </c:pt>
                <c:pt idx="681" formatCode="General">
                  <c:v>-6355.9093719663551</c:v>
                </c:pt>
                <c:pt idx="682" formatCode="General">
                  <c:v>-5860.604578698164</c:v>
                </c:pt>
                <c:pt idx="683" formatCode="General">
                  <c:v>-5363.4787553390397</c:v>
                </c:pt>
                <c:pt idx="684" formatCode="General">
                  <c:v>-4864.7354068619507</c:v>
                </c:pt>
                <c:pt idx="685" formatCode="General">
                  <c:v>-4364.5600812349567</c:v>
                </c:pt>
                <c:pt idx="686" formatCode="General">
                  <c:v>-3863.1223029700045</c:v>
                </c:pt>
                <c:pt idx="687" formatCode="General">
                  <c:v>-3360.5772566823948</c:v>
                </c:pt>
                <c:pt idx="688" formatCode="General">
                  <c:v>-2857.0672584137965</c:v>
                </c:pt>
                <c:pt idx="689" formatCode="General">
                  <c:v>-2352.7230459689663</c:v>
                </c:pt>
                <c:pt idx="690" formatCode="General">
                  <c:v>-1847.664914266893</c:v>
                </c:pt>
                <c:pt idx="691" formatCode="General">
                  <c:v>-1342.0037174447295</c:v>
                </c:pt>
                <c:pt idx="692" formatCode="General">
                  <c:v>-835.84175597301657</c:v>
                </c:pt>
                <c:pt idx="693" formatCode="General">
                  <c:v>-329.27356418484487</c:v>
                </c:pt>
                <c:pt idx="694" formatCode="General">
                  <c:v>177.61338873369158</c:v>
                </c:pt>
                <c:pt idx="695" formatCode="General">
                  <c:v>684.73807319601588</c:v>
                </c:pt>
                <c:pt idx="696" formatCode="General">
                  <c:v>1192.0253396391497</c:v>
                </c:pt>
                <c:pt idx="697" formatCode="General">
                  <c:v>1699.4054168056239</c:v>
                </c:pt>
                <c:pt idx="698" formatCode="General">
                  <c:v>2206.813460908882</c:v>
                </c:pt>
                <c:pt idx="699" formatCode="General">
                  <c:v>2714.1891496677536</c:v>
                </c:pt>
                <c:pt idx="700" formatCode="General">
                  <c:v>3221.4763160072571</c:v>
                </c:pt>
                <c:pt idx="701" formatCode="General">
                  <c:v>3728.6226169117667</c:v>
                </c:pt>
                <c:pt idx="702" formatCode="General">
                  <c:v>4235.5792335030146</c:v>
                </c:pt>
                <c:pt idx="703" formatCode="General">
                  <c:v>4742.3005989163485</c:v>
                </c:pt>
                <c:pt idx="704" formatCode="General">
                  <c:v>5248.7441509778855</c:v>
                </c:pt>
                <c:pt idx="705" formatCode="General">
                  <c:v>5754.8701070540801</c:v>
                </c:pt>
                <c:pt idx="706" formatCode="General">
                  <c:v>6260.6412587631457</c:v>
                </c:pt>
                <c:pt idx="707" formatCode="General">
                  <c:v>6766.0227845125246</c:v>
                </c:pt>
                <c:pt idx="708" formatCode="General">
                  <c:v>7270.9820780646733</c:v>
                </c:pt>
                <c:pt idx="709" formatCode="General">
                  <c:v>7775.4885915402665</c:v>
                </c:pt>
                <c:pt idx="710" formatCode="General">
                  <c:v>8279.5136914480227</c:v>
                </c:pt>
                <c:pt idx="711" formatCode="General">
                  <c:v>8783.0305264875733</c:v>
                </c:pt>
                <c:pt idx="712" formatCode="General">
                  <c:v>9286.0139060093734</c:v>
                </c:pt>
                <c:pt idx="713" formatCode="General">
                  <c:v>9788.4401881362337</c:v>
                </c:pt>
                <c:pt idx="714" formatCode="General">
                  <c:v>10290.287176657041</c:v>
                </c:pt>
                <c:pt idx="715" formatCode="General">
                  <c:v>10791.534025896557</c:v>
                </c:pt>
                <c:pt idx="716" formatCode="General">
                  <c:v>11292.161152847511</c:v>
                </c:pt>
                <c:pt idx="717" formatCode="General">
                  <c:v>11792.150155923939</c:v>
                </c:pt>
                <c:pt idx="718" formatCode="General">
                  <c:v>12291.483739759216</c:v>
                </c:pt>
                <c:pt idx="719" formatCode="General">
                  <c:v>12790.145645529377</c:v>
                </c:pt>
                <c:pt idx="720" formatCode="General">
                  <c:v>13288.120586333096</c:v>
                </c:pt>
                <c:pt idx="721" formatCode="General">
                  <c:v>13785.394187205022</c:v>
                </c:pt>
                <c:pt idx="722" formatCode="General">
                  <c:v>14281.952929379393</c:v>
                </c:pt>
                <c:pt idx="723" formatCode="General">
                  <c:v>14777.784098456956</c:v>
                </c:pt>
                <c:pt idx="724" formatCode="General">
                  <c:v>15272.875736160404</c:v>
                </c:pt>
                <c:pt idx="725" formatCode="General">
                  <c:v>15767.216595392409</c:v>
                </c:pt>
                <c:pt idx="726" formatCode="General">
                  <c:v>16260.796098336255</c:v>
                </c:pt>
                <c:pt idx="727" formatCode="General">
                  <c:v>16753.604297362297</c:v>
                </c:pt>
                <c:pt idx="728" formatCode="General">
                  <c:v>17245.631838524438</c:v>
                </c:pt>
                <c:pt idx="729" formatCode="General">
                  <c:v>17736.869927449658</c:v>
                </c:pt>
                <c:pt idx="730" formatCode="General">
                  <c:v>18227.310297440672</c:v>
                </c:pt>
                <c:pt idx="731" formatCode="General">
                  <c:v>18716.945179627055</c:v>
                </c:pt>
                <c:pt idx="732" formatCode="General">
                  <c:v>19205.76727501423</c:v>
                </c:pt>
                <c:pt idx="733" formatCode="General">
                  <c:v>19693.769728292118</c:v>
                </c:pt>
                <c:pt idx="734" formatCode="General">
                  <c:v>20180.946103276794</c:v>
                </c:pt>
                <c:pt idx="735" formatCode="General">
                  <c:v>20667.290359868741</c:v>
                </c:pt>
                <c:pt idx="736" formatCode="General">
                  <c:v>21152.79683242074</c:v>
                </c:pt>
                <c:pt idx="737" formatCode="General">
                  <c:v>21637.460209416993</c:v>
                </c:pt>
                <c:pt idx="738" formatCode="General">
                  <c:v>22121.275514372843</c:v>
                </c:pt>
                <c:pt idx="739" formatCode="General">
                  <c:v>22604.238087871508</c:v>
                </c:pt>
                <c:pt idx="740" formatCode="General">
                  <c:v>23086.343570660847</c:v>
                </c:pt>
                <c:pt idx="741" formatCode="General">
                  <c:v>23567.587887738904</c:v>
                </c:pt>
                <c:pt idx="742" formatCode="General">
                  <c:v>24047.967233362549</c:v>
                </c:pt>
                <c:pt idx="743" formatCode="General">
                  <c:v>24527.478056918397</c:v>
                </c:pt>
                <c:pt idx="744" formatCode="General">
                  <c:v>25006.117049599699</c:v>
                </c:pt>
                <c:pt idx="745" formatCode="General">
                  <c:v>25483.881131837112</c:v>
                </c:pt>
                <c:pt idx="746" formatCode="General">
                  <c:v>25960.767441435004</c:v>
                </c:pt>
                <c:pt idx="747" formatCode="General">
                  <c:v>26436.773322368499</c:v>
                </c:pt>
                <c:pt idx="748" formatCode="General">
                  <c:v>26911.896314199614</c:v>
                </c:pt>
                <c:pt idx="749" formatCode="General">
                  <c:v>27386.134142073883</c:v>
                </c:pt>
                <c:pt idx="750" formatCode="General">
                  <c:v>27859.484707261527</c:v>
                </c:pt>
                <c:pt idx="751" formatCode="General">
                  <c:v>28331.94607820973</c:v>
                </c:pt>
                <c:pt idx="752" formatCode="General">
                  <c:v>28803.51648207492</c:v>
                </c:pt>
                <c:pt idx="753" formatCode="General">
                  <c:v>29274.194296706108</c:v>
                </c:pt>
                <c:pt idx="754" formatCode="General">
                  <c:v>29743.978043052222</c:v>
                </c:pt>
                <c:pt idx="755" formatCode="General">
                  <c:v>30212.866377968312</c:v>
                </c:pt>
                <c:pt idx="756" formatCode="General">
                  <c:v>30680.858087397079</c:v>
                </c:pt>
                <c:pt idx="757" formatCode="General">
                  <c:v>31147.952079903796</c:v>
                </c:pt>
                <c:pt idx="758" formatCode="General">
                  <c:v>31614.147380544142</c:v>
                </c:pt>
                <c:pt idx="759" formatCode="General">
                  <c:v>32079.443125045731</c:v>
                </c:pt>
                <c:pt idx="760" formatCode="General">
                  <c:v>32543.838554285467</c:v>
                </c:pt>
                <c:pt idx="761" formatCode="General">
                  <c:v>33007.333009045913</c:v>
                </c:pt>
                <c:pt idx="762" formatCode="General">
                  <c:v>33469.925925034964</c:v>
                </c:pt>
                <c:pt idx="763" formatCode="General">
                  <c:v>33931.616828154125</c:v>
                </c:pt>
                <c:pt idx="764" formatCode="General">
                  <c:v>34392.405330001609</c:v>
                </c:pt>
                <c:pt idx="765" formatCode="General">
                  <c:v>34852.291123597264</c:v>
                </c:pt>
                <c:pt idx="766" formatCode="General">
                  <c:v>35311.273979317251</c:v>
                </c:pt>
                <c:pt idx="767" formatCode="General">
                  <c:v>35769.353741027066</c:v>
                </c:pt>
                <c:pt idx="768" formatCode="General">
                  <c:v>36226.530322402126</c:v>
                </c:pt>
                <c:pt idx="769" formatCode="General">
                  <c:v>36682.80370342602</c:v>
                </c:pt>
                <c:pt idx="770" formatCode="General">
                  <c:v>37138.1739270568</c:v>
                </c:pt>
                <c:pt idx="771" formatCode="General">
                  <c:v>37592.641096052517</c:v>
                </c:pt>
                <c:pt idx="772" formatCode="General">
                  <c:v>38046.205369947653</c:v>
                </c:pt>
                <c:pt idx="773" formatCode="General">
                  <c:v>38498.866962172469</c:v>
                </c:pt>
                <c:pt idx="774" formatCode="General">
                  <c:v>38950.626137307954</c:v>
                </c:pt>
                <c:pt idx="775" formatCode="General">
                  <c:v>39401.483208469355</c:v>
                </c:pt>
                <c:pt idx="776" formatCode="General">
                  <c:v>39851.438534811641</c:v>
                </c:pt>
                <c:pt idx="777" formatCode="General">
                  <c:v>40300.492519150815</c:v>
                </c:pt>
                <c:pt idx="778" formatCode="General">
                  <c:v>40748.645605695077</c:v>
                </c:pt>
                <c:pt idx="779" formatCode="General">
                  <c:v>41195.898277880391</c:v>
                </c:pt>
                <c:pt idx="780" formatCode="General">
                  <c:v>41642.251056305227</c:v>
                </c:pt>
                <c:pt idx="781" formatCode="General">
                  <c:v>42087.704496759492</c:v>
                </c:pt>
                <c:pt idx="782" formatCode="General">
                  <c:v>42532.25918834308</c:v>
                </c:pt>
                <c:pt idx="783" formatCode="General">
                  <c:v>42975.915751669563</c:v>
                </c:pt>
                <c:pt idx="784" formatCode="General">
                  <c:v>43418.674837150866</c:v>
                </c:pt>
                <c:pt idx="785" formatCode="General">
                  <c:v>43860.537123359056</c:v>
                </c:pt>
                <c:pt idx="786" formatCode="General">
                  <c:v>44301.503315461421</c:v>
                </c:pt>
                <c:pt idx="787" formatCode="General">
                  <c:v>44741.574143725375</c:v>
                </c:pt>
                <c:pt idx="788" formatCode="General">
                  <c:v>45180.75036208985</c:v>
                </c:pt>
                <c:pt idx="789" formatCode="General">
                  <c:v>45619.032746799967</c:v>
                </c:pt>
                <c:pt idx="790" formatCode="General">
                  <c:v>46056.422095102032</c:v>
                </c:pt>
                <c:pt idx="791" formatCode="General">
                  <c:v>46492.919223996003</c:v>
                </c:pt>
                <c:pt idx="792" formatCode="General">
                  <c:v>46928.524969042715</c:v>
                </c:pt>
                <c:pt idx="793" formatCode="General">
                  <c:v>47363.240183223352</c:v>
                </c:pt>
                <c:pt idx="794" formatCode="General">
                  <c:v>47797.065735848693</c:v>
                </c:pt>
                <c:pt idx="795" formatCode="General">
                  <c:v>48230.002511515864</c:v>
                </c:pt>
                <c:pt idx="796" formatCode="General">
                  <c:v>48662.051409110405</c:v>
                </c:pt>
                <c:pt idx="797" formatCode="General">
                  <c:v>49093.213340851558</c:v>
                </c:pt>
                <c:pt idx="798" formatCode="General">
                  <c:v>49523.489231378873</c:v>
                </c:pt>
                <c:pt idx="799" formatCode="General">
                  <c:v>49952.880016878175</c:v>
                </c:pt>
                <c:pt idx="800" formatCode="General">
                  <c:v>50381.386644245147</c:v>
                </c:pt>
                <c:pt idx="801" formatCode="General">
                  <c:v>50809.010070284872</c:v>
                </c:pt>
                <c:pt idx="802" formatCode="General">
                  <c:v>51235.751260945697</c:v>
                </c:pt>
                <c:pt idx="803" formatCode="General">
                  <c:v>51661.611190585878</c:v>
                </c:pt>
                <c:pt idx="804" formatCode="General">
                  <c:v>52086.590841271565</c:v>
                </c:pt>
                <c:pt idx="805" formatCode="General">
                  <c:v>52510.691202104746</c:v>
                </c:pt>
                <c:pt idx="806" formatCode="General">
                  <c:v>52933.913268579854</c:v>
                </c:pt>
                <c:pt idx="807" formatCode="General">
                  <c:v>53356.258041967703</c:v>
                </c:pt>
                <c:pt idx="808" formatCode="General">
                  <c:v>53777.726528725667</c:v>
                </c:pt>
                <c:pt idx="809" formatCode="General">
                  <c:v>54198.319739932878</c:v>
                </c:pt>
                <c:pt idx="810" formatCode="General">
                  <c:v>54618.038690749388</c:v>
                </c:pt>
                <c:pt idx="811" formatCode="General">
                  <c:v>55036.884399898285</c:v>
                </c:pt>
                <c:pt idx="812" formatCode="General">
                  <c:v>55454.857889169711</c:v>
                </c:pt>
                <c:pt idx="813" formatCode="General">
                  <c:v>55871.960182945928</c:v>
                </c:pt>
                <c:pt idx="814" formatCode="General">
                  <c:v>56288.192307746474</c:v>
                </c:pt>
                <c:pt idx="815" formatCode="General">
                  <c:v>56703.555291792552</c:v>
                </c:pt>
                <c:pt idx="816" formatCode="General">
                  <c:v>57118.050164589877</c:v>
                </c:pt>
                <c:pt idx="817" formatCode="General">
                  <c:v>57531.67795652918</c:v>
                </c:pt>
                <c:pt idx="818" formatCode="General">
                  <c:v>57944.439698503615</c:v>
                </c:pt>
                <c:pt idx="819" formatCode="General">
                  <c:v>58356.336421542364</c:v>
                </c:pt>
                <c:pt idx="820" formatCode="General">
                  <c:v>58767.369156459783</c:v>
                </c:pt>
                <c:pt idx="821" formatCode="General">
                  <c:v>59177.53893351939</c:v>
                </c:pt>
                <c:pt idx="822" formatCode="General">
                  <c:v>59586.846782112181</c:v>
                </c:pt>
                <c:pt idx="823" formatCode="General">
                  <c:v>59995.293730448502</c:v>
                </c:pt>
                <c:pt idx="824" formatCode="General">
                  <c:v>60402.880805263143</c:v>
                </c:pt>
                <c:pt idx="825" formatCode="General">
                  <c:v>60809.609031532877</c:v>
                </c:pt>
                <c:pt idx="826" formatCode="General">
                  <c:v>61215.479432206135</c:v>
                </c:pt>
                <c:pt idx="827" formatCode="General">
                  <c:v>61620.493027944183</c:v>
                </c:pt>
                <c:pt idx="828" formatCode="General">
                  <c:v>62024.650836873348</c:v>
                </c:pt>
                <c:pt idx="829" formatCode="General">
                  <c:v>62427.953874347942</c:v>
                </c:pt>
                <c:pt idx="830" formatCode="General">
                  <c:v>62830.403152723309</c:v>
                </c:pt>
                <c:pt idx="831" formatCode="General">
                  <c:v>63231.999681138659</c:v>
                </c:pt>
                <c:pt idx="832" formatCode="General">
                  <c:v>63632.744465309326</c:v>
                </c:pt>
                <c:pt idx="833" formatCode="General">
                  <c:v>64032.63850732796</c:v>
                </c:pt>
                <c:pt idx="834" formatCode="General">
                  <c:v>64431.682805474396</c:v>
                </c:pt>
                <c:pt idx="835" formatCode="General">
                  <c:v>64829.878354033783</c:v>
                </c:pt>
                <c:pt idx="836" formatCode="General">
                  <c:v>65227.226143122716</c:v>
                </c:pt>
                <c:pt idx="837" formatCode="General">
                  <c:v>65623.727158522932</c:v>
                </c:pt>
                <c:pt idx="838" formatCode="General">
                  <c:v>66019.382381522344</c:v>
                </c:pt>
                <c:pt idx="839" formatCode="General">
                  <c:v>66414.192788763234</c:v>
                </c:pt>
                <c:pt idx="840" formatCode="General">
                  <c:v>66808.159352096962</c:v>
                </c:pt>
                <c:pt idx="841" formatCode="General">
                  <c:v>67201.283038445385</c:v>
                </c:pt>
                <c:pt idx="842" formatCode="General">
                  <c:v>67593.564809668358</c:v>
                </c:pt>
                <c:pt idx="843" formatCode="General">
                  <c:v>67985.005622437267</c:v>
                </c:pt>
                <c:pt idx="844" formatCode="General">
                  <c:v>68375.606428114319</c:v>
                </c:pt>
                <c:pt idx="845" formatCode="General">
                  <c:v>68765.368172637231</c:v>
                </c:pt>
                <c:pt idx="846" formatCode="General">
                  <c:v>69154.291796409394</c:v>
                </c:pt>
                <c:pt idx="847" formatCode="General">
                  <c:v>69542.378234194926</c:v>
                </c:pt>
                <c:pt idx="848" formatCode="General">
                  <c:v>69929.628415018742</c:v>
                </c:pt>
                <c:pt idx="849" formatCode="General">
                  <c:v>70316.043262071224</c:v>
                </c:pt>
                <c:pt idx="850" formatCode="General">
                  <c:v>70701.623692617432</c:v>
                </c:pt>
                <c:pt idx="851" formatCode="General">
                  <c:v>71086.370617910638</c:v>
                </c:pt>
                <c:pt idx="852" formatCode="General">
                  <c:v>71470.284943109975</c:v>
                </c:pt>
                <c:pt idx="853" formatCode="General">
                  <c:v>71853.367567202135</c:v>
                </c:pt>
                <c:pt idx="854" formatCode="General">
                  <c:v>72235.619382926801</c:v>
                </c:pt>
                <c:pt idx="855" formatCode="General">
                  <c:v>72617.041276705815</c:v>
                </c:pt>
                <c:pt idx="856" formatCode="General">
                  <c:v>72997.634128575926</c:v>
                </c:pt>
                <c:pt idx="857" formatCode="General">
                  <c:v>73377.398812124768</c:v>
                </c:pt>
                <c:pt idx="858" formatCode="General">
                  <c:v>73756.336194430289</c:v>
                </c:pt>
                <c:pt idx="859" formatCode="General">
                  <c:v>74134.447136003131</c:v>
                </c:pt>
                <c:pt idx="860" formatCode="General">
                  <c:v>74511.73249073216</c:v>
                </c:pt>
                <c:pt idx="861" formatCode="General">
                  <c:v>74888.193105832746</c:v>
                </c:pt>
                <c:pt idx="862" formatCode="General">
                  <c:v>75263.829821797888</c:v>
                </c:pt>
                <c:pt idx="863" formatCode="General">
                  <c:v>75638.643472352036</c:v>
                </c:pt>
                <c:pt idx="864" formatCode="General">
                  <c:v>76012.634884407307</c:v>
                </c:pt>
                <c:pt idx="865" formatCode="General">
                  <c:v>76385.804878022333</c:v>
                </c:pt>
                <c:pt idx="866" formatCode="General">
                  <c:v>76758.154266363301</c:v>
                </c:pt>
                <c:pt idx="867" formatCode="General">
                  <c:v>77129.683855667419</c:v>
                </c:pt>
                <c:pt idx="868" formatCode="General">
                  <c:v>77500.394445208338</c:v>
                </c:pt>
                <c:pt idx="869" formatCode="General">
                  <c:v>77870.286827263844</c:v>
                </c:pt>
                <c:pt idx="870" formatCode="General">
                  <c:v>78239.36178708545</c:v>
                </c:pt>
                <c:pt idx="871" formatCode="General">
                  <c:v>78607.620102869856</c:v>
                </c:pt>
                <c:pt idx="872" formatCode="General">
                  <c:v>78975.062545732348</c:v>
                </c:pt>
                <c:pt idx="873" formatCode="General">
                  <c:v>79341.689879681915</c:v>
                </c:pt>
                <c:pt idx="874" formatCode="General">
                  <c:v>79707.502861598026</c:v>
                </c:pt>
                <c:pt idx="875" formatCode="General">
                  <c:v>80072.502241209047</c:v>
                </c:pt>
                <c:pt idx="876" formatCode="General">
                  <c:v>80436.688761072204</c:v>
                </c:pt>
                <c:pt idx="877" formatCode="General">
                  <c:v>80800.063156555028</c:v>
                </c:pt>
                <c:pt idx="878" formatCode="General">
                  <c:v>81162.626155818245</c:v>
                </c:pt>
                <c:pt idx="879" formatCode="General">
                  <c:v>81524.378479800012</c:v>
                </c:pt>
                <c:pt idx="880" formatCode="General">
                  <c:v>81885.320842201472</c:v>
                </c:pt>
                <c:pt idx="881" formatCode="General">
                  <c:v>82245.453949473522</c:v>
                </c:pt>
                <c:pt idx="882" formatCode="General">
                  <c:v>82604.778500804852</c:v>
                </c:pt>
                <c:pt idx="883" formatCode="General">
                  <c:v>82963.295188111093</c:v>
                </c:pt>
                <c:pt idx="884" formatCode="General">
                  <c:v>83321.004696024989</c:v>
                </c:pt>
                <c:pt idx="885" formatCode="General">
                  <c:v>83677.907701887802</c:v>
                </c:pt>
                <c:pt idx="886" formatCode="General">
                  <c:v>84034.004875741506</c:v>
                </c:pt>
                <c:pt idx="887" formatCode="General">
                  <c:v>84389.296880322116</c:v>
                </c:pt>
                <c:pt idx="888" formatCode="General">
                  <c:v>84743.784371053815</c:v>
                </c:pt>
                <c:pt idx="889" formatCode="General">
                  <c:v>85097.467996044041</c:v>
                </c:pt>
                <c:pt idx="890" formatCode="General">
                  <c:v>85450.348396079324</c:v>
                </c:pt>
                <c:pt idx="891" formatCode="General">
                  <c:v>85802.426204622054</c:v>
                </c:pt>
                <c:pt idx="892" formatCode="General">
                  <c:v>86153.702047807834</c:v>
                </c:pt>
                <c:pt idx="893" formatCode="General">
                  <c:v>86504.176544443748</c:v>
                </c:pt>
                <c:pt idx="894" formatCode="General">
                  <c:v>86853.850306007138</c:v>
                </c:pt>
                <c:pt idx="895" formatCode="General">
                  <c:v>87202.723936645183</c:v>
                </c:pt>
                <c:pt idx="896" formatCode="General">
                  <c:v>87550.798033175059</c:v>
                </c:pt>
                <c:pt idx="897" formatCode="General">
                  <c:v>87898.07318508462</c:v>
                </c:pt>
                <c:pt idx="898" formatCode="General">
                  <c:v>88244.549974533773</c:v>
                </c:pt>
                <c:pt idx="899" formatCode="General">
                  <c:v>88590.228976356346</c:v>
                </c:pt>
                <c:pt idx="900" formatCode="General">
                  <c:v>88935.110758062394</c:v>
                </c:pt>
                <c:pt idx="901" formatCode="General">
                  <c:v>89279.195879841078</c:v>
                </c:pt>
                <c:pt idx="902" formatCode="General">
                  <c:v>89622.484894563982</c:v>
                </c:pt>
                <c:pt idx="903" formatCode="General">
                  <c:v>89964.978347788856</c:v>
                </c:pt>
                <c:pt idx="904" formatCode="General">
                  <c:v>90306.676777763743</c:v>
                </c:pt>
                <c:pt idx="905" formatCode="General">
                  <c:v>90647.580715431555</c:v>
                </c:pt>
                <c:pt idx="906" formatCode="General">
                  <c:v>90987.690684434943</c:v>
                </c:pt>
                <c:pt idx="907" formatCode="General">
                  <c:v>91327.007201121582</c:v>
                </c:pt>
                <c:pt idx="908" formatCode="General">
                  <c:v>91665.530774549741</c:v>
                </c:pt>
                <c:pt idx="909" formatCode="General">
                  <c:v>92003.261906494139</c:v>
                </c:pt>
                <c:pt idx="910" formatCode="General">
                  <c:v>92340.201091452109</c:v>
                </c:pt>
                <c:pt idx="911" formatCode="General">
                  <c:v>92676.348816650047</c:v>
                </c:pt>
                <c:pt idx="912" formatCode="General">
                  <c:v>93011.705562050091</c:v>
                </c:pt>
                <c:pt idx="913" formatCode="General">
                  <c:v>93346.271800357019</c:v>
                </c:pt>
                <c:pt idx="914" formatCode="General">
                  <c:v>93680.047997025365</c:v>
                </c:pt>
                <c:pt idx="915" formatCode="General">
                  <c:v>94013.034610266754</c:v>
                </c:pt>
                <c:pt idx="916" formatCode="General">
                  <c:v>94345.232091057376</c:v>
                </c:pt>
                <c:pt idx="917" formatCode="General">
                  <c:v>94676.640883145723</c:v>
                </c:pt>
                <c:pt idx="918" formatCode="General">
                  <c:v>95007.261423060321</c:v>
                </c:pt>
                <c:pt idx="919" formatCode="General">
                  <c:v>95337.09414011777</c:v>
                </c:pt>
                <c:pt idx="920" formatCode="General">
                  <c:v>95666.139456430828</c:v>
                </c:pt>
                <c:pt idx="921" formatCode="General">
                  <c:v>95994.397786916568</c:v>
                </c:pt>
                <c:pt idx="922" formatCode="General">
                  <c:v>96321.869539304709</c:v>
                </c:pt>
                <c:pt idx="923" formatCode="General">
                  <c:v>96648.555114146046</c:v>
                </c:pt>
                <c:pt idx="924" formatCode="General">
                  <c:v>96974.454904820857</c:v>
                </c:pt>
                <c:pt idx="925" formatCode="General">
                  <c:v>97299.569297547481</c:v>
                </c:pt>
                <c:pt idx="926" formatCode="General">
                  <c:v>97623.898671390882</c:v>
                </c:pt>
                <c:pt idx="927" formatCode="General">
                  <c:v>97947.443398271309</c:v>
                </c:pt>
                <c:pt idx="928" formatCode="General">
                  <c:v>98270.203842972944</c:v>
                </c:pt>
                <c:pt idx="929" formatCode="General">
                  <c:v>98592.180363152598</c:v>
                </c:pt>
                <c:pt idx="930" formatCode="General">
                  <c:v>98913.373309348419</c:v>
                </c:pt>
                <c:pt idx="931" formatCode="General">
                  <c:v>99233.783024988588</c:v>
                </c:pt>
                <c:pt idx="932" formatCode="General">
                  <c:v>99553.409846400085</c:v>
                </c:pt>
                <c:pt idx="933" formatCode="General">
                  <c:v>99872.254102817329</c:v>
                </c:pt>
                <c:pt idx="934" formatCode="General">
                  <c:v>100190.31611639085</c:v>
                </c:pt>
                <c:pt idx="935" formatCode="General">
                  <c:v>100507.59620219596</c:v>
                </c:pt>
                <c:pt idx="936" formatCode="General">
                  <c:v>100824.09466824138</c:v>
                </c:pt>
                <c:pt idx="937" formatCode="General">
                  <c:v>101139.81181547779</c:v>
                </c:pt>
                <c:pt idx="938" formatCode="General">
                  <c:v>101454.74793780634</c:v>
                </c:pt>
                <c:pt idx="939" formatCode="General">
                  <c:v>101768.90332208714</c:v>
                </c:pt>
                <c:pt idx="940" formatCode="General">
                  <c:v>102082.27824814757</c:v>
                </c:pt>
                <c:pt idx="941" formatCode="General">
                  <c:v>102394.87298879077</c:v>
                </c:pt>
                <c:pt idx="942" formatCode="General">
                  <c:v>102706.68780980371</c:v>
                </c:pt>
                <c:pt idx="943" formatCode="General">
                  <c:v>103017.72296996546</c:v>
                </c:pt>
                <c:pt idx="944" formatCode="General">
                  <c:v>103327.97872105525</c:v>
                </c:pt>
                <c:pt idx="945" formatCode="General">
                  <c:v>103637.45530786042</c:v>
                </c:pt>
                <c:pt idx="946" formatCode="General">
                  <c:v>103946.15296818437</c:v>
                </c:pt>
                <c:pt idx="947" formatCode="General">
                  <c:v>104254.0719328542</c:v>
                </c:pt>
                <c:pt idx="948" formatCode="General">
                  <c:v>104561.21242572855</c:v>
                </c:pt>
                <c:pt idx="949" formatCode="General">
                  <c:v>104867.574663705</c:v>
                </c:pt>
                <c:pt idx="950" formatCode="General">
                  <c:v>105173.15885672758</c:v>
                </c:pt>
                <c:pt idx="951" formatCode="General">
                  <c:v>105477.96520779403</c:v>
                </c:pt>
                <c:pt idx="952" formatCode="General">
                  <c:v>105781.99391296301</c:v>
                </c:pt>
                <c:pt idx="953" formatCode="General">
                  <c:v>106085.2451613611</c:v>
                </c:pt>
                <c:pt idx="954" formatCode="General">
                  <c:v>106387.71913518976</c:v>
                </c:pt>
                <c:pt idx="955" formatCode="General">
                  <c:v>106689.416009732</c:v>
                </c:pt>
                <c:pt idx="956" formatCode="General">
                  <c:v>106990.33595335906</c:v>
                </c:pt>
                <c:pt idx="957" formatCode="General">
                  <c:v>107290.4791275368</c:v>
                </c:pt>
                <c:pt idx="958" formatCode="General">
                  <c:v>107589.84568683209</c:v>
                </c:pt>
                <c:pt idx="959" formatCode="General">
                  <c:v>107888.43577891892</c:v>
                </c:pt>
                <c:pt idx="960" formatCode="General">
                  <c:v>108186.24954458434</c:v>
                </c:pt>
                <c:pt idx="961" formatCode="General">
                  <c:v>108483.28711773436</c:v>
                </c:pt>
                <c:pt idx="962" formatCode="General">
                  <c:v>108779.54862539955</c:v>
                </c:pt>
                <c:pt idx="963" formatCode="General">
                  <c:v>109075.03418774053</c:v>
                </c:pt>
                <c:pt idx="964" formatCode="General">
                  <c:v>109369.74391805327</c:v>
                </c:pt>
                <c:pt idx="965" formatCode="General">
                  <c:v>109663.67792277427</c:v>
                </c:pt>
                <c:pt idx="966" formatCode="General">
                  <c:v>109956.83630148541</c:v>
                </c:pt>
                <c:pt idx="967" formatCode="General">
                  <c:v>110249.21914691884</c:v>
                </c:pt>
                <c:pt idx="968" formatCode="General">
                  <c:v>110540.82654496141</c:v>
                </c:pt>
                <c:pt idx="969" formatCode="General">
                  <c:v>110831.6585746592</c:v>
                </c:pt>
                <c:pt idx="970" formatCode="General">
                  <c:v>111121.71530822164</c:v>
                </c:pt>
                <c:pt idx="971" formatCode="General">
                  <c:v>111410.99681102551</c:v>
                </c:pt>
                <c:pt idx="972" formatCode="General">
                  <c:v>111699.50314161878</c:v>
                </c:pt>
                <c:pt idx="973" formatCode="General">
                  <c:v>111987.23435172421</c:v>
                </c:pt>
                <c:pt idx="974" formatCode="General">
                  <c:v>112274.19048624273</c:v>
                </c:pt>
                <c:pt idx="975" formatCode="General">
                  <c:v>112560.37158325665</c:v>
                </c:pt>
                <c:pt idx="976" formatCode="General">
                  <c:v>112845.77767403271</c:v>
                </c:pt>
                <c:pt idx="977" formatCode="General">
                  <c:v>113130.40878302477</c:v>
                </c:pt>
                <c:pt idx="978" formatCode="General">
                  <c:v>113414.26492787649</c:v>
                </c:pt>
                <c:pt idx="979" formatCode="General">
                  <c:v>113697.34611942359</c:v>
                </c:pt>
                <c:pt idx="980" formatCode="General">
                  <c:v>113979.65236169606</c:v>
                </c:pt>
                <c:pt idx="981" formatCode="General">
                  <c:v>114261.18365192012</c:v>
                </c:pt>
                <c:pt idx="982" formatCode="General">
                  <c:v>114541.93998051983</c:v>
                </c:pt>
                <c:pt idx="983" formatCode="General">
                  <c:v>114821.92133111872</c:v>
                </c:pt>
                <c:pt idx="984" formatCode="General">
                  <c:v>115101.12768054094</c:v>
                </c:pt>
                <c:pt idx="985" formatCode="General">
                  <c:v>115379.55899881237</c:v>
                </c:pt>
                <c:pt idx="986" formatCode="General">
                  <c:v>115657.2152491614</c:v>
                </c:pt>
                <c:pt idx="987" formatCode="General">
                  <c:v>115934.09638801955</c:v>
                </c:pt>
                <c:pt idx="988" formatCode="General">
                  <c:v>116210.20236502185</c:v>
                </c:pt>
                <c:pt idx="989" formatCode="General">
                  <c:v>116485.5331230069</c:v>
                </c:pt>
                <c:pt idx="990" formatCode="General">
                  <c:v>116760.08859801682</c:v>
                </c:pt>
                <c:pt idx="991" formatCode="General">
                  <c:v>117033.86871929694</c:v>
                </c:pt>
                <c:pt idx="992" formatCode="General">
                  <c:v>117306.87340929511</c:v>
                </c:pt>
                <c:pt idx="993" formatCode="General">
                  <c:v>117579.10258366098</c:v>
                </c:pt>
                <c:pt idx="994" formatCode="General">
                  <c:v>117850.55615124495</c:v>
                </c:pt>
                <c:pt idx="995" formatCode="General">
                  <c:v>118121.23401409683</c:v>
                </c:pt>
                <c:pt idx="996" formatCode="General">
                  <c:v>118391.13606746432</c:v>
                </c:pt>
                <c:pt idx="997" formatCode="General">
                  <c:v>118660.26219979122</c:v>
                </c:pt>
                <c:pt idx="998" formatCode="General">
                  <c:v>118928.61229271538</c:v>
                </c:pt>
                <c:pt idx="999" formatCode="General">
                  <c:v>119196.18622106648</c:v>
                </c:pt>
                <c:pt idx="1000" formatCode="General">
                  <c:v>119462.98385286344</c:v>
                </c:pt>
              </c:numCache>
            </c:numRef>
          </c:xVal>
          <c:yVal>
            <c:numRef>
              <c:f>Feuil1!$BB$7:$BB$1007</c:f>
              <c:numCache>
                <c:formatCode>General</c:formatCode>
                <c:ptCount val="1001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-8071.8575201374579</c:v>
                </c:pt>
                <c:pt idx="10">
                  <c:v>-10087.228798265898</c:v>
                </c:pt>
                <c:pt idx="11">
                  <c:v>-12335.933792409638</c:v>
                </c:pt>
                <c:pt idx="12">
                  <c:v>-14751.379595688099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-11686.793527809148</c:v>
                </c:pt>
                <c:pt idx="26">
                  <c:v>-9285.7153541049265</c:v>
                </c:pt>
                <c:pt idx="27">
                  <c:v>-7163.1148305357328</c:v>
                </c:pt>
                <c:pt idx="28">
                  <c:v>-5405.276643825574</c:v>
                </c:pt>
                <c:pt idx="29">
                  <c:v>-3988.1713399098535</c:v>
                </c:pt>
                <c:pt idx="30">
                  <c:v>-2836.422957448488</c:v>
                </c:pt>
                <c:pt idx="31">
                  <c:v>-1865.7641451009449</c:v>
                </c:pt>
                <c:pt idx="32">
                  <c:v>-995.84077041903572</c:v>
                </c:pt>
                <c:pt idx="33">
                  <c:v>-149.45993862990741</c:v>
                </c:pt>
                <c:pt idx="34">
                  <c:v>752.01156069470392</c:v>
                </c:pt>
                <c:pt idx="35">
                  <c:v>1793.222248023244</c:v>
                </c:pt>
                <c:pt idx="36">
                  <c:v>3064.3548369665714</c:v>
                </c:pt>
                <c:pt idx="37">
                  <c:v>4640.3231022983082</c:v>
                </c:pt>
                <c:pt idx="38">
                  <c:v>6517.110869631384</c:v>
                </c:pt>
                <c:pt idx="39">
                  <c:v>8555.3303777479105</c:v>
                </c:pt>
                <c:pt idx="40">
                  <c:v>10552.989439230751</c:v>
                </c:pt>
                <c:pt idx="41">
                  <c:v>12370.753548935412</c:v>
                </c:pt>
                <c:pt idx="42">
                  <c:v>13951.290731552541</c:v>
                </c:pt>
                <c:pt idx="43">
                  <c:v>15277.624296741053</c:v>
                </c:pt>
                <c:pt idx="44">
                  <c:v>16345.25275982528</c:v>
                </c:pt>
                <c:pt idx="45">
                  <c:v>17150.88766705693</c:v>
                </c:pt>
                <c:pt idx="46">
                  <c:v>17688.14489196573</c:v>
                </c:pt>
                <c:pt idx="47">
                  <c:v>17945.461661525394</c:v>
                </c:pt>
                <c:pt idx="48">
                  <c:v>17904.443116994149</c:v>
                </c:pt>
                <c:pt idx="49">
                  <c:v>17537.921990304272</c:v>
                </c:pt>
                <c:pt idx="50">
                  <c:v>16807.512750085363</c:v>
                </c:pt>
                <c:pt idx="51">
                  <c:v>15661.293878573861</c:v>
                </c:pt>
                <c:pt idx="52">
                  <c:v>14035.274457262505</c:v>
                </c:pt>
                <c:pt idx="53">
                  <c:v>11871.726623805887</c:v>
                </c:pt>
                <c:pt idx="54">
                  <c:v>9180.1518731434244</c:v>
                </c:pt>
                <c:pt idx="55">
                  <c:v>6115.9544614119377</c:v>
                </c:pt>
                <c:pt idx="56">
                  <c:v>2928.9194495982706</c:v>
                </c:pt>
                <c:pt idx="57">
                  <c:v>-203.40622836475819</c:v>
                </c:pt>
                <c:pt idx="58">
                  <c:v>-3233.8735887972898</c:v>
                </c:pt>
                <c:pt idx="59">
                  <c:v>-6187.576713603743</c:v>
                </c:pt>
                <c:pt idx="60">
                  <c:v>-9109.8575666724646</c:v>
                </c:pt>
                <c:pt idx="61">
                  <c:v>-12037.950819069474</c:v>
                </c:pt>
                <c:pt idx="62">
                  <c:v>-14973.64761488088</c:v>
                </c:pt>
                <c:pt idx="63">
                  <c:v>-17841.986679037003</c:v>
                </c:pt>
                <c:pt idx="64">
                  <c:v>-20461.303674818082</c:v>
                </c:pt>
                <c:pt idx="65">
                  <c:v>-22614.23788568702</c:v>
                </c:pt>
                <c:pt idx="66">
                  <c:v>-24193.519811073293</c:v>
                </c:pt>
                <c:pt idx="67">
                  <c:v>-25233.655823418056</c:v>
                </c:pt>
                <c:pt idx="68">
                  <c:v>-25825.203634257068</c:v>
                </c:pt>
                <c:pt idx="69">
                  <c:v>-26053.234388595109</c:v>
                </c:pt>
                <c:pt idx="70">
                  <c:v>-25983.187953881639</c:v>
                </c:pt>
                <c:pt idx="71">
                  <c:v>-25663.36078951809</c:v>
                </c:pt>
                <c:pt idx="72">
                  <c:v>-25129.631419452551</c:v>
                </c:pt>
                <c:pt idx="73">
                  <c:v>-24409.228859563933</c:v>
                </c:pt>
                <c:pt idx="74">
                  <c:v>-23523.352137807797</c:v>
                </c:pt>
                <c:pt idx="75">
                  <c:v>-22488.951393801799</c:v>
                </c:pt>
                <c:pt idx="76">
                  <c:v>-21319.958242700104</c:v>
                </c:pt>
                <c:pt idx="77">
                  <c:v>-20028.165312849429</c:v>
                </c:pt>
                <c:pt idx="78">
                  <c:v>-18623.885856717981</c:v>
                </c:pt>
                <c:pt idx="79">
                  <c:v>-17116.479184939035</c:v>
                </c:pt>
                <c:pt idx="80">
                  <c:v>-15514.798796082037</c:v>
                </c:pt>
                <c:pt idx="81">
                  <c:v>-13827.599542398479</c:v>
                </c:pt>
                <c:pt idx="82">
                  <c:v>-12063.920408815686</c:v>
                </c:pt>
                <c:pt idx="83">
                  <c:v>-10233.431953868547</c:v>
                </c:pt>
                <c:pt idx="84">
                  <c:v>-8346.6940818099647</c:v>
                </c:pt>
                <c:pt idx="85">
                  <c:v>-6415.2201001058247</c:v>
                </c:pt>
                <c:pt idx="86">
                  <c:v>-4451.2873606249577</c:v>
                </c:pt>
                <c:pt idx="87">
                  <c:v>-2467.9440497759401</c:v>
                </c:pt>
                <c:pt idx="88">
                  <c:v>-481.17231754291208</c:v>
                </c:pt>
                <c:pt idx="89">
                  <c:v>1483.2081229243392</c:v>
                </c:pt>
                <c:pt idx="90">
                  <c:v>3382.992426666046</c:v>
                </c:pt>
                <c:pt idx="91">
                  <c:v>5167.6443952447071</c:v>
                </c:pt>
                <c:pt idx="92">
                  <c:v>6798.0595336042225</c:v>
                </c:pt>
                <c:pt idx="93">
                  <c:v>8255.8633784172089</c:v>
                </c:pt>
                <c:pt idx="94">
                  <c:v>9536.3502339157421</c:v>
                </c:pt>
                <c:pt idx="95">
                  <c:v>10635.835458909156</c:v>
                </c:pt>
                <c:pt idx="96">
                  <c:v>11538.955607885611</c:v>
                </c:pt>
                <c:pt idx="97">
                  <c:v>12204.286018096145</c:v>
                </c:pt>
                <c:pt idx="98">
                  <c:v>12548.57757066705</c:v>
                </c:pt>
                <c:pt idx="99">
                  <c:v>12453.293705291053</c:v>
                </c:pt>
                <c:pt idx="100">
                  <c:v>11847.765648575838</c:v>
                </c:pt>
                <c:pt idx="101">
                  <c:v>10803.937300069356</c:v>
                </c:pt>
                <c:pt idx="102">
                  <c:v>9482.5547395786634</c:v>
                </c:pt>
                <c:pt idx="103">
                  <c:v>8017.0772215879506</c:v>
                </c:pt>
                <c:pt idx="104">
                  <c:v>6485.8648801435893</c:v>
                </c:pt>
                <c:pt idx="105">
                  <c:v>4931.6882811092846</c:v>
                </c:pt>
                <c:pt idx="106">
                  <c:v>3378.6501475908226</c:v>
                </c:pt>
                <c:pt idx="107">
                  <c:v>1841.191182408071</c:v>
                </c:pt>
                <c:pt idx="108">
                  <c:v>328.56661446246915</c:v>
                </c:pt>
                <c:pt idx="109">
                  <c:v>-1152.8722885641876</c:v>
                </c:pt>
                <c:pt idx="110">
                  <c:v>-2598.4582754780549</c:v>
                </c:pt>
                <c:pt idx="111">
                  <c:v>-4004.5211441125762</c:v>
                </c:pt>
                <c:pt idx="112">
                  <c:v>-5367.9806791397623</c:v>
                </c:pt>
                <c:pt idx="113">
                  <c:v>-6686.0929623099219</c:v>
                </c:pt>
                <c:pt idx="114">
                  <c:v>-7956.2837947796943</c:v>
                </c:pt>
                <c:pt idx="115">
                  <c:v>-9176.0329303308972</c:v>
                </c:pt>
                <c:pt idx="116">
                  <c:v>-10342.788340019661</c:v>
                </c:pt>
                <c:pt idx="117">
                  <c:v>-11453.898076526117</c:v>
                </c:pt>
                <c:pt idx="118">
                  <c:v>-12506.55194021177</c:v>
                </c:pt>
                <c:pt idx="119">
                  <c:v>-13497.727784781178</c:v>
                </c:pt>
                <c:pt idx="120">
                  <c:v>-14424.138824167341</c:v>
                </c:pt>
                <c:pt idx="121">
                  <c:v>-15282.179190789995</c:v>
                </c:pt>
                <c:pt idx="122">
                  <c:v>-16067.865520869744</c:v>
                </c:pt>
                <c:pt idx="123">
                  <c:v>-16776.772677570603</c:v>
                </c:pt>
                <c:pt idx="124">
                  <c:v>-17403.962001277519</c:v>
                </c:pt>
                <c:pt idx="125">
                  <c:v>-17943.900838059963</c:v>
                </c:pt>
                <c:pt idx="126">
                  <c:v>-18390.372733379631</c:v>
                </c:pt>
                <c:pt idx="127">
                  <c:v>-18736.378892231536</c:v>
                </c:pt>
                <c:pt idx="128">
                  <c:v>-18974.033812004098</c:v>
                </c:pt>
                <c:pt idx="129">
                  <c:v>-19094.462269071042</c:v>
                </c:pt>
                <c:pt idx="130">
                  <c:v>-19087.712582788532</c:v>
                </c:pt>
                <c:pt idx="131">
                  <c:v>-18942.714804661675</c:v>
                </c:pt>
                <c:pt idx="132">
                  <c:v>-18647.336294856854</c:v>
                </c:pt>
                <c:pt idx="133">
                  <c:v>-18188.627561812576</c:v>
                </c:pt>
                <c:pt idx="134">
                  <c:v>-17553.418402052168</c:v>
                </c:pt>
                <c:pt idx="135">
                  <c:v>-16729.535329882034</c:v>
                </c:pt>
                <c:pt idx="136">
                  <c:v>-15708.10361052623</c:v>
                </c:pt>
                <c:pt idx="137">
                  <c:v>-14487.785823812728</c:v>
                </c:pt>
                <c:pt idx="138">
                  <c:v>-13082.765452977554</c:v>
                </c:pt>
                <c:pt idx="139">
                  <c:v>-11538.586873204866</c:v>
                </c:pt>
                <c:pt idx="140">
                  <c:v>-9961.283327292982</c:v>
                </c:pt>
                <c:pt idx="141">
                  <c:v>-8535.9358821291116</c:v>
                </c:pt>
                <c:pt idx="142">
                  <c:v>-7431.3231169227756</c:v>
                </c:pt>
                <c:pt idx="143">
                  <c:v>-6648.5105592290492</c:v>
                </c:pt>
                <c:pt idx="144">
                  <c:v>-6055.2013786956604</c:v>
                </c:pt>
                <c:pt idx="145">
                  <c:v>-5522.6868888774497</c:v>
                </c:pt>
                <c:pt idx="146">
                  <c:v>-4973.5648439949573</c:v>
                </c:pt>
                <c:pt idx="147">
                  <c:v>-4374.8380365863386</c:v>
                </c:pt>
                <c:pt idx="148">
                  <c:v>-3721.1325508030345</c:v>
                </c:pt>
                <c:pt idx="149">
                  <c:v>-3019.8520523212565</c:v>
                </c:pt>
                <c:pt idx="150">
                  <c:v>-2282.034045030985</c:v>
                </c:pt>
                <c:pt idx="151">
                  <c:v>-1518.2399421430607</c:v>
                </c:pt>
                <c:pt idx="152">
                  <c:v>-737.27842005781929</c:v>
                </c:pt>
                <c:pt idx="153">
                  <c:v>53.881036693447868</c:v>
                </c:pt>
                <c:pt idx="154">
                  <c:v>849.81942886798959</c:v>
                </c:pt>
                <c:pt idx="155">
                  <c:v>1646.3248328116763</c:v>
                </c:pt>
                <c:pt idx="156">
                  <c:v>2440.0952127692885</c:v>
                </c:pt>
                <c:pt idx="157">
                  <c:v>3228.5061810661691</c:v>
                </c:pt>
                <c:pt idx="158">
                  <c:v>4009.4365409540646</c:v>
                </c:pt>
                <c:pt idx="159">
                  <c:v>4781.1389877705396</c:v>
                </c:pt>
                <c:pt idx="160">
                  <c:v>5542.1443421241638</c:v>
                </c:pt>
                <c:pt idx="161">
                  <c:v>6291.1901634826836</c:v>
                </c:pt>
                <c:pt idx="162">
                  <c:v>7027.1669593521019</c:v>
                </c:pt>
                <c:pt idx="163">
                  <c:v>7749.0770794095397</c:v>
                </c:pt>
                <c:pt idx="164">
                  <c:v>8456.002765561374</c:v>
                </c:pt>
                <c:pt idx="165">
                  <c:v>9147.080815848698</c:v>
                </c:pt>
                <c:pt idx="166">
                  <c:v>9821.4820151700696</c:v>
                </c:pt>
                <c:pt idx="167">
                  <c:v>10478.393971940719</c:v>
                </c:pt>
                <c:pt idx="168">
                  <c:v>11117.006338086043</c:v>
                </c:pt>
                <c:pt idx="169">
                  <c:v>11736.497623102325</c:v>
                </c:pt>
                <c:pt idx="170">
                  <c:v>12336.022970716953</c:v>
                </c:pt>
                <c:pt idx="171">
                  <c:v>12914.702368602635</c:v>
                </c:pt>
                <c:pt idx="172">
                  <c:v>13471.60882027528</c:v>
                </c:pt>
                <c:pt idx="173">
                  <c:v>14005.756031137716</c:v>
                </c:pt>
                <c:pt idx="174">
                  <c:v>14516.085150858822</c:v>
                </c:pt>
                <c:pt idx="175">
                  <c:v>15001.4500714109</c:v>
                </c:pt>
                <c:pt idx="176">
                  <c:v>15460.600699766912</c:v>
                </c:pt>
                <c:pt idx="177">
                  <c:v>15892.163497452122</c:v>
                </c:pt>
                <c:pt idx="178">
                  <c:v>16294.618390469985</c:v>
                </c:pt>
                <c:pt idx="179">
                  <c:v>16666.270877833416</c:v>
                </c:pt>
                <c:pt idx="180">
                  <c:v>17005.217765710913</c:v>
                </c:pt>
                <c:pt idx="181">
                  <c:v>17309.304364154646</c:v>
                </c:pt>
                <c:pt idx="182">
                  <c:v>17576.070102277772</c:v>
                </c:pt>
                <c:pt idx="183">
                  <c:v>17802.678175679692</c:v>
                </c:pt>
                <c:pt idx="184">
                  <c:v>17985.822747035596</c:v>
                </c:pt>
                <c:pt idx="185">
                  <c:v>18121.603867871978</c:v>
                </c:pt>
                <c:pt idx="186">
                  <c:v>18205.354752577783</c:v>
                </c:pt>
                <c:pt idx="187">
                  <c:v>18231.39657758905</c:v>
                </c:pt>
                <c:pt idx="188">
                  <c:v>18192.67920955196</c:v>
                </c:pt>
                <c:pt idx="189">
                  <c:v>18080.235313880003</c:v>
                </c:pt>
                <c:pt idx="190">
                  <c:v>17882.31573606508</c:v>
                </c:pt>
                <c:pt idx="191">
                  <c:v>17582.95500246622</c:v>
                </c:pt>
                <c:pt idx="192">
                  <c:v>17159.473195456911</c:v>
                </c:pt>
                <c:pt idx="193">
                  <c:v>16577.951921846932</c:v>
                </c:pt>
                <c:pt idx="194">
                  <c:v>15785.152089589326</c:v>
                </c:pt>
                <c:pt idx="195">
                  <c:v>14697.666904232226</c:v>
                </c:pt>
                <c:pt idx="196">
                  <c:v>13213.427474679918</c:v>
                </c:pt>
                <c:pt idx="197">
                  <c:v>11311.634631926194</c:v>
                </c:pt>
                <c:pt idx="198">
                  <c:v>9109.2189747441862</c:v>
                </c:pt>
                <c:pt idx="199">
                  <c:v>6724.0356366762917</c:v>
                </c:pt>
                <c:pt idx="200">
                  <c:v>4183.1020181491995</c:v>
                </c:pt>
                <c:pt idx="201">
                  <c:v>1471.1519262481579</c:v>
                </c:pt>
                <c:pt idx="202">
                  <c:v>-1422.0427005525685</c:v>
                </c:pt>
                <c:pt idx="203">
                  <c:v>-4469.0212837756062</c:v>
                </c:pt>
                <c:pt idx="204">
                  <c:v>-7586.8205361057226</c:v>
                </c:pt>
                <c:pt idx="205">
                  <c:v>-10658.290339719502</c:v>
                </c:pt>
                <c:pt idx="206">
                  <c:v>-13584.183685310922</c:v>
                </c:pt>
                <c:pt idx="207">
                  <c:v>-16314.499180828261</c:v>
                </c:pt>
                <c:pt idx="208">
                  <c:v>-18840.536556469666</c:v>
                </c:pt>
                <c:pt idx="209">
                  <c:v>-21174.25275798604</c:v>
                </c:pt>
                <c:pt idx="210">
                  <c:v>-23334.20716098322</c:v>
                </c:pt>
                <c:pt idx="211">
                  <c:v>-25339.209403189077</c:v>
                </c:pt>
                <c:pt idx="212">
                  <c:v>-27206.124966968644</c:v>
                </c:pt>
                <c:pt idx="213">
                  <c:v>-28949.412857395619</c:v>
                </c:pt>
                <c:pt idx="214">
                  <c:v>-30581.27770646763</c:v>
                </c:pt>
                <c:pt idx="215">
                  <c:v>-32111.991658345327</c:v>
                </c:pt>
                <c:pt idx="216">
                  <c:v>-33550.22522185331</c:v>
                </c:pt>
                <c:pt idx="217">
                  <c:v>-34903.336889082326</c:v>
                </c:pt>
                <c:pt idx="218">
                  <c:v>-36177.612068796887</c:v>
                </c:pt>
                <c:pt idx="219">
                  <c:v>-37378.455562949421</c:v>
                </c:pt>
                <c:pt idx="220">
                  <c:v>-38510.545341539713</c:v>
                </c:pt>
                <c:pt idx="221">
                  <c:v>-39577.955315365747</c:v>
                </c:pt>
                <c:pt idx="222">
                  <c:v>-40584.253674054336</c:v>
                </c:pt>
                <c:pt idx="223">
                  <c:v>-41532.582066026807</c:v>
                </c:pt>
                <c:pt idx="224">
                  <c:v>-42425.719750167933</c:v>
                </c:pt>
                <c:pt idx="225">
                  <c:v>-43266.135916248772</c:v>
                </c:pt>
                <c:pt idx="226">
                  <c:v>-44056.032641552061</c:v>
                </c:pt>
                <c:pt idx="227">
                  <c:v>-44797.380390437553</c:v>
                </c:pt>
                <c:pt idx="228">
                  <c:v>-45491.947535714506</c:v>
                </c:pt>
                <c:pt idx="229">
                  <c:v>-46141.325054617213</c:v>
                </c:pt>
                <c:pt idx="230">
                  <c:v>-46746.947303190485</c:v>
                </c:pt>
                <c:pt idx="231">
                  <c:v>-47310.109582012214</c:v>
                </c:pt>
                <c:pt idx="232">
                  <c:v>-47831.983059100065</c:v>
                </c:pt>
                <c:pt idx="233">
                  <c:v>-48313.627501864205</c:v>
                </c:pt>
                <c:pt idx="234">
                  <c:v>-48756.002181086245</c:v>
                </c:pt>
                <c:pt idx="235">
                  <c:v>-49159.97524015831</c:v>
                </c:pt>
                <c:pt idx="236">
                  <c:v>-49526.33176773219</c:v>
                </c:pt>
                <c:pt idx="237">
                  <c:v>-49855.780768143231</c:v>
                </c:pt>
                <c:pt idx="238">
                  <c:v>-50148.961188941998</c:v>
                </c:pt>
                <c:pt idx="239">
                  <c:v>-50406.447136655268</c:v>
                </c:pt>
                <c:pt idx="240">
                  <c:v>-50628.752389026326</c:v>
                </c:pt>
                <c:pt idx="241">
                  <c:v>-50816.334293314714</c:v>
                </c:pt>
                <c:pt idx="242">
                  <c:v>-50969.597124884989</c:v>
                </c:pt>
                <c:pt idx="243">
                  <c:v>-51088.894967595341</c:v>
                </c:pt>
                <c:pt idx="244">
                  <c:v>-51174.5341668685</c:v>
                </c:pt>
                <c:pt idx="245">
                  <c:v>-51226.775397362326</c:v>
                </c:pt>
                <c:pt idx="246">
                  <c:v>-51245.83537951202</c:v>
                </c:pt>
                <c:pt idx="247">
                  <c:v>-51231.888272614407</c:v>
                </c:pt>
                <c:pt idx="248">
                  <c:v>-51185.066766339973</c:v>
                </c:pt>
                <c:pt idx="249">
                  <c:v>-51105.4628874017</c:v>
                </c:pt>
                <c:pt idx="250">
                  <c:v>-50993.128533420902</c:v>
                </c:pt>
                <c:pt idx="251">
                  <c:v>-50848.075741669258</c:v>
                </c:pt>
                <c:pt idx="252">
                  <c:v>-50670.276696207242</c:v>
                </c:pt>
                <c:pt idx="253">
                  <c:v>-50459.66347286458</c:v>
                </c:pt>
                <c:pt idx="254">
                  <c:v>-50216.127517403795</c:v>
                </c:pt>
                <c:pt idx="255">
                  <c:v>-49939.518847956933</c:v>
                </c:pt>
                <c:pt idx="256">
                  <c:v>-49629.644968305067</c:v>
                </c:pt>
                <c:pt idx="257">
                  <c:v>-49286.269473643537</c:v>
                </c:pt>
                <c:pt idx="258">
                  <c:v>-48909.110324988367</c:v>
                </c:pt>
                <c:pt idx="259">
                  <c:v>-48497.837762147938</c:v>
                </c:pt>
                <c:pt idx="260">
                  <c:v>-48052.071817989374</c:v>
                </c:pt>
                <c:pt idx="261">
                  <c:v>-47571.37938830303</c:v>
                </c:pt>
                <c:pt idx="262">
                  <c:v>-47055.270801576538</c:v>
                </c:pt>
                <c:pt idx="263">
                  <c:v>-46503.19582101125</c:v>
                </c:pt>
                <c:pt idx="264">
                  <c:v>-45914.538996613919</c:v>
                </c:pt>
                <c:pt idx="265">
                  <c:v>-45288.614267485602</c:v>
                </c:pt>
                <c:pt idx="266">
                  <c:v>-44624.658692615762</c:v>
                </c:pt>
                <c:pt idx="267">
                  <c:v>-43921.825161403387</c:v>
                </c:pt>
                <c:pt idx="268">
                  <c:v>-43179.173901225229</c:v>
                </c:pt>
                <c:pt idx="269">
                  <c:v>-42395.66255659968</c:v>
                </c:pt>
                <c:pt idx="270">
                  <c:v>-41570.134560091436</c:v>
                </c:pt>
                <c:pt idx="271">
                  <c:v>-40701.305445322316</c:v>
                </c:pt>
                <c:pt idx="272">
                  <c:v>-39787.746662169222</c:v>
                </c:pt>
                <c:pt idx="273">
                  <c:v>-38827.866336348212</c:v>
                </c:pt>
                <c:pt idx="274">
                  <c:v>-37819.886260191801</c:v>
                </c:pt>
                <c:pt idx="275">
                  <c:v>-36761.814194520739</c:v>
                </c:pt>
                <c:pt idx="276">
                  <c:v>-35651.410283085337</c:v>
                </c:pt>
                <c:pt idx="277">
                  <c:v>-34486.146002198046</c:v>
                </c:pt>
                <c:pt idx="278">
                  <c:v>-33263.153546649301</c:v>
                </c:pt>
                <c:pt idx="279">
                  <c:v>-31979.162826360604</c:v>
                </c:pt>
                <c:pt idx="280">
                  <c:v>-30630.422223292742</c:v>
                </c:pt>
                <c:pt idx="281">
                  <c:v>-29212.59779470136</c:v>
                </c:pt>
                <c:pt idx="282">
                  <c:v>-27720.643495303619</c:v>
                </c:pt>
                <c:pt idx="283">
                  <c:v>-26148.631909656586</c:v>
                </c:pt>
                <c:pt idx="284">
                  <c:v>-24489.530471938106</c:v>
                </c:pt>
                <c:pt idx="285">
                  <c:v>-22734.901569200498</c:v>
                </c:pt>
                <c:pt idx="286">
                  <c:v>-20874.495585246816</c:v>
                </c:pt>
                <c:pt idx="287">
                  <c:v>-18895.693769343208</c:v>
                </c:pt>
                <c:pt idx="288">
                  <c:v>-16782.746095758939</c:v>
                </c:pt>
                <c:pt idx="289">
                  <c:v>-14515.754891103627</c:v>
                </c:pt>
                <c:pt idx="290">
                  <c:v>-12069.44493039766</c:v>
                </c:pt>
                <c:pt idx="291">
                  <c:v>-9412.1758119087717</c:v>
                </c:pt>
                <c:pt idx="292">
                  <c:v>-6507.1581126164965</c:v>
                </c:pt>
                <c:pt idx="293">
                  <c:v>-3322.0735546177784</c:v>
                </c:pt>
                <c:pt idx="294">
                  <c:v>141.41580077241429</c:v>
                </c:pt>
                <c:pt idx="295">
                  <c:v>3804.836855364807</c:v>
                </c:pt>
                <c:pt idx="296">
                  <c:v>7518.1603127453172</c:v>
                </c:pt>
                <c:pt idx="297">
                  <c:v>11137.270225542918</c:v>
                </c:pt>
                <c:pt idx="298">
                  <c:v>14580.933656673391</c:v>
                </c:pt>
                <c:pt idx="299">
                  <c:v>17818.848765080282</c:v>
                </c:pt>
                <c:pt idx="300">
                  <c:v>20841.631153812486</c:v>
                </c:pt>
                <c:pt idx="301">
                  <c:v>23645.983550319863</c:v>
                </c:pt>
                <c:pt idx="302">
                  <c:v>26232.733850113709</c:v>
                </c:pt>
                <c:pt idx="303">
                  <c:v>28608.463614548378</c:v>
                </c:pt>
                <c:pt idx="304">
                  <c:v>30785.454132656068</c:v>
                </c:pt>
                <c:pt idx="305">
                  <c:v>32779.618275681045</c:v>
                </c:pt>
                <c:pt idx="306">
                  <c:v>34608.049221783578</c:v>
                </c:pt>
                <c:pt idx="307">
                  <c:v>36287.267647860019</c:v>
                </c:pt>
                <c:pt idx="308">
                  <c:v>37832.32017659914</c:v>
                </c:pt>
                <c:pt idx="309">
                  <c:v>39256.477385400598</c:v>
                </c:pt>
                <c:pt idx="310">
                  <c:v>40571.257469778655</c:v>
                </c:pt>
                <c:pt idx="311">
                  <c:v>41786.592613992412</c:v>
                </c:pt>
                <c:pt idx="312">
                  <c:v>42911.03879600369</c:v>
                </c:pt>
                <c:pt idx="313">
                  <c:v>43951.982331901243</c:v>
                </c:pt>
                <c:pt idx="314">
                  <c:v>44915.824574852326</c:v>
                </c:pt>
                <c:pt idx="315">
                  <c:v>45808.139751556191</c:v>
                </c:pt>
                <c:pt idx="316">
                  <c:v>46633.806844651735</c:v>
                </c:pt>
                <c:pt idx="317">
                  <c:v>47397.118628227327</c:v>
                </c:pt>
                <c:pt idx="318">
                  <c:v>48101.871461264273</c:v>
                </c:pt>
                <c:pt idx="319">
                  <c:v>48751.439232271994</c:v>
                </c:pt>
                <c:pt idx="320">
                  <c:v>49348.83439138814</c:v>
                </c:pt>
                <c:pt idx="321">
                  <c:v>49896.75850890002</c:v>
                </c:pt>
                <c:pt idx="322">
                  <c:v>50397.644343739725</c:v>
                </c:pt>
                <c:pt idx="323">
                  <c:v>50853.691018064732</c:v>
                </c:pt>
                <c:pt idx="324">
                  <c:v>51266.893576350012</c:v>
                </c:pt>
                <c:pt idx="325">
                  <c:v>51639.067951954363</c:v>
                </c:pt>
                <c:pt idx="326">
                  <c:v>51971.872160754407</c:v>
                </c:pt>
                <c:pt idx="327">
                  <c:v>52266.824380278893</c:v>
                </c:pt>
                <c:pt idx="328">
                  <c:v>52525.31844521228</c:v>
                </c:pt>
                <c:pt idx="329">
                  <c:v>52748.637189067187</c:v>
                </c:pt>
                <c:pt idx="330">
                  <c:v>52937.963981557084</c:v>
                </c:pt>
                <c:pt idx="331">
                  <c:v>53094.392747243641</c:v>
                </c:pt>
                <c:pt idx="332">
                  <c:v>53218.936699876824</c:v>
                </c:pt>
                <c:pt idx="333">
                  <c:v>53312.535985755836</c:v>
                </c:pt>
                <c:pt idx="334">
                  <c:v>53376.064396289323</c:v>
                </c:pt>
                <c:pt idx="335">
                  <c:v>53410.335283068496</c:v>
                </c:pt>
                <c:pt idx="336">
                  <c:v>53416.10678689702</c:v>
                </c:pt>
                <c:pt idx="337">
                  <c:v>53394.086474337513</c:v>
                </c:pt>
                <c:pt idx="338">
                  <c:v>53344.93546064468</c:v>
                </c:pt>
                <c:pt idx="339">
                  <c:v>53269.272085836506</c:v>
                </c:pt>
                <c:pt idx="340">
                  <c:v>53167.675200614562</c:v>
                </c:pt>
                <c:pt idx="341">
                  <c:v>53040.68711049165</c:v>
                </c:pt>
                <c:pt idx="342">
                  <c:v>52888.816219507687</c:v>
                </c:pt>
                <c:pt idx="343">
                  <c:v>52712.539409063676</c:v>
                </c:pt>
                <c:pt idx="344">
                  <c:v>52512.304182478489</c:v>
                </c:pt>
                <c:pt idx="345">
                  <c:v>52288.530601711762</c:v>
                </c:pt>
                <c:pt idx="346">
                  <c:v>52041.613039167925</c:v>
                </c:pt>
                <c:pt idx="347">
                  <c:v>51771.921764494335</c:v>
                </c:pt>
                <c:pt idx="348">
                  <c:v>51479.804383723662</c:v>
                </c:pt>
                <c:pt idx="349">
                  <c:v>51165.587145915764</c:v>
                </c:pt>
                <c:pt idx="350">
                  <c:v>50829.576130568588</c:v>
                </c:pt>
                <c:pt idx="351">
                  <c:v>50472.058327442704</c:v>
                </c:pt>
                <c:pt idx="352">
                  <c:v>50093.302619039991</c:v>
                </c:pt>
                <c:pt idx="353">
                  <c:v>49693.560674760076</c:v>
                </c:pt>
                <c:pt idx="354">
                  <c:v>49273.067764701227</c:v>
                </c:pt>
                <c:pt idx="355">
                  <c:v>48832.043500151776</c:v>
                </c:pt>
                <c:pt idx="356">
                  <c:v>48370.692507015148</c:v>
                </c:pt>
                <c:pt idx="357">
                  <c:v>47889.205037709551</c:v>
                </c:pt>
                <c:pt idx="358">
                  <c:v>47387.757526469104</c:v>
                </c:pt>
                <c:pt idx="359">
                  <c:v>46866.513092435423</c:v>
                </c:pt>
                <c:pt idx="360">
                  <c:v>46325.621994458241</c:v>
                </c:pt>
                <c:pt idx="361">
                  <c:v>45765.222041112676</c:v>
                </c:pt>
                <c:pt idx="362">
                  <c:v>45185.438959083425</c:v>
                </c:pt>
                <c:pt idx="363">
                  <c:v>44586.386722757685</c:v>
                </c:pt>
                <c:pt idx="364">
                  <c:v>43968.167847605509</c:v>
                </c:pt>
                <c:pt idx="365">
                  <c:v>43330.873649706395</c:v>
                </c:pt>
                <c:pt idx="366">
                  <c:v>42674.584473603318</c:v>
                </c:pt>
                <c:pt idx="367">
                  <c:v>41999.369890530776</c:v>
                </c:pt>
                <c:pt idx="368">
                  <c:v>41305.288868973432</c:v>
                </c:pt>
                <c:pt idx="369">
                  <c:v>40592.389919470879</c:v>
                </c:pt>
                <c:pt idx="370">
                  <c:v>39860.711215597454</c:v>
                </c:pt>
                <c:pt idx="371">
                  <c:v>39110.280693122346</c:v>
                </c:pt>
                <c:pt idx="372">
                  <c:v>38341.116129507085</c:v>
                </c:pt>
                <c:pt idx="373">
                  <c:v>37553.225206139679</c:v>
                </c:pt>
                <c:pt idx="374">
                  <c:v>36746.605556059367</c:v>
                </c:pt>
                <c:pt idx="375">
                  <c:v>35921.244800421366</c:v>
                </c:pt>
                <c:pt idx="376">
                  <c:v>35077.120577624315</c:v>
                </c:pt>
                <c:pt idx="377">
                  <c:v>34214.20056992444</c:v>
                </c:pt>
                <c:pt idx="378">
                  <c:v>33332.442533555659</c:v>
                </c:pt>
                <c:pt idx="379">
                  <c:v>32431.794339951735</c:v>
                </c:pt>
                <c:pt idx="380">
                  <c:v>31512.1940377424</c:v>
                </c:pt>
                <c:pt idx="381">
                  <c:v>30573.569947927968</c:v>
                </c:pt>
                <c:pt idx="382">
                  <c:v>29615.84080823863</c:v>
                </c:pt>
                <c:pt idx="383">
                  <c:v>28638.915987443928</c:v>
                </c:pt>
                <c:pt idx="384">
                  <c:v>27642.69579668899</c:v>
                </c:pt>
                <c:pt idx="385">
                  <c:v>26627.071933337891</c:v>
                </c:pt>
                <c:pt idx="386">
                  <c:v>25591.928104050752</c:v>
                </c:pt>
                <c:pt idx="387">
                  <c:v>24537.140888953334</c:v>
                </c:pt>
                <c:pt idx="388">
                  <c:v>23462.580929242729</c:v>
                </c:pt>
                <c:pt idx="389">
                  <c:v>22368.11454848442</c:v>
                </c:pt>
                <c:pt idx="390">
                  <c:v>21253.605956153995</c:v>
                </c:pt>
                <c:pt idx="391">
                  <c:v>20118.92023491548</c:v>
                </c:pt>
                <c:pt idx="392">
                  <c:v>18963.927386874086</c:v>
                </c:pt>
                <c:pt idx="393">
                  <c:v>17788.507817601268</c:v>
                </c:pt>
                <c:pt idx="394">
                  <c:v>16592.559783359007</c:v>
                </c:pt>
                <c:pt idx="395">
                  <c:v>15376.009536277967</c:v>
                </c:pt>
                <c:pt idx="396">
                  <c:v>14138.825203488055</c:v>
                </c:pt>
                <c:pt idx="397">
                  <c:v>12881.035872942368</c:v>
                </c:pt>
                <c:pt idx="398">
                  <c:v>11602.757995787353</c:v>
                </c:pt>
                <c:pt idx="399">
                  <c:v>10304.232148201691</c:v>
                </c:pt>
                <c:pt idx="400">
                  <c:v>8985.8745620964783</c:v>
                </c:pt>
                <c:pt idx="401">
                  <c:v>7648.3498211299147</c:v>
                </c:pt>
                <c:pt idx="402">
                  <c:v>6292.6739503331664</c:v>
                </c:pt>
                <c:pt idx="403">
                  <c:v>4920.360979820116</c:v>
                </c:pt>
                <c:pt idx="404">
                  <c:v>3533.6307590532633</c:v>
                </c:pt>
                <c:pt idx="405">
                  <c:v>2135.6999114681876</c:v>
                </c:pt>
                <c:pt idx="406">
                  <c:v>731.17627986737966</c:v>
                </c:pt>
                <c:pt idx="407">
                  <c:v>-673.44441474990333</c:v>
                </c:pt>
                <c:pt idx="408">
                  <c:v>-2069.2578340545592</c:v>
                </c:pt>
                <c:pt idx="409">
                  <c:v>-3444.6854006012504</c:v>
                </c:pt>
                <c:pt idx="410">
                  <c:v>-4786.1486952658261</c:v>
                </c:pt>
                <c:pt idx="411">
                  <c:v>-6080.8961638186438</c:v>
                </c:pt>
                <c:pt idx="412">
                  <c:v>-7323.216158413813</c:v>
                </c:pt>
                <c:pt idx="413">
                  <c:v>-8523.8380232603467</c:v>
                </c:pt>
                <c:pt idx="414">
                  <c:v>-9720.4160254198869</c:v>
                </c:pt>
                <c:pt idx="415">
                  <c:v>-10987.270226980725</c:v>
                </c:pt>
                <c:pt idx="416">
                  <c:v>-12429.707348747206</c:v>
                </c:pt>
                <c:pt idx="417">
                  <c:v>-14079.300794576589</c:v>
                </c:pt>
                <c:pt idx="418">
                  <c:v>-15787.958180456046</c:v>
                </c:pt>
                <c:pt idx="419">
                  <c:v>-17375.479725222158</c:v>
                </c:pt>
                <c:pt idx="420">
                  <c:v>-18770.46913257198</c:v>
                </c:pt>
                <c:pt idx="421">
                  <c:v>-19961.55082673701</c:v>
                </c:pt>
                <c:pt idx="422">
                  <c:v>-20957.534215981203</c:v>
                </c:pt>
                <c:pt idx="423">
                  <c:v>-21774.927278946572</c:v>
                </c:pt>
                <c:pt idx="424">
                  <c:v>-22432.918017626285</c:v>
                </c:pt>
                <c:pt idx="425">
                  <c:v>-22950.732675556814</c:v>
                </c:pt>
                <c:pt idx="426">
                  <c:v>-23346.250875082937</c:v>
                </c:pt>
                <c:pt idx="427">
                  <c:v>-23635.409126116869</c:v>
                </c:pt>
                <c:pt idx="428">
                  <c:v>-23832.068688092491</c:v>
                </c:pt>
                <c:pt idx="429">
                  <c:v>-23948.124430915566</c:v>
                </c:pt>
                <c:pt idx="430">
                  <c:v>-23993.717303907233</c:v>
                </c:pt>
                <c:pt idx="431">
                  <c:v>-23977.47471918516</c:v>
                </c:pt>
                <c:pt idx="432">
                  <c:v>-23906.74158549268</c:v>
                </c:pt>
                <c:pt idx="433">
                  <c:v>-23787.786381370908</c:v>
                </c:pt>
                <c:pt idx="434">
                  <c:v>-23625.977888727564</c:v>
                </c:pt>
                <c:pt idx="435">
                  <c:v>-23425.933527113455</c:v>
                </c:pt>
                <c:pt idx="436">
                  <c:v>-23191.642406421739</c:v>
                </c:pt>
                <c:pt idx="437">
                  <c:v>-22926.566823206831</c:v>
                </c:pt>
                <c:pt idx="438">
                  <c:v>-22633.725808297382</c:v>
                </c:pt>
                <c:pt idx="439">
                  <c:v>-22315.76392493851</c:v>
                </c:pt>
                <c:pt idx="440">
                  <c:v>-21975.008029463374</c:v>
                </c:pt>
                <c:pt idx="441">
                  <c:v>-21613.514236754898</c:v>
                </c:pt>
                <c:pt idx="442">
                  <c:v>-21233.10691842133</c:v>
                </c:pt>
                <c:pt idx="443">
                  <c:v>-20835.411212441813</c:v>
                </c:pt>
                <c:pt idx="444">
                  <c:v>-20421.880236202218</c:v>
                </c:pt>
                <c:pt idx="445">
                  <c:v>-19993.817962636906</c:v>
                </c:pt>
                <c:pt idx="446">
                  <c:v>-19552.398532752868</c:v>
                </c:pt>
                <c:pt idx="447">
                  <c:v>-19098.682628744129</c:v>
                </c:pt>
                <c:pt idx="448">
                  <c:v>-18633.631412900573</c:v>
                </c:pt>
                <c:pt idx="449">
                  <c:v>-18158.118442491774</c:v>
                </c:pt>
                <c:pt idx="450">
                  <c:v>-17672.939894823045</c:v>
                </c:pt>
                <c:pt idx="451">
                  <c:v>-17178.823375765616</c:v>
                </c:pt>
                <c:pt idx="452">
                  <c:v>-16676.435536122026</c:v>
                </c:pt>
                <c:pt idx="453">
                  <c:v>-16166.38868072874</c:v>
                </c:pt>
                <c:pt idx="454">
                  <c:v>-15649.246523273612</c:v>
                </c:pt>
                <c:pt idx="455">
                  <c:v>-15125.52921388422</c:v>
                </c:pt>
                <c:pt idx="456">
                  <c:v>-14595.7177454175</c:v>
                </c:pt>
                <c:pt idx="457">
                  <c:v>-14060.257827099897</c:v>
                </c:pt>
                <c:pt idx="458">
                  <c:v>-13519.563299977888</c:v>
                </c:pt>
                <c:pt idx="459">
                  <c:v>-12974.019156944882</c:v>
                </c:pt>
                <c:pt idx="460">
                  <c:v>-12423.984220437775</c:v>
                </c:pt>
                <c:pt idx="461">
                  <c:v>-11869.793522866916</c:v>
                </c:pt>
                <c:pt idx="462">
                  <c:v>-11311.760428153942</c:v>
                </c:pt>
                <c:pt idx="463">
                  <c:v>-10750.178527160206</c:v>
                </c:pt>
                <c:pt idx="464">
                  <c:v>-10185.323335098235</c:v>
                </c:pt>
                <c:pt idx="465">
                  <c:v>-9617.453815071829</c:v>
                </c:pt>
                <c:pt idx="466">
                  <c:v>-9046.8137485583175</c:v>
                </c:pt>
                <c:pt idx="467">
                  <c:v>-8473.632970824905</c:v>
                </c:pt>
                <c:pt idx="468">
                  <c:v>-7898.1284868743041</c:v>
                </c:pt>
                <c:pt idx="469">
                  <c:v>-7320.5054814731466</c:v>
                </c:pt>
                <c:pt idx="470">
                  <c:v>-6740.9582350724231</c:v>
                </c:pt>
                <c:pt idx="471">
                  <c:v>-6159.6709559349138</c:v>
                </c:pt>
                <c:pt idx="472">
                  <c:v>-5576.818537501068</c:v>
                </c:pt>
                <c:pt idx="473">
                  <c:v>-4992.5672489193676</c:v>
                </c:pt>
                <c:pt idx="474">
                  <c:v>-4407.075365712838</c:v>
                </c:pt>
                <c:pt idx="475">
                  <c:v>-3820.4937467273398</c:v>
                </c:pt>
                <c:pt idx="476">
                  <c:v>-3232.966362790622</c:v>
                </c:pt>
                <c:pt idx="477">
                  <c:v>-2644.6307818879827</c:v>
                </c:pt>
                <c:pt idx="478">
                  <c:v>-2055.6186151172465</c:v>
                </c:pt>
                <c:pt idx="479">
                  <c:v>-1466.0559272114431</c:v>
                </c:pt>
                <c:pt idx="480">
                  <c:v>-876.06361500236812</c:v>
                </c:pt>
                <c:pt idx="481">
                  <c:v>-285.75775683408784</c:v>
                </c:pt>
                <c:pt idx="482">
                  <c:v>304.75006438456592</c:v>
                </c:pt>
                <c:pt idx="483">
                  <c:v>895.35246208121532</c:v>
                </c:pt>
                <c:pt idx="484">
                  <c:v>1485.9459687161302</c:v>
                </c:pt>
                <c:pt idx="485">
                  <c:v>2076.4307783343111</c:v>
                </c:pt>
                <c:pt idx="486">
                  <c:v>2666.7105072288336</c:v>
                </c:pt>
                <c:pt idx="487">
                  <c:v>3256.6919711432906</c:v>
                </c:pt>
                <c:pt idx="488">
                  <c:v>3846.2849775943337</c:v>
                </c:pt>
                <c:pt idx="489">
                  <c:v>4435.4021320316306</c:v>
                </c:pt>
                <c:pt idx="490">
                  <c:v>5023.9586566739845</c:v>
                </c:pt>
                <c:pt idx="491">
                  <c:v>5611.8722209687594</c:v>
                </c:pt>
                <c:pt idx="492">
                  <c:v>6199.0627827186117</c:v>
                </c:pt>
                <c:pt idx="493">
                  <c:v>6785.4524390062434</c:v>
                </c:pt>
                <c:pt idx="494">
                  <c:v>7370.9652861255618</c:v>
                </c:pt>
                <c:pt idx="495">
                  <c:v>7955.5272877973748</c:v>
                </c:pt>
                <c:pt idx="496">
                  <c:v>8539.0661510103928</c:v>
                </c:pt>
                <c:pt idx="497">
                  <c:v>9121.511208884649</c:v>
                </c:pt>
                <c:pt idx="498">
                  <c:v>9702.793310005216</c:v>
                </c:pt>
                <c:pt idx="499">
                  <c:v>10282.844713719851</c:v>
                </c:pt>
                <c:pt idx="500">
                  <c:v>10861.59899093547</c:v>
                </c:pt>
                <c:pt idx="501">
                  <c:v>11438.990929985703</c:v>
                </c:pt>
                <c:pt idx="502">
                  <c:v>12014.956447175444</c:v>
                </c:pt>
                <c:pt idx="503">
                  <c:v>12589.432501638905</c:v>
                </c:pt>
                <c:pt idx="504">
                  <c:v>13162.357014175224</c:v>
                </c:pt>
                <c:pt idx="505">
                  <c:v>13733.668789750818</c:v>
                </c:pt>
                <c:pt idx="506">
                  <c:v>14303.307443380265</c:v>
                </c:pt>
                <c:pt idx="507">
                  <c:v>14871.213329118204</c:v>
                </c:pt>
                <c:pt idx="508">
                  <c:v>15437.327471913301</c:v>
                </c:pt>
                <c:pt idx="509">
                  <c:v>16001.591502092368</c:v>
                </c:pt>
                <c:pt idx="510">
                  <c:v>16563.947592258046</c:v>
                </c:pt>
                <c:pt idx="511">
                  <c:v>17124.338396397441</c:v>
                </c:pt>
                <c:pt idx="512">
                  <c:v>17682.706991011728</c:v>
                </c:pt>
                <c:pt idx="513">
                  <c:v>18238.996818088195</c:v>
                </c:pt>
                <c:pt idx="514">
                  <c:v>18793.151629746622</c:v>
                </c:pt>
                <c:pt idx="515">
                  <c:v>19345.115434401214</c:v>
                </c:pt>
                <c:pt idx="516">
                  <c:v>19894.832444287771</c:v>
                </c:pt>
                <c:pt idx="517">
                  <c:v>20442.247024213448</c:v>
                </c:pt>
                <c:pt idx="518">
                  <c:v>20987.303641393264</c:v>
                </c:pt>
                <c:pt idx="519">
                  <c:v>21529.946816243617</c:v>
                </c:pt>
                <c:pt idx="520">
                  <c:v>22070.121074008559</c:v>
                </c:pt>
                <c:pt idx="521">
                  <c:v>22607.77089709937</c:v>
                </c:pt>
                <c:pt idx="522">
                  <c:v>23142.840678032182</c:v>
                </c:pt>
                <c:pt idx="523">
                  <c:v>23675.274672852123</c:v>
                </c:pt>
                <c:pt idx="524">
                  <c:v>24205.016954935578</c:v>
                </c:pt>
                <c:pt idx="525">
                  <c:v>24732.0113690648</c:v>
                </c:pt>
                <c:pt idx="526">
                  <c:v>25256.201485671307</c:v>
                </c:pt>
                <c:pt idx="527">
                  <c:v>25777.530555146212</c:v>
                </c:pt>
                <c:pt idx="528">
                  <c:v>26295.94146211688</c:v>
                </c:pt>
                <c:pt idx="529">
                  <c:v>26811.376679590216</c:v>
                </c:pt>
                <c:pt idx="530">
                  <c:v>27323.778222863217</c:v>
                </c:pt>
                <c:pt idx="531">
                  <c:v>27833.087603101518</c:v>
                </c:pt>
                <c:pt idx="532">
                  <c:v>28339.245780486188</c:v>
                </c:pt>
                <c:pt idx="533">
                  <c:v>28842.193116828286</c:v>
                </c:pt>
                <c:pt idx="534">
                  <c:v>29341.869327549332</c:v>
                </c:pt>
                <c:pt idx="535">
                  <c:v>29838.213432924356</c:v>
                </c:pt>
                <c:pt idx="536">
                  <c:v>30331.163708481985</c:v>
                </c:pt>
                <c:pt idx="537">
                  <c:v>30820.657634453528</c:v>
                </c:pt>
                <c:pt idx="538">
                  <c:v>31306.631844160096</c:v>
                </c:pt>
                <c:pt idx="539">
                  <c:v>31789.022071223306</c:v>
                </c:pt>
                <c:pt idx="540">
                  <c:v>32267.763095481208</c:v>
                </c:pt>
                <c:pt idx="541">
                  <c:v>32742.788687486591</c:v>
                </c:pt>
                <c:pt idx="542">
                  <c:v>33214.031551459884</c:v>
                </c:pt>
                <c:pt idx="543">
                  <c:v>33681.423266563266</c:v>
                </c:pt>
                <c:pt idx="544">
                  <c:v>34144.89422635649</c:v>
                </c:pt>
                <c:pt idx="545">
                  <c:v>34604.373576287973</c:v>
                </c:pt>
                <c:pt idx="546">
                  <c:v>35059.789149067401</c:v>
                </c:pt>
                <c:pt idx="547">
                  <c:v>35511.06739775763</c:v>
                </c:pt>
                <c:pt idx="548">
                  <c:v>35958.133326414718</c:v>
                </c:pt>
                <c:pt idx="549">
                  <c:v>36400.910418095045</c:v>
                </c:pt>
                <c:pt idx="550">
                  <c:v>36839.320560037486</c:v>
                </c:pt>
                <c:pt idx="551">
                  <c:v>37273.28396581683</c:v>
                </c:pt>
                <c:pt idx="552">
                  <c:v>37702.71909425169</c:v>
                </c:pt>
                <c:pt idx="553">
                  <c:v>38127.542564835901</c:v>
                </c:pt>
                <c:pt idx="554">
                  <c:v>38547.669069446936</c:v>
                </c:pt>
                <c:pt idx="555">
                  <c:v>38963.011280068073</c:v>
                </c:pt>
                <c:pt idx="556">
                  <c:v>39373.4797522425</c:v>
                </c:pt>
                <c:pt idx="557">
                  <c:v>39778.98282395734</c:v>
                </c:pt>
                <c:pt idx="558">
                  <c:v>40179.426509633631</c:v>
                </c:pt>
                <c:pt idx="559">
                  <c:v>40574.714388874119</c:v>
                </c:pt>
                <c:pt idx="560">
                  <c:v>40964.747489594316</c:v>
                </c:pt>
                <c:pt idx="561">
                  <c:v>41349.424165133467</c:v>
                </c:pt>
                <c:pt idx="562">
                  <c:v>41728.639964910362</c:v>
                </c:pt>
                <c:pt idx="563">
                  <c:v>42102.287498154117</c:v>
                </c:pt>
                <c:pt idx="564">
                  <c:v>42470.256290202226</c:v>
                </c:pt>
                <c:pt idx="565">
                  <c:v>42832.432630815958</c:v>
                </c:pt>
                <c:pt idx="566">
                  <c:v>43188.699413917464</c:v>
                </c:pt>
                <c:pt idx="567">
                  <c:v>43538.935968102145</c:v>
                </c:pt>
                <c:pt idx="568">
                  <c:v>43883.017877224054</c:v>
                </c:pt>
                <c:pt idx="569">
                  <c:v>44220.816790290482</c:v>
                </c:pt>
                <c:pt idx="570">
                  <c:v>44552.200219833991</c:v>
                </c:pt>
                <c:pt idx="571">
                  <c:v>44877.031327854835</c:v>
                </c:pt>
                <c:pt idx="572">
                  <c:v>45195.168698343579</c:v>
                </c:pt>
                <c:pt idx="573">
                  <c:v>45506.466095301374</c:v>
                </c:pt>
                <c:pt idx="574">
                  <c:v>45810.772205073001</c:v>
                </c:pt>
                <c:pt idx="575">
                  <c:v>46107.930361693892</c:v>
                </c:pt>
                <c:pt idx="576">
                  <c:v>46397.778253825643</c:v>
                </c:pt>
                <c:pt idx="577">
                  <c:v>46680.147611713321</c:v>
                </c:pt>
                <c:pt idx="578">
                  <c:v>46954.863872440081</c:v>
                </c:pt>
                <c:pt idx="579">
                  <c:v>47221.745821578275</c:v>
                </c:pt>
                <c:pt idx="580">
                  <c:v>47480.605209138841</c:v>
                </c:pt>
                <c:pt idx="581">
                  <c:v>47731.246337498975</c:v>
                </c:pt>
                <c:pt idx="582">
                  <c:v>47973.46561873937</c:v>
                </c:pt>
                <c:pt idx="583">
                  <c:v>48207.051098541633</c:v>
                </c:pt>
                <c:pt idx="584">
                  <c:v>48431.781943480681</c:v>
                </c:pt>
                <c:pt idx="585">
                  <c:v>48647.427888189341</c:v>
                </c:pt>
                <c:pt idx="586">
                  <c:v>48853.748638468234</c:v>
                </c:pt>
                <c:pt idx="587">
                  <c:v>49050.493225954851</c:v>
                </c:pt>
                <c:pt idx="588">
                  <c:v>49237.399309444401</c:v>
                </c:pt>
                <c:pt idx="589">
                  <c:v>49414.192417360631</c:v>
                </c:pt>
                <c:pt idx="590">
                  <c:v>49580.585125196412</c:v>
                </c:pt>
                <c:pt idx="591">
                  <c:v>49736.276160967587</c:v>
                </c:pt>
                <c:pt idx="592">
                  <c:v>49880.949430833018</c:v>
                </c:pt>
                <c:pt idx="593">
                  <c:v>50014.272956009918</c:v>
                </c:pt>
                <c:pt idx="594">
                  <c:v>50135.897710933205</c:v>
                </c:pt>
                <c:pt idx="595">
                  <c:v>50245.456351243673</c:v>
                </c:pt>
                <c:pt idx="596">
                  <c:v>50342.561818608985</c:v>
                </c:pt>
                <c:pt idx="597">
                  <c:v>50426.805807544719</c:v>
                </c:pt>
                <c:pt idx="598">
                  <c:v>50497.757077261987</c:v>
                </c:pt>
                <c:pt idx="599">
                  <c:v>50554.959589065904</c:v>
                </c:pt>
                <c:pt idx="600">
                  <c:v>50597.930446895407</c:v>
                </c:pt>
                <c:pt idx="601">
                  <c:v>50626.15761514382</c:v>
                </c:pt>
                <c:pt idx="602">
                  <c:v>50639.097383826782</c:v>
                </c:pt>
                <c:pt idx="603">
                  <c:v>50636.171546340971</c:v>
                </c:pt>
                <c:pt idx="604">
                  <c:v>50616.764249324704</c:v>
                </c:pt>
                <c:pt idx="605">
                  <c:v>50580.218467293678</c:v>
                </c:pt>
                <c:pt idx="606">
                  <c:v>50525.832046536882</c:v>
                </c:pt>
                <c:pt idx="607">
                  <c:v>50452.853252913977</c:v>
                </c:pt>
                <c:pt idx="608">
                  <c:v>50360.4757463118</c:v>
                </c:pt>
                <c:pt idx="609">
                  <c:v>50247.832890111153</c:v>
                </c:pt>
                <c:pt idx="610">
                  <c:v>50113.991286472068</c:v>
                </c:pt>
                <c:pt idx="611">
                  <c:v>49957.94340678634</c:v>
                </c:pt>
                <c:pt idx="612">
                  <c:v>49778.599160272141</c:v>
                </c:pt>
                <c:pt idx="613">
                  <c:v>49574.776211113975</c:v>
                </c:pt>
                <c:pt idx="614">
                  <c:v>49345.188814125417</c:v>
                </c:pt>
                <c:pt idx="615">
                  <c:v>49088.434888482348</c:v>
                </c:pt>
                <c:pt idx="616">
                  <c:v>48802.980985838512</c:v>
                </c:pt>
                <c:pt idx="617">
                  <c:v>48487.144729426887</c:v>
                </c:pt>
                <c:pt idx="618">
                  <c:v>48139.074199752613</c:v>
                </c:pt>
                <c:pt idx="619">
                  <c:v>47756.723613853203</c:v>
                </c:pt>
                <c:pt idx="620">
                  <c:v>47337.824480471478</c:v>
                </c:pt>
                <c:pt idx="621">
                  <c:v>46879.85120182352</c:v>
                </c:pt>
                <c:pt idx="622">
                  <c:v>46379.979819449029</c:v>
                </c:pt>
                <c:pt idx="623">
                  <c:v>45835.038248005359</c:v>
                </c:pt>
                <c:pt idx="624">
                  <c:v>45241.445882561238</c:v>
                </c:pt>
                <c:pt idx="625">
                  <c:v>44595.13987176941</c:v>
                </c:pt>
                <c:pt idx="626">
                  <c:v>43891.48458577499</c:v>
                </c:pt>
                <c:pt idx="627">
                  <c:v>43125.159837122294</c:v>
                </c:pt>
                <c:pt idx="628">
                  <c:v>42290.022209444098</c:v>
                </c:pt>
                <c:pt idx="629">
                  <c:v>41378.932428224245</c:v>
                </c:pt>
                <c:pt idx="630">
                  <c:v>40383.540200175688</c:v>
                </c:pt>
                <c:pt idx="631">
                  <c:v>39294.016758961414</c:v>
                </c:pt>
                <c:pt idx="632">
                  <c:v>38098.725523409179</c:v>
                </c:pt>
                <c:pt idx="633">
                  <c:v>36783.825226893103</c:v>
                </c:pt>
                <c:pt idx="634">
                  <c:v>35332.812971448075</c:v>
                </c:pt>
                <c:pt idx="635">
                  <c:v>33726.048094298647</c:v>
                </c:pt>
                <c:pt idx="636">
                  <c:v>31940.373095941348</c:v>
                </c:pt>
                <c:pt idx="637">
                  <c:v>29949.100622685521</c:v>
                </c:pt>
                <c:pt idx="638">
                  <c:v>27722.901867046858</c:v>
                </c:pt>
                <c:pt idx="639">
                  <c:v>25232.468432329377</c:v>
                </c:pt>
                <c:pt idx="640">
                  <c:v>22453.868954097285</c:v>
                </c:pt>
                <c:pt idx="641">
                  <c:v>19376.338080039561</c:v>
                </c:pt>
                <c:pt idx="642">
                  <c:v>16009.034210110489</c:v>
                </c:pt>
                <c:pt idx="643">
                  <c:v>12380.473674417928</c:v>
                </c:pt>
                <c:pt idx="644">
                  <c:v>8527.8266408687341</c:v>
                </c:pt>
                <c:pt idx="645">
                  <c:v>4482.0863649657713</c:v>
                </c:pt>
                <c:pt idx="646">
                  <c:v>256.14217716440464</c:v>
                </c:pt>
                <c:pt idx="647">
                  <c:v>-4166.1736342722597</c:v>
                </c:pt>
                <c:pt idx="648">
                  <c:v>-8829.3669557485173</c:v>
                </c:pt>
                <c:pt idx="649">
                  <c:v>-13738.95686603212</c:v>
                </c:pt>
                <c:pt idx="650">
                  <c:v>-18746.928212942712</c:v>
                </c:pt>
                <c:pt idx="651">
                  <c:v>-23614.264001911812</c:v>
                </c:pt>
                <c:pt idx="652">
                  <c:v>-28200.919702384883</c:v>
                </c:pt>
                <c:pt idx="653">
                  <c:v>-32493.263343781578</c:v>
                </c:pt>
                <c:pt idx="654">
                  <c:v>-36525.226880212504</c:v>
                </c:pt>
                <c:pt idx="655">
                  <c:v>-40335.943664344442</c:v>
                </c:pt>
                <c:pt idx="656">
                  <c:v>-43958.867772804137</c:v>
                </c:pt>
                <c:pt idx="657">
                  <c:v>-47420.764648469863</c:v>
                </c:pt>
                <c:pt idx="658">
                  <c:v>-50742.839925609172</c:v>
                </c:pt>
                <c:pt idx="659">
                  <c:v>-53942.023579190369</c:v>
                </c:pt>
                <c:pt idx="660">
                  <c:v>-57032.00888155985</c:v>
                </c:pt>
                <c:pt idx="661">
                  <c:v>-60024.027926904746</c:v>
                </c:pt>
                <c:pt idx="662">
                  <c:v>-62927.41949040108</c:v>
                </c:pt>
                <c:pt idx="663">
                  <c:v>-65750.045580815873</c:v>
                </c:pt>
                <c:pt idx="664">
                  <c:v>-68498.600039590034</c:v>
                </c:pt>
                <c:pt idx="665">
                  <c:v>-71178.840132597412</c:v>
                </c:pt>
                <c:pt idx="666">
                  <c:v>-73795.762751764865</c:v>
                </c:pt>
                <c:pt idx="667">
                  <c:v>-76353.740302433333</c:v>
                </c:pt>
                <c:pt idx="668">
                  <c:v>-78856.62686367135</c:v>
                </c:pt>
                <c:pt idx="669">
                  <c:v>-81307.842136723411</c:v>
                </c:pt>
                <c:pt idx="670">
                  <c:v>-83710.438582020957</c:v>
                </c:pt>
                <c:pt idx="671">
                  <c:v>-86067.155675150017</c:v>
                </c:pt>
                <c:pt idx="672">
                  <c:v>-88380.464178486945</c:v>
                </c:pt>
                <c:pt idx="673">
                  <c:v>-90652.602589485687</c:v>
                </c:pt>
                <c:pt idx="674">
                  <c:v>-92885.607396528168</c:v>
                </c:pt>
                <c:pt idx="675">
                  <c:v>-95081.338386774616</c:v>
                </c:pt>
                <c:pt idx="676">
                  <c:v>-97241.499965422525</c:v>
                </c:pt>
                <c:pt idx="677">
                  <c:v>-99367.65923326186</c:v>
                </c:pt>
                <c:pt idx="678">
                  <c:v>-101461.26140929786</c:v>
                </c:pt>
                <c:pt idx="679">
                  <c:v>-103523.64306338879</c:v>
                </c:pt>
                <c:pt idx="680">
                  <c:v>-105556.04353028977</c:v>
                </c:pt>
                <c:pt idx="681">
                  <c:v>-107559.61480401333</c:v>
                </c:pt>
                <c:pt idx="682">
                  <c:v>-109535.4301547978</c:v>
                </c:pt>
                <c:pt idx="683">
                  <c:v>-111484.49166639746</c:v>
                </c:pt>
                <c:pt idx="684">
                  <c:v>-113407.73685605293</c:v>
                </c:pt>
                <c:pt idx="685">
                  <c:v>-115306.04451126112</c:v>
                </c:pt>
                <c:pt idx="686">
                  <c:v>-117180.23985476077</c:v>
                </c:pt>
                <c:pt idx="687">
                  <c:v>-119031.09913078119</c:v>
                </c:pt>
                <c:pt idx="688">
                  <c:v>-120859.35369065352</c:v>
                </c:pt>
                <c:pt idx="689">
                  <c:v>-122665.69364364883</c:v>
                </c:pt>
                <c:pt idx="690">
                  <c:v>-124450.7711288415</c:v>
                </c:pt>
                <c:pt idx="691">
                  <c:v>-126215.20325547059</c:v>
                </c:pt>
                <c:pt idx="692">
                  <c:v>-127959.57475235481</c:v>
                </c:pt>
                <c:pt idx="693">
                  <c:v>-129684.44036114072</c:v>
                </c:pt>
                <c:pt idx="694">
                  <c:v>-131390.32700332234</c:v>
                </c:pt>
                <c:pt idx="695">
                  <c:v>-133077.73574689237</c:v>
                </c:pt>
                <c:pt idx="696">
                  <c:v>-134747.14359503938</c:v>
                </c:pt>
                <c:pt idx="697">
                  <c:v>-136399.00511637994</c:v>
                </c:pt>
                <c:pt idx="698">
                  <c:v>-138033.75393372448</c:v>
                </c:pt>
                <c:pt idx="699">
                  <c:v>-139651.80408624667</c:v>
                </c:pt>
                <c:pt idx="700">
                  <c:v>-141253.55127809994</c:v>
                </c:pt>
                <c:pt idx="701">
                  <c:v>-142839.37402495588</c:v>
                </c:pt>
                <c:pt idx="702">
                  <c:v>-144409.63470858254</c:v>
                </c:pt>
                <c:pt idx="703">
                  <c:v>-145964.68054840923</c:v>
                </c:pt>
                <c:pt idx="704">
                  <c:v>-147504.84449800552</c:v>
                </c:pt>
                <c:pt idx="705">
                  <c:v>-149030.44607351694</c:v>
                </c:pt>
                <c:pt idx="706">
                  <c:v>-150541.79212032672</c:v>
                </c:pt>
                <c:pt idx="707">
                  <c:v>-152039.17752353669</c:v>
                </c:pt>
                <c:pt idx="708">
                  <c:v>-153522.88586726726</c:v>
                </c:pt>
                <c:pt idx="709">
                  <c:v>-154993.19004725566</c:v>
                </c:pt>
                <c:pt idx="710">
                  <c:v>-156450.35284077196</c:v>
                </c:pt>
                <c:pt idx="711">
                  <c:v>-157894.62743746751</c:v>
                </c:pt>
                <c:pt idx="712">
                  <c:v>-159326.25793441074</c:v>
                </c:pt>
                <c:pt idx="713">
                  <c:v>-160745.47979824847</c:v>
                </c:pt>
                <c:pt idx="714">
                  <c:v>-162152.52029714745</c:v>
                </c:pt>
                <c:pt idx="715">
                  <c:v>-163547.59890491943</c:v>
                </c:pt>
                <c:pt idx="716">
                  <c:v>-164930.92767950951</c:v>
                </c:pt>
                <c:pt idx="717">
                  <c:v>-166302.71161782625</c:v>
                </c:pt>
                <c:pt idx="718">
                  <c:v>-167663.14898871351</c:v>
                </c:pt>
                <c:pt idx="719">
                  <c:v>-169012.43164570292</c:v>
                </c:pt>
                <c:pt idx="720">
                  <c:v>-170350.74532104167</c:v>
                </c:pt>
                <c:pt idx="721">
                  <c:v>-171678.26990236077</c:v>
                </c:pt>
                <c:pt idx="722">
                  <c:v>-172995.17969323165</c:v>
                </c:pt>
                <c:pt idx="723">
                  <c:v>-174301.64365875412</c:v>
                </c:pt>
                <c:pt idx="724">
                  <c:v>-175597.82565722326</c:v>
                </c:pt>
                <c:pt idx="725">
                  <c:v>-176883.88465883621</c:v>
                </c:pt>
                <c:pt idx="726">
                  <c:v>-178159.97495232281</c:v>
                </c:pt>
                <c:pt idx="727">
                  <c:v>-179426.24634031241</c:v>
                </c:pt>
                <c:pt idx="728">
                  <c:v>-180682.84432418534</c:v>
                </c:pt>
                <c:pt idx="729">
                  <c:v>-181929.91027909869</c:v>
                </c:pt>
                <c:pt idx="730">
                  <c:v>-183167.58161982373</c:v>
                </c:pt>
                <c:pt idx="731">
                  <c:v>-184395.9919579823</c:v>
                </c:pt>
                <c:pt idx="732">
                  <c:v>-185615.27125122689</c:v>
                </c:pt>
                <c:pt idx="733">
                  <c:v>-186825.54594486725</c:v>
                </c:pt>
                <c:pt idx="734">
                  <c:v>-188026.93910641051</c:v>
                </c:pt>
                <c:pt idx="735">
                  <c:v>-189219.57055344697</c:v>
                </c:pt>
                <c:pt idx="736">
                  <c:v>-190403.55697528322</c:v>
                </c:pt>
                <c:pt idx="737">
                  <c:v>-191579.0120486957</c:v>
                </c:pt>
                <c:pt idx="738">
                  <c:v>-192746.04654815144</c:v>
                </c:pt>
                <c:pt idx="739">
                  <c:v>-193904.76845081852</c:v>
                </c:pt>
                <c:pt idx="740">
                  <c:v>-195055.28303666718</c:v>
                </c:pt>
                <c:pt idx="741">
                  <c:v>-196197.6929839417</c:v>
                </c:pt>
                <c:pt idx="742">
                  <c:v>-197332.09846026395</c:v>
                </c:pt>
                <c:pt idx="743">
                  <c:v>-198458.5972096133</c:v>
                </c:pt>
                <c:pt idx="744">
                  <c:v>-199577.28463541032</c:v>
                </c:pt>
                <c:pt idx="745">
                  <c:v>-200688.25387991747</c:v>
                </c:pt>
                <c:pt idx="746">
                  <c:v>-201791.59590015622</c:v>
                </c:pt>
                <c:pt idx="747">
                  <c:v>-202887.3995405274</c:v>
                </c:pt>
                <c:pt idx="748">
                  <c:v>-203975.75160230926</c:v>
                </c:pt>
                <c:pt idx="749">
                  <c:v>-205056.73691019759</c:v>
                </c:pt>
                <c:pt idx="750">
                  <c:v>-206130.43837604162</c:v>
                </c:pt>
                <c:pt idx="751">
                  <c:v>-207196.93705991979</c:v>
                </c:pt>
                <c:pt idx="752">
                  <c:v>-208256.31222869156</c:v>
                </c:pt>
                <c:pt idx="753">
                  <c:v>-209308.64141215224</c:v>
                </c:pt>
                <c:pt idx="754">
                  <c:v>-210354.00045691102</c:v>
                </c:pt>
                <c:pt idx="755">
                  <c:v>-211392.46357810489</c:v>
                </c:pt>
                <c:pt idx="756">
                  <c:v>-212424.10340905481</c:v>
                </c:pt>
                <c:pt idx="757">
                  <c:v>-213448.99104896412</c:v>
                </c:pt>
                <c:pt idx="758">
                  <c:v>-214467.1961087535</c:v>
                </c:pt>
                <c:pt idx="759">
                  <c:v>-215478.78675512163</c:v>
                </c:pt>
                <c:pt idx="760">
                  <c:v>-216483.82975291539</c:v>
                </c:pt>
                <c:pt idx="761">
                  <c:v>-217482.39050588896</c:v>
                </c:pt>
                <c:pt idx="762">
                  <c:v>-218474.53309592669</c:v>
                </c:pt>
                <c:pt idx="763">
                  <c:v>-219460.32032080059</c:v>
                </c:pt>
                <c:pt idx="764">
                  <c:v>-220439.81373052931</c:v>
                </c:pt>
                <c:pt idx="765">
                  <c:v>-221413.07366240205</c:v>
                </c:pt>
                <c:pt idx="766">
                  <c:v>-222380.15927472731</c:v>
                </c:pt>
                <c:pt idx="767">
                  <c:v>-223341.12857936329</c:v>
                </c:pt>
                <c:pt idx="768">
                  <c:v>-224296.03847308355</c:v>
                </c:pt>
                <c:pt idx="769">
                  <c:v>-225244.94476782941</c:v>
                </c:pt>
                <c:pt idx="770">
                  <c:v>-226187.9022198969</c:v>
                </c:pt>
                <c:pt idx="771">
                  <c:v>-227124.96455810452</c:v>
                </c:pt>
                <c:pt idx="772">
                  <c:v>-228056.1845109851</c:v>
                </c:pt>
                <c:pt idx="773">
                  <c:v>-228981.61383304338</c:v>
                </c:pt>
                <c:pt idx="774">
                  <c:v>-229901.30333011842</c:v>
                </c:pt>
                <c:pt idx="775">
                  <c:v>-230815.30288388819</c:v>
                </c:pt>
                <c:pt idx="776">
                  <c:v>-231723.66147555195</c:v>
                </c:pt>
                <c:pt idx="777">
                  <c:v>-232626.42720872414</c:v>
                </c:pt>
                <c:pt idx="778">
                  <c:v>-233523.64733157176</c:v>
                </c:pt>
                <c:pt idx="779">
                  <c:v>-234415.36825822602</c:v>
                </c:pt>
                <c:pt idx="780">
                  <c:v>-235301.63558949737</c:v>
                </c:pt>
                <c:pt idx="781">
                  <c:v>-236182.49413292148</c:v>
                </c:pt>
                <c:pt idx="782">
                  <c:v>-237057.98792216292</c:v>
                </c:pt>
                <c:pt idx="783">
                  <c:v>-237928.1602358013</c:v>
                </c:pt>
                <c:pt idx="784">
                  <c:v>-238793.05361552449</c:v>
                </c:pt>
                <c:pt idx="785">
                  <c:v>-239652.7098837512</c:v>
                </c:pt>
                <c:pt idx="786">
                  <c:v>-240507.17016070537</c:v>
                </c:pt>
                <c:pt idx="787">
                  <c:v>-241356.47488096287</c:v>
                </c:pt>
                <c:pt idx="788">
                  <c:v>-242200.66380949083</c:v>
                </c:pt>
                <c:pt idx="789">
                  <c:v>-243039.77605719827</c:v>
                </c:pt>
                <c:pt idx="790">
                  <c:v>-243873.85009601648</c:v>
                </c:pt>
                <c:pt idx="791">
                  <c:v>-244702.92377352668</c:v>
                </c:pt>
                <c:pt idx="792">
                  <c:v>-245527.03432715117</c:v>
                </c:pt>
                <c:pt idx="793">
                  <c:v>-246346.21839792444</c:v>
                </c:pt>
                <c:pt idx="794">
                  <c:v>-247160.51204385914</c:v>
                </c:pt>
                <c:pt idx="795">
                  <c:v>-247969.95075292143</c:v>
                </c:pt>
                <c:pt idx="796">
                  <c:v>-248774.56945563018</c:v>
                </c:pt>
                <c:pt idx="797">
                  <c:v>-249574.40253729271</c:v>
                </c:pt>
                <c:pt idx="798">
                  <c:v>-250369.48384989047</c:v>
                </c:pt>
                <c:pt idx="799">
                  <c:v>-251159.84672362657</c:v>
                </c:pt>
                <c:pt idx="800">
                  <c:v>-251945.52397814707</c:v>
                </c:pt>
                <c:pt idx="801">
                  <c:v>-252726.54793344735</c:v>
                </c:pt>
                <c:pt idx="802">
                  <c:v>-253502.95042047443</c:v>
                </c:pt>
                <c:pt idx="803">
                  <c:v>-254274.76279143538</c:v>
                </c:pt>
                <c:pt idx="804">
                  <c:v>-255042.01592982202</c:v>
                </c:pt>
                <c:pt idx="805">
                  <c:v>-255804.74026016149</c:v>
                </c:pt>
                <c:pt idx="806">
                  <c:v>-256562.96575750166</c:v>
                </c:pt>
                <c:pt idx="807">
                  <c:v>-257316.72195664054</c:v>
                </c:pt>
                <c:pt idx="808">
                  <c:v>-258066.03796110774</c:v>
                </c:pt>
                <c:pt idx="809">
                  <c:v>-258810.94245190639</c:v>
                </c:pt>
                <c:pt idx="810">
                  <c:v>-259551.46369602354</c:v>
                </c:pt>
                <c:pt idx="811">
                  <c:v>-260287.62955471603</c:v>
                </c:pt>
                <c:pt idx="812">
                  <c:v>-261019.46749157956</c:v>
                </c:pt>
                <c:pt idx="813">
                  <c:v>-261747.00458040761</c:v>
                </c:pt>
                <c:pt idx="814">
                  <c:v>-262470.2675128472</c:v>
                </c:pt>
                <c:pt idx="815">
                  <c:v>-263189.28260585741</c:v>
                </c:pt>
                <c:pt idx="816">
                  <c:v>-263904.07580897777</c:v>
                </c:pt>
                <c:pt idx="817">
                  <c:v>-264614.6727114112</c:v>
                </c:pt>
                <c:pt idx="818">
                  <c:v>-265321.09854892874</c:v>
                </c:pt>
                <c:pt idx="819">
                  <c:v>-266023.37821060017</c:v>
                </c:pt>
                <c:pt idx="820">
                  <c:v>-266721.53624535719</c:v>
                </c:pt>
                <c:pt idx="821">
                  <c:v>-267415.59686839295</c:v>
                </c:pt>
                <c:pt idx="822">
                  <c:v>-268105.58396740415</c:v>
                </c:pt>
                <c:pt idx="823">
                  <c:v>-268791.52110867959</c:v>
                </c:pt>
                <c:pt idx="824">
                  <c:v>-269473.43154304038</c:v>
                </c:pt>
                <c:pt idx="825">
                  <c:v>-270151.33821163548</c:v>
                </c:pt>
                <c:pt idx="826">
                  <c:v>-270825.26375159802</c:v>
                </c:pt>
                <c:pt idx="827">
                  <c:v>-271495.23050156521</c:v>
                </c:pt>
                <c:pt idx="828">
                  <c:v>-272161.26050706703</c:v>
                </c:pt>
                <c:pt idx="829">
                  <c:v>-272823.3755257866</c:v>
                </c:pt>
                <c:pt idx="830">
                  <c:v>-273481.59703269659</c:v>
                </c:pt>
                <c:pt idx="831">
                  <c:v>-274135.94622507499</c:v>
                </c:pt>
                <c:pt idx="832">
                  <c:v>-274786.44402740343</c:v>
                </c:pt>
                <c:pt idx="833">
                  <c:v>-275433.11109615228</c:v>
                </c:pt>
                <c:pt idx="834">
                  <c:v>-276075.96782445483</c:v>
                </c:pt>
                <c:pt idx="835">
                  <c:v>-276715.03434667381</c:v>
                </c:pt>
                <c:pt idx="836">
                  <c:v>-277350.3305428641</c:v>
                </c:pt>
                <c:pt idx="837">
                  <c:v>-277981.8760431335</c:v>
                </c:pt>
                <c:pt idx="838">
                  <c:v>-278609.69023190497</c:v>
                </c:pt>
                <c:pt idx="839">
                  <c:v>-279233.79225208302</c:v>
                </c:pt>
                <c:pt idx="840">
                  <c:v>-279854.20100912655</c:v>
                </c:pt>
                <c:pt idx="841">
                  <c:v>-280470.93517503142</c:v>
                </c:pt>
                <c:pt idx="842">
                  <c:v>-281084.01319222414</c:v>
                </c:pt>
                <c:pt idx="843">
                  <c:v>-281693.45327737025</c:v>
                </c:pt>
                <c:pt idx="844">
                  <c:v>-282299.27342509892</c:v>
                </c:pt>
                <c:pt idx="845">
                  <c:v>-282901.49141164625</c:v>
                </c:pt>
                <c:pt idx="846">
                  <c:v>-283500.12479841925</c:v>
                </c:pt>
                <c:pt idx="847">
                  <c:v>-284095.1909354832</c:v>
                </c:pt>
                <c:pt idx="848">
                  <c:v>-284686.70696497353</c:v>
                </c:pt>
                <c:pt idx="849">
                  <c:v>-285274.68982443528</c:v>
                </c:pt>
                <c:pt idx="850">
                  <c:v>-285859.15625009069</c:v>
                </c:pt>
                <c:pt idx="851">
                  <c:v>-286440.12278003799</c:v>
                </c:pt>
                <c:pt idx="852">
                  <c:v>-287017.60575738287</c:v>
                </c:pt>
                <c:pt idx="853">
                  <c:v>-287591.6213333038</c:v>
                </c:pt>
                <c:pt idx="854">
                  <c:v>-288162.18547005346</c:v>
                </c:pt>
                <c:pt idx="855">
                  <c:v>-288729.3139438979</c:v>
                </c:pt>
                <c:pt idx="856">
                  <c:v>-289293.02234799461</c:v>
                </c:pt>
                <c:pt idx="857">
                  <c:v>-289853.32609521167</c:v>
                </c:pt>
                <c:pt idx="858">
                  <c:v>-290410.24042088876</c:v>
                </c:pt>
                <c:pt idx="859">
                  <c:v>-290963.78038554179</c:v>
                </c:pt>
                <c:pt idx="860">
                  <c:v>-291513.96087751311</c:v>
                </c:pt>
                <c:pt idx="861">
                  <c:v>-292060.79661556741</c:v>
                </c:pt>
                <c:pt idx="862">
                  <c:v>-292604.30215143593</c:v>
                </c:pt>
                <c:pt idx="863">
                  <c:v>-293144.49187230936</c:v>
                </c:pt>
                <c:pt idx="864">
                  <c:v>-293681.38000328117</c:v>
                </c:pt>
                <c:pt idx="865">
                  <c:v>-294214.9806097424</c:v>
                </c:pt>
                <c:pt idx="866">
                  <c:v>-294745.3075997291</c:v>
                </c:pt>
                <c:pt idx="867">
                  <c:v>-295272.37472622341</c:v>
                </c:pt>
                <c:pt idx="868">
                  <c:v>-295796.19558940985</c:v>
                </c:pt>
                <c:pt idx="869">
                  <c:v>-296316.78363888728</c:v>
                </c:pt>
                <c:pt idx="870">
                  <c:v>-296834.15217583813</c:v>
                </c:pt>
                <c:pt idx="871">
                  <c:v>-297348.31435515557</c:v>
                </c:pt>
                <c:pt idx="872">
                  <c:v>-297859.28318752965</c:v>
                </c:pt>
                <c:pt idx="873">
                  <c:v>-298367.07154149347</c:v>
                </c:pt>
                <c:pt idx="874">
                  <c:v>-298871.69214543054</c:v>
                </c:pt>
                <c:pt idx="875">
                  <c:v>-299373.15758954344</c:v>
                </c:pt>
                <c:pt idx="876">
                  <c:v>-299871.48032778577</c:v>
                </c:pt>
                <c:pt idx="877">
                  <c:v>-300366.67267975729</c:v>
                </c:pt>
                <c:pt idx="878">
                  <c:v>-300858.74683256366</c:v>
                </c:pt>
                <c:pt idx="879">
                  <c:v>-301347.7148426412</c:v>
                </c:pt>
                <c:pt idx="880">
                  <c:v>-301833.58863754809</c:v>
                </c:pt>
                <c:pt idx="881">
                  <c:v>-302316.38001772179</c:v>
                </c:pt>
                <c:pt idx="882">
                  <c:v>-302796.10065820452</c:v>
                </c:pt>
                <c:pt idx="883">
                  <c:v>-303272.76211033657</c:v>
                </c:pt>
                <c:pt idx="884">
                  <c:v>-303746.37580341904</c:v>
                </c:pt>
                <c:pt idx="885">
                  <c:v>-304216.95304634573</c:v>
                </c:pt>
                <c:pt idx="886">
                  <c:v>-304684.5050292057</c:v>
                </c:pt>
                <c:pt idx="887">
                  <c:v>-305149.04282485676</c:v>
                </c:pt>
                <c:pt idx="888">
                  <c:v>-305610.57739047066</c:v>
                </c:pt>
                <c:pt idx="889">
                  <c:v>-306069.11956905026</c:v>
                </c:pt>
                <c:pt idx="890">
                  <c:v>-306524.68009091972</c:v>
                </c:pt>
                <c:pt idx="891">
                  <c:v>-306977.26957518817</c:v>
                </c:pt>
                <c:pt idx="892">
                  <c:v>-307426.89853118756</c:v>
                </c:pt>
                <c:pt idx="893">
                  <c:v>-307873.5773598844</c:v>
                </c:pt>
                <c:pt idx="894">
                  <c:v>-308317.31635526754</c:v>
                </c:pt>
                <c:pt idx="895">
                  <c:v>-308758.12570571073</c:v>
                </c:pt>
                <c:pt idx="896">
                  <c:v>-309196.01549531217</c:v>
                </c:pt>
                <c:pt idx="897">
                  <c:v>-309630.99570520991</c:v>
                </c:pt>
                <c:pt idx="898">
                  <c:v>-310063.07621487504</c:v>
                </c:pt>
                <c:pt idx="899">
                  <c:v>-310492.26680338208</c:v>
                </c:pt>
                <c:pt idx="900">
                  <c:v>-310918.57715065789</c:v>
                </c:pt>
                <c:pt idx="901">
                  <c:v>-311342.01683870866</c:v>
                </c:pt>
                <c:pt idx="902">
                  <c:v>-311762.59535282641</c:v>
                </c:pt>
                <c:pt idx="903">
                  <c:v>-312180.32208277448</c:v>
                </c:pt>
                <c:pt idx="904">
                  <c:v>-312595.206323953</c:v>
                </c:pt>
                <c:pt idx="905">
                  <c:v>-313007.25727854489</c:v>
                </c:pt>
                <c:pt idx="906">
                  <c:v>-313416.48405664228</c:v>
                </c:pt>
                <c:pt idx="907">
                  <c:v>-313822.89567735384</c:v>
                </c:pt>
                <c:pt idx="908">
                  <c:v>-314226.50106989394</c:v>
                </c:pt>
                <c:pt idx="909">
                  <c:v>-314627.30907465349</c:v>
                </c:pt>
                <c:pt idx="910">
                  <c:v>-315025.32844425272</c:v>
                </c:pt>
                <c:pt idx="911">
                  <c:v>-315420.56784457684</c:v>
                </c:pt>
                <c:pt idx="912">
                  <c:v>-315813.03585579444</c:v>
                </c:pt>
                <c:pt idx="913">
                  <c:v>-316202.74097335897</c:v>
                </c:pt>
                <c:pt idx="914">
                  <c:v>-316589.69160899398</c:v>
                </c:pt>
                <c:pt idx="915">
                  <c:v>-316973.89609166229</c:v>
                </c:pt>
                <c:pt idx="916">
                  <c:v>-317355.36266851902</c:v>
                </c:pt>
                <c:pt idx="917">
                  <c:v>-317734.09950584959</c:v>
                </c:pt>
                <c:pt idx="918">
                  <c:v>-318110.11468999204</c:v>
                </c:pt>
                <c:pt idx="919">
                  <c:v>-318483.41622824472</c:v>
                </c:pt>
                <c:pt idx="920">
                  <c:v>-318854.01204975939</c:v>
                </c:pt>
                <c:pt idx="921">
                  <c:v>-319221.91000641993</c:v>
                </c:pt>
                <c:pt idx="922">
                  <c:v>-319587.1178737068</c:v>
                </c:pt>
                <c:pt idx="923">
                  <c:v>-319949.643351548</c:v>
                </c:pt>
                <c:pt idx="924">
                  <c:v>-320309.49406515644</c:v>
                </c:pt>
                <c:pt idx="925">
                  <c:v>-320666.67756585364</c:v>
                </c:pt>
                <c:pt idx="926">
                  <c:v>-321021.20133188111</c:v>
                </c:pt>
                <c:pt idx="927">
                  <c:v>-321373.07276919828</c:v>
                </c:pt>
                <c:pt idx="928">
                  <c:v>-321722.2992122682</c:v>
                </c:pt>
                <c:pt idx="929">
                  <c:v>-322068.88792483107</c:v>
                </c:pt>
                <c:pt idx="930">
                  <c:v>-322412.84610066522</c:v>
                </c:pt>
                <c:pt idx="931">
                  <c:v>-322754.18086433661</c:v>
                </c:pt>
                <c:pt idx="932">
                  <c:v>-323092.89927193674</c:v>
                </c:pt>
                <c:pt idx="933">
                  <c:v>-323429.00831180869</c:v>
                </c:pt>
                <c:pt idx="934">
                  <c:v>-323762.51490526239</c:v>
                </c:pt>
                <c:pt idx="935">
                  <c:v>-324093.42590727872</c:v>
                </c:pt>
                <c:pt idx="936">
                  <c:v>-324421.74810720258</c:v>
                </c:pt>
                <c:pt idx="937">
                  <c:v>-324747.48822942574</c:v>
                </c:pt>
                <c:pt idx="938">
                  <c:v>-325070.65293405886</c:v>
                </c:pt>
                <c:pt idx="939">
                  <c:v>-325391.24881759356</c:v>
                </c:pt>
                <c:pt idx="940">
                  <c:v>-325709.28241355432</c:v>
                </c:pt>
                <c:pt idx="941">
                  <c:v>-326024.76019314025</c:v>
                </c:pt>
                <c:pt idx="942">
                  <c:v>-326337.68856585771</c:v>
                </c:pt>
                <c:pt idx="943">
                  <c:v>-326648.07388014277</c:v>
                </c:pt>
                <c:pt idx="944">
                  <c:v>-326955.92242397461</c:v>
                </c:pt>
                <c:pt idx="945">
                  <c:v>-327261.24042547995</c:v>
                </c:pt>
                <c:pt idx="946">
                  <c:v>-327564.03405352781</c:v>
                </c:pt>
                <c:pt idx="947">
                  <c:v>-327864.30941831594</c:v>
                </c:pt>
                <c:pt idx="948">
                  <c:v>-328162.07257194823</c:v>
                </c:pt>
                <c:pt idx="949">
                  <c:v>-328457.32950900355</c:v>
                </c:pt>
                <c:pt idx="950">
                  <c:v>-328750.08616709628</c:v>
                </c:pt>
                <c:pt idx="951">
                  <c:v>-329040.3484274284</c:v>
                </c:pt>
                <c:pt idx="952">
                  <c:v>-329328.12211533351</c:v>
                </c:pt>
                <c:pt idx="953">
                  <c:v>-329613.4130008127</c:v>
                </c:pt>
                <c:pt idx="954">
                  <c:v>-329896.2267990628</c:v>
                </c:pt>
                <c:pt idx="955">
                  <c:v>-330176.56917099666</c:v>
                </c:pt>
                <c:pt idx="956">
                  <c:v>-330454.44572375575</c:v>
                </c:pt>
                <c:pt idx="957">
                  <c:v>-330729.86201121547</c:v>
                </c:pt>
                <c:pt idx="958">
                  <c:v>-331002.82353448303</c:v>
                </c:pt>
                <c:pt idx="959">
                  <c:v>-331273.33574238798</c:v>
                </c:pt>
                <c:pt idx="960">
                  <c:v>-331541.40403196571</c:v>
                </c:pt>
                <c:pt idx="961">
                  <c:v>-331807.03374893387</c:v>
                </c:pt>
                <c:pt idx="962">
                  <c:v>-332070.23018816207</c:v>
                </c:pt>
                <c:pt idx="963">
                  <c:v>-332330.99859413435</c:v>
                </c:pt>
                <c:pt idx="964">
                  <c:v>-332589.34416140569</c:v>
                </c:pt>
                <c:pt idx="965">
                  <c:v>-332845.2720350512</c:v>
                </c:pt>
                <c:pt idx="966">
                  <c:v>-333098.78731110931</c:v>
                </c:pt>
                <c:pt idx="967">
                  <c:v>-333349.89503701864</c:v>
                </c:pt>
                <c:pt idx="968">
                  <c:v>-333598.6002120481</c:v>
                </c:pt>
                <c:pt idx="969">
                  <c:v>-333844.90778772155</c:v>
                </c:pt>
                <c:pt idx="970">
                  <c:v>-334088.82266823581</c:v>
                </c:pt>
                <c:pt idx="971">
                  <c:v>-334330.34971087304</c:v>
                </c:pt>
                <c:pt idx="972">
                  <c:v>-334569.493726407</c:v>
                </c:pt>
                <c:pt idx="973">
                  <c:v>-334806.2594795039</c:v>
                </c:pt>
                <c:pt idx="974">
                  <c:v>-335040.65168911713</c:v>
                </c:pt>
                <c:pt idx="975">
                  <c:v>-335272.67502887669</c:v>
                </c:pt>
                <c:pt idx="976">
                  <c:v>-335502.33412747306</c:v>
                </c:pt>
                <c:pt idx="977">
                  <c:v>-335729.63356903539</c:v>
                </c:pt>
                <c:pt idx="978">
                  <c:v>-335954.57789350481</c:v>
                </c:pt>
                <c:pt idx="979">
                  <c:v>-336177.17159700196</c:v>
                </c:pt>
                <c:pt idx="980">
                  <c:v>-336397.41913218965</c:v>
                </c:pt>
                <c:pt idx="981">
                  <c:v>-336615.32490863046</c:v>
                </c:pt>
                <c:pt idx="982">
                  <c:v>-336830.89329313906</c:v>
                </c:pt>
                <c:pt idx="983">
                  <c:v>-337044.12861012982</c:v>
                </c:pt>
                <c:pt idx="984">
                  <c:v>-337255.03514195926</c:v>
                </c:pt>
                <c:pt idx="985">
                  <c:v>-337463.61712926411</c:v>
                </c:pt>
                <c:pt idx="986">
                  <c:v>-337669.87877129408</c:v>
                </c:pt>
                <c:pt idx="987">
                  <c:v>-337873.82422624051</c:v>
                </c:pt>
                <c:pt idx="988">
                  <c:v>-338075.45761156006</c:v>
                </c:pt>
                <c:pt idx="989">
                  <c:v>-338274.78300429409</c:v>
                </c:pt>
                <c:pt idx="990">
                  <c:v>-338471.80444138334</c:v>
                </c:pt>
                <c:pt idx="991">
                  <c:v>-338666.52591997839</c:v>
                </c:pt>
                <c:pt idx="992">
                  <c:v>-338858.9513977457</c:v>
                </c:pt>
                <c:pt idx="993">
                  <c:v>-339049.08479316946</c:v>
                </c:pt>
                <c:pt idx="994">
                  <c:v>-339236.92998584924</c:v>
                </c:pt>
                <c:pt idx="995">
                  <c:v>-339422.49081679317</c:v>
                </c:pt>
                <c:pt idx="996">
                  <c:v>-339605.77108870749</c:v>
                </c:pt>
                <c:pt idx="997">
                  <c:v>-339786.77456628188</c:v>
                </c:pt>
                <c:pt idx="998">
                  <c:v>-339965.50497647049</c:v>
                </c:pt>
                <c:pt idx="999">
                  <c:v>-340141.96600876958</c:v>
                </c:pt>
                <c:pt idx="1000">
                  <c:v>-340316.16131549096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8F-4F07-B939-9DED5894C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651408"/>
        <c:axId val="987015024"/>
      </c:scatterChart>
      <c:valAx>
        <c:axId val="1001651408"/>
        <c:scaling>
          <c:orientation val="minMax"/>
          <c:max val="50000"/>
          <c:min val="-50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7015024"/>
        <c:crosses val="autoZero"/>
        <c:crossBetween val="midCat"/>
      </c:valAx>
      <c:valAx>
        <c:axId val="987015024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165140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0885439535121811E-3"/>
          <c:y val="5.0787280827151702E-4"/>
          <c:w val="0.99891145020686034"/>
          <c:h val="0.99866689957766419"/>
        </c:manualLayout>
      </c:layout>
      <c:scatterChart>
        <c:scatterStyle val="smoothMarker"/>
        <c:varyColors val="0"/>
        <c:ser>
          <c:idx val="0"/>
          <c:order val="0"/>
          <c:tx>
            <c:v>pl1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Feuil1!$P$12:$P$1011</c:f>
              <c:numCache>
                <c:formatCode>General</c:formatCode>
                <c:ptCount val="1000"/>
                <c:pt idx="0">
                  <c:v>24999.901304280684</c:v>
                </c:pt>
                <c:pt idx="1">
                  <c:v>24999.605221019083</c:v>
                </c:pt>
                <c:pt idx="2">
                  <c:v>24999.111761904045</c:v>
                </c:pt>
                <c:pt idx="3">
                  <c:v>24998.4209464165</c:v>
                </c:pt>
                <c:pt idx="4">
                  <c:v>24997.53280182866</c:v>
                </c:pt>
                <c:pt idx="5">
                  <c:v>24996.447363202948</c:v>
                </c:pt>
                <c:pt idx="6">
                  <c:v>24995.164673390624</c:v>
                </c:pt>
                <c:pt idx="7">
                  <c:v>24993.684783030087</c:v>
                </c:pt>
                <c:pt idx="8">
                  <c:v>24992.007750544875</c:v>
                </c:pt>
                <c:pt idx="9">
                  <c:v>24990.133642141358</c:v>
                </c:pt>
                <c:pt idx="10">
                  <c:v>24988.062531806128</c:v>
                </c:pt>
                <c:pt idx="11">
                  <c:v>24985.794501303069</c:v>
                </c:pt>
                <c:pt idx="12">
                  <c:v>24983.329640170148</c:v>
                </c:pt>
                <c:pt idx="13">
                  <c:v>24980.668045715862</c:v>
                </c:pt>
                <c:pt idx="14">
                  <c:v>24977.809823015399</c:v>
                </c:pt>
                <c:pt idx="15">
                  <c:v>24974.755084906501</c:v>
                </c:pt>
                <c:pt idx="16">
                  <c:v>24971.503951984996</c:v>
                </c:pt>
                <c:pt idx="17">
                  <c:v>24968.056552600043</c:v>
                </c:pt>
                <c:pt idx="18">
                  <c:v>24964.413022849069</c:v>
                </c:pt>
                <c:pt idx="19">
                  <c:v>24960.573506572389</c:v>
                </c:pt>
                <c:pt idx="20">
                  <c:v>24956.538155347531</c:v>
                </c:pt>
                <c:pt idx="21">
                  <c:v>24952.307128483255</c:v>
                </c:pt>
                <c:pt idx="22">
                  <c:v>24947.880593013255</c:v>
                </c:pt>
                <c:pt idx="23">
                  <c:v>24943.258723689571</c:v>
                </c:pt>
                <c:pt idx="24">
                  <c:v>24938.441702975688</c:v>
                </c:pt>
                <c:pt idx="25">
                  <c:v>24933.429721039342</c:v>
                </c:pt>
                <c:pt idx="26">
                  <c:v>24928.22297574499</c:v>
                </c:pt>
                <c:pt idx="27">
                  <c:v>24922.821672646027</c:v>
                </c:pt>
                <c:pt idx="28">
                  <c:v>24917.226024976648</c:v>
                </c:pt>
                <c:pt idx="29">
                  <c:v>24911.436253643442</c:v>
                </c:pt>
                <c:pt idx="30">
                  <c:v>24905.452587216671</c:v>
                </c:pt>
                <c:pt idx="31">
                  <c:v>24899.275261921233</c:v>
                </c:pt>
                <c:pt idx="32">
                  <c:v>24892.904521627359</c:v>
                </c:pt>
                <c:pt idx="33">
                  <c:v>24886.340617840968</c:v>
                </c:pt>
                <c:pt idx="34">
                  <c:v>24879.583809693737</c:v>
                </c:pt>
                <c:pt idx="35">
                  <c:v>24872.634363932884</c:v>
                </c:pt>
                <c:pt idx="36">
                  <c:v>24865.492554910634</c:v>
                </c:pt>
                <c:pt idx="37">
                  <c:v>24858.15866457337</c:v>
                </c:pt>
                <c:pt idx="38">
                  <c:v>24850.63298245053</c:v>
                </c:pt>
                <c:pt idx="39">
                  <c:v>24842.915805643155</c:v>
                </c:pt>
                <c:pt idx="40">
                  <c:v>24835.007438812176</c:v>
                </c:pt>
                <c:pt idx="41">
                  <c:v>24826.908194166368</c:v>
                </c:pt>
                <c:pt idx="42">
                  <c:v>24818.618391450051</c:v>
                </c:pt>
                <c:pt idx="43">
                  <c:v>24810.138357930431</c:v>
                </c:pt>
                <c:pt idx="44">
                  <c:v>24801.468428384716</c:v>
                </c:pt>
                <c:pt idx="45">
                  <c:v>24792.608945086879</c:v>
                </c:pt>
                <c:pt idx="46">
                  <c:v>24783.560257794154</c:v>
                </c:pt>
                <c:pt idx="47">
                  <c:v>24774.322723733214</c:v>
                </c:pt>
                <c:pt idx="48">
                  <c:v>24764.896707586093</c:v>
                </c:pt>
                <c:pt idx="49">
                  <c:v>24755.282581475767</c:v>
                </c:pt>
                <c:pt idx="50">
                  <c:v>24745.480724951474</c:v>
                </c:pt>
                <c:pt idx="51">
                  <c:v>24735.491524973721</c:v>
                </c:pt>
                <c:pt idx="52">
                  <c:v>24725.315375899023</c:v>
                </c:pt>
                <c:pt idx="53">
                  <c:v>24714.952679464324</c:v>
                </c:pt>
                <c:pt idx="54">
                  <c:v>24704.403844771128</c:v>
                </c:pt>
                <c:pt idx="55">
                  <c:v>24693.669288269371</c:v>
                </c:pt>
                <c:pt idx="56">
                  <c:v>24682.749433740963</c:v>
                </c:pt>
                <c:pt idx="57">
                  <c:v>24671.644712283061</c:v>
                </c:pt>
                <c:pt idx="58">
                  <c:v>24660.355562291054</c:v>
                </c:pt>
                <c:pt idx="59">
                  <c:v>24648.882429441255</c:v>
                </c:pt>
                <c:pt idx="60">
                  <c:v>24637.225766673306</c:v>
                </c:pt>
                <c:pt idx="61">
                  <c:v>24625.38603417229</c:v>
                </c:pt>
                <c:pt idx="62">
                  <c:v>24613.363699350575</c:v>
                </c:pt>
                <c:pt idx="63">
                  <c:v>24601.159236829353</c:v>
                </c:pt>
                <c:pt idx="64">
                  <c:v>24588.773128419904</c:v>
                </c:pt>
                <c:pt idx="65">
                  <c:v>24576.205863104587</c:v>
                </c:pt>
                <c:pt idx="66">
                  <c:v>24563.457937017512</c:v>
                </c:pt>
                <c:pt idx="67">
                  <c:v>24550.529853424978</c:v>
                </c:pt>
                <c:pt idx="68">
                  <c:v>24537.422122705586</c:v>
                </c:pt>
                <c:pt idx="69">
                  <c:v>24524.135262330099</c:v>
                </c:pt>
                <c:pt idx="70">
                  <c:v>24510.669796841015</c:v>
                </c:pt>
                <c:pt idx="71">
                  <c:v>24497.026257831854</c:v>
                </c:pt>
                <c:pt idx="72">
                  <c:v>24483.20518392618</c:v>
                </c:pt>
                <c:pt idx="73">
                  <c:v>24469.20712075632</c:v>
                </c:pt>
                <c:pt idx="74">
                  <c:v>24455.032620941842</c:v>
                </c:pt>
                <c:pt idx="75">
                  <c:v>24440.682244067724</c:v>
                </c:pt>
                <c:pt idx="76">
                  <c:v>24426.156556662278</c:v>
                </c:pt>
                <c:pt idx="77">
                  <c:v>24411.456132174768</c:v>
                </c:pt>
                <c:pt idx="78">
                  <c:v>24396.581550952782</c:v>
                </c:pt>
                <c:pt idx="79">
                  <c:v>24381.533400219319</c:v>
                </c:pt>
                <c:pt idx="80">
                  <c:v>24366.3122740496</c:v>
                </c:pt>
                <c:pt idx="81">
                  <c:v>24350.918773347628</c:v>
                </c:pt>
                <c:pt idx="82">
                  <c:v>24335.353505822452</c:v>
                </c:pt>
                <c:pt idx="83">
                  <c:v>24319.617085964175</c:v>
                </c:pt>
                <c:pt idx="84">
                  <c:v>24303.710135019719</c:v>
                </c:pt>
                <c:pt idx="85">
                  <c:v>24287.633280968261</c:v>
                </c:pt>
                <c:pt idx="86">
                  <c:v>24271.387158496476</c:v>
                </c:pt>
                <c:pt idx="87">
                  <c:v>24254.972408973459</c:v>
                </c:pt>
                <c:pt idx="88">
                  <c:v>24238.389680425415</c:v>
                </c:pt>
                <c:pt idx="89">
                  <c:v>24221.639627510074</c:v>
                </c:pt>
                <c:pt idx="90">
                  <c:v>24204.722911490844</c:v>
                </c:pt>
                <c:pt idx="91">
                  <c:v>24187.640200210706</c:v>
                </c:pt>
                <c:pt idx="92">
                  <c:v>24170.392168065853</c:v>
                </c:pt>
                <c:pt idx="93">
                  <c:v>24152.97949597906</c:v>
                </c:pt>
                <c:pt idx="94">
                  <c:v>24135.402871372808</c:v>
                </c:pt>
                <c:pt idx="95">
                  <c:v>24117.662988142136</c:v>
                </c:pt>
                <c:pt idx="96">
                  <c:v>24099.760546627258</c:v>
                </c:pt>
                <c:pt idx="97">
                  <c:v>24081.696253585917</c:v>
                </c:pt>
                <c:pt idx="98">
                  <c:v>24063.470822165466</c:v>
                </c:pt>
                <c:pt idx="99">
                  <c:v>24045.084971874734</c:v>
                </c:pt>
                <c:pt idx="100">
                  <c:v>24026.539428555607</c:v>
                </c:pt>
                <c:pt idx="101">
                  <c:v>24007.834924354378</c:v>
                </c:pt>
                <c:pt idx="102">
                  <c:v>23988.972197692852</c:v>
                </c:pt>
                <c:pt idx="103">
                  <c:v>23969.951993239174</c:v>
                </c:pt>
                <c:pt idx="104">
                  <c:v>23950.775061878448</c:v>
                </c:pt>
                <c:pt idx="105">
                  <c:v>23931.442160683091</c:v>
                </c:pt>
                <c:pt idx="106">
                  <c:v>23911.954052882938</c:v>
                </c:pt>
                <c:pt idx="107">
                  <c:v>23892.311507835111</c:v>
                </c:pt>
                <c:pt idx="108">
                  <c:v>23872.515300993666</c:v>
                </c:pt>
                <c:pt idx="109">
                  <c:v>23852.566213878941</c:v>
                </c:pt>
                <c:pt idx="110">
                  <c:v>23832.465034046745</c:v>
                </c:pt>
                <c:pt idx="111">
                  <c:v>23812.212555057235</c:v>
                </c:pt>
                <c:pt idx="112">
                  <c:v>23791.809576443604</c:v>
                </c:pt>
                <c:pt idx="113">
                  <c:v>23771.256903680514</c:v>
                </c:pt>
                <c:pt idx="114">
                  <c:v>23750.555348152291</c:v>
                </c:pt>
                <c:pt idx="115">
                  <c:v>23729.705727120905</c:v>
                </c:pt>
                <c:pt idx="116">
                  <c:v>23708.70886369369</c:v>
                </c:pt>
                <c:pt idx="117">
                  <c:v>23687.565586790864</c:v>
                </c:pt>
                <c:pt idx="118">
                  <c:v>23666.276731112794</c:v>
                </c:pt>
                <c:pt idx="119">
                  <c:v>23644.843137107051</c:v>
                </c:pt>
                <c:pt idx="120">
                  <c:v>23623.265650935227</c:v>
                </c:pt>
                <c:pt idx="121">
                  <c:v>23601.545124439526</c:v>
                </c:pt>
                <c:pt idx="122">
                  <c:v>23579.68241510915</c:v>
                </c:pt>
                <c:pt idx="123">
                  <c:v>23557.67838604642</c:v>
                </c:pt>
                <c:pt idx="124">
                  <c:v>23535.533905932731</c:v>
                </c:pt>
                <c:pt idx="125">
                  <c:v>23513.249848994237</c:v>
                </c:pt>
                <c:pt idx="126">
                  <c:v>23490.827094967353</c:v>
                </c:pt>
                <c:pt idx="127">
                  <c:v>23468.266529064014</c:v>
                </c:pt>
                <c:pt idx="128">
                  <c:v>23445.569041936731</c:v>
                </c:pt>
                <c:pt idx="129">
                  <c:v>23422.735529643433</c:v>
                </c:pt>
                <c:pt idx="130">
                  <c:v>23399.766893612086</c:v>
                </c:pt>
                <c:pt idx="131">
                  <c:v>23376.664040605112</c:v>
                </c:pt>
                <c:pt idx="132">
                  <c:v>23353.427882683591</c:v>
                </c:pt>
                <c:pt idx="133">
                  <c:v>23330.059337171249</c:v>
                </c:pt>
                <c:pt idx="134">
                  <c:v>23306.559326618248</c:v>
                </c:pt>
                <c:pt idx="135">
                  <c:v>23282.92877876477</c:v>
                </c:pt>
                <c:pt idx="136">
                  <c:v>23259.168626504383</c:v>
                </c:pt>
                <c:pt idx="137">
                  <c:v>23235.279807847211</c:v>
                </c:pt>
                <c:pt idx="138">
                  <c:v>23211.26326588291</c:v>
                </c:pt>
                <c:pt idx="139">
                  <c:v>23187.119948743435</c:v>
                </c:pt>
                <c:pt idx="140">
                  <c:v>23162.850809565611</c:v>
                </c:pt>
                <c:pt idx="141">
                  <c:v>23138.456806453491</c:v>
                </c:pt>
                <c:pt idx="142">
                  <c:v>23113.93890244055</c:v>
                </c:pt>
                <c:pt idx="143">
                  <c:v>23089.298065451658</c:v>
                </c:pt>
                <c:pt idx="144">
                  <c:v>23064.53526826487</c:v>
                </c:pt>
                <c:pt idx="145">
                  <c:v>23039.651488473013</c:v>
                </c:pt>
                <c:pt idx="146">
                  <c:v>23014.647708445111</c:v>
                </c:pt>
                <c:pt idx="147">
                  <c:v>22989.52491528758</c:v>
                </c:pt>
                <c:pt idx="148">
                  <c:v>22964.284100805282</c:v>
                </c:pt>
                <c:pt idx="149">
                  <c:v>22938.926261462351</c:v>
                </c:pt>
                <c:pt idx="150">
                  <c:v>22913.452398342866</c:v>
                </c:pt>
                <c:pt idx="151">
                  <c:v>22887.863517111324</c:v>
                </c:pt>
                <c:pt idx="152">
                  <c:v>22862.160627972939</c:v>
                </c:pt>
                <c:pt idx="153">
                  <c:v>22836.344745633767</c:v>
                </c:pt>
                <c:pt idx="154">
                  <c:v>22810.416889260636</c:v>
                </c:pt>
                <c:pt idx="155">
                  <c:v>22784.378082440922</c:v>
                </c:pt>
                <c:pt idx="156">
                  <c:v>22758.229353142135</c:v>
                </c:pt>
                <c:pt idx="157">
                  <c:v>22731.971733671329</c:v>
                </c:pt>
                <c:pt idx="158">
                  <c:v>22705.606260634362</c:v>
                </c:pt>
                <c:pt idx="159">
                  <c:v>22679.133974894965</c:v>
                </c:pt>
                <c:pt idx="160">
                  <c:v>22652.555921533654</c:v>
                </c:pt>
                <c:pt idx="161">
                  <c:v>22625.873149806459</c:v>
                </c:pt>
                <c:pt idx="162">
                  <c:v>22599.08671310353</c:v>
                </c:pt>
                <c:pt idx="163">
                  <c:v>22572.197668907513</c:v>
                </c:pt>
                <c:pt idx="164">
                  <c:v>22545.207078751839</c:v>
                </c:pt>
                <c:pt idx="165">
                  <c:v>22518.116008178786</c:v>
                </c:pt>
                <c:pt idx="166">
                  <c:v>22490.925526697436</c:v>
                </c:pt>
                <c:pt idx="167">
                  <c:v>22463.63670774144</c:v>
                </c:pt>
                <c:pt idx="168">
                  <c:v>22436.250628626643</c:v>
                </c:pt>
                <c:pt idx="169">
                  <c:v>22408.768370508558</c:v>
                </c:pt>
                <c:pt idx="170">
                  <c:v>22381.191018339676</c:v>
                </c:pt>
                <c:pt idx="171">
                  <c:v>22353.519660826641</c:v>
                </c:pt>
                <c:pt idx="172">
                  <c:v>22325.755390387272</c:v>
                </c:pt>
                <c:pt idx="173">
                  <c:v>22297.899303107417</c:v>
                </c:pt>
                <c:pt idx="174">
                  <c:v>22269.952498697712</c:v>
                </c:pt>
                <c:pt idx="175">
                  <c:v>22241.916080450141</c:v>
                </c:pt>
                <c:pt idx="176">
                  <c:v>22213.791155194485</c:v>
                </c:pt>
                <c:pt idx="177">
                  <c:v>22185.578833254644</c:v>
                </c:pt>
                <c:pt idx="178">
                  <c:v>22157.280228404772</c:v>
                </c:pt>
                <c:pt idx="179">
                  <c:v>22128.89645782534</c:v>
                </c:pt>
                <c:pt idx="180">
                  <c:v>22100.428642059007</c:v>
                </c:pt>
                <c:pt idx="181">
                  <c:v>22071.877904966397</c:v>
                </c:pt>
                <c:pt idx="182">
                  <c:v>22043.245373681722</c:v>
                </c:pt>
                <c:pt idx="183">
                  <c:v>22014.53217856829</c:v>
                </c:pt>
                <c:pt idx="184">
                  <c:v>21985.739453173879</c:v>
                </c:pt>
                <c:pt idx="185">
                  <c:v>21956.868334185987</c:v>
                </c:pt>
                <c:pt idx="186">
                  <c:v>21927.919961386957</c:v>
                </c:pt>
                <c:pt idx="187">
                  <c:v>21898.895477608981</c:v>
                </c:pt>
                <c:pt idx="188">
                  <c:v>21869.796028688976</c:v>
                </c:pt>
                <c:pt idx="189">
                  <c:v>21840.622763423362</c:v>
                </c:pt>
                <c:pt idx="190">
                  <c:v>21811.376833522703</c:v>
                </c:pt>
                <c:pt idx="191">
                  <c:v>21782.059393566225</c:v>
                </c:pt>
                <c:pt idx="192">
                  <c:v>21752.671600956266</c:v>
                </c:pt>
                <c:pt idx="193">
                  <c:v>21723.214615872559</c:v>
                </c:pt>
                <c:pt idx="194">
                  <c:v>21693.68960122643</c:v>
                </c:pt>
                <c:pt idx="195">
                  <c:v>21664.097722614904</c:v>
                </c:pt>
                <c:pt idx="196">
                  <c:v>21634.440148274683</c:v>
                </c:pt>
                <c:pt idx="197">
                  <c:v>21604.718049036019</c:v>
                </c:pt>
                <c:pt idx="198">
                  <c:v>21574.932598276493</c:v>
                </c:pt>
                <c:pt idx="199">
                  <c:v>21545.084971874709</c:v>
                </c:pt>
                <c:pt idx="200">
                  <c:v>21515.176348163841</c:v>
                </c:pt>
                <c:pt idx="201">
                  <c:v>21485.207907885146</c:v>
                </c:pt>
                <c:pt idx="202">
                  <c:v>21455.180834141327</c:v>
                </c:pt>
                <c:pt idx="203">
                  <c:v>21425.096312349851</c:v>
                </c:pt>
                <c:pt idx="204">
                  <c:v>21394.955530196115</c:v>
                </c:pt>
                <c:pt idx="205">
                  <c:v>21364.759677586597</c:v>
                </c:pt>
                <c:pt idx="206">
                  <c:v>21334.509946601847</c:v>
                </c:pt>
                <c:pt idx="207">
                  <c:v>21304.207531449454</c:v>
                </c:pt>
                <c:pt idx="208">
                  <c:v>21273.85362841688</c:v>
                </c:pt>
                <c:pt idx="209">
                  <c:v>21243.449435824241</c:v>
                </c:pt>
                <c:pt idx="210">
                  <c:v>21212.996153977005</c:v>
                </c:pt>
                <c:pt idx="211">
                  <c:v>21182.494985118592</c:v>
                </c:pt>
                <c:pt idx="212">
                  <c:v>21151.947133382921</c:v>
                </c:pt>
                <c:pt idx="213">
                  <c:v>21121.353804746872</c:v>
                </c:pt>
                <c:pt idx="214">
                  <c:v>21090.716206982677</c:v>
                </c:pt>
                <c:pt idx="215">
                  <c:v>21060.035549610238</c:v>
                </c:pt>
                <c:pt idx="216">
                  <c:v>21029.313043849372</c:v>
                </c:pt>
                <c:pt idx="217">
                  <c:v>20998.549902572002</c:v>
                </c:pt>
                <c:pt idx="218">
                  <c:v>20967.747340254267</c:v>
                </c:pt>
                <c:pt idx="219">
                  <c:v>20936.906572928587</c:v>
                </c:pt>
                <c:pt idx="220">
                  <c:v>20906.028818135652</c:v>
                </c:pt>
                <c:pt idx="221">
                  <c:v>20875.115294876345</c:v>
                </c:pt>
                <c:pt idx="222">
                  <c:v>20844.167223563632</c:v>
                </c:pt>
                <c:pt idx="223">
                  <c:v>20813.185825974382</c:v>
                </c:pt>
                <c:pt idx="224">
                  <c:v>20782.172325201118</c:v>
                </c:pt>
                <c:pt idx="225">
                  <c:v>20751.127945603748</c:v>
                </c:pt>
                <c:pt idx="226">
                  <c:v>20720.053912761225</c:v>
                </c:pt>
                <c:pt idx="227">
                  <c:v>20688.951453423153</c:v>
                </c:pt>
                <c:pt idx="228">
                  <c:v>20657.821795461376</c:v>
                </c:pt>
                <c:pt idx="229">
                  <c:v>20626.666167821484</c:v>
                </c:pt>
                <c:pt idx="230">
                  <c:v>20595.485800474311</c:v>
                </c:pt>
                <c:pt idx="231">
                  <c:v>20564.281924367369</c:v>
                </c:pt>
                <c:pt idx="232">
                  <c:v>20533.055771376261</c:v>
                </c:pt>
                <c:pt idx="233">
                  <c:v>20501.808574256036</c:v>
                </c:pt>
                <c:pt idx="234">
                  <c:v>20470.541566592532</c:v>
                </c:pt>
                <c:pt idx="235">
                  <c:v>20439.255982753675</c:v>
                </c:pt>
                <c:pt idx="236">
                  <c:v>20407.953057840747</c:v>
                </c:pt>
                <c:pt idx="237">
                  <c:v>20376.634027639622</c:v>
                </c:pt>
                <c:pt idx="238">
                  <c:v>20345.300128571987</c:v>
                </c:pt>
                <c:pt idx="239">
                  <c:v>20313.952597646527</c:v>
                </c:pt>
                <c:pt idx="240">
                  <c:v>20282.592672410083</c:v>
                </c:pt>
                <c:pt idx="241">
                  <c:v>20251.221590898807</c:v>
                </c:pt>
                <c:pt idx="242">
                  <c:v>20219.840591589284</c:v>
                </c:pt>
                <c:pt idx="243">
                  <c:v>20188.450913349629</c:v>
                </c:pt>
                <c:pt idx="244">
                  <c:v>20157.053795390599</c:v>
                </c:pt>
                <c:pt idx="245">
                  <c:v>20125.650477216645</c:v>
                </c:pt>
                <c:pt idx="246">
                  <c:v>20094.242198576998</c:v>
                </c:pt>
                <c:pt idx="247">
                  <c:v>20062.83019941672</c:v>
                </c:pt>
                <c:pt idx="248">
                  <c:v>20031.41571982775</c:v>
                </c:pt>
                <c:pt idx="249">
                  <c:v>19999.999999999956</c:v>
                </c:pt>
                <c:pt idx="250">
                  <c:v>19968.584280172159</c:v>
                </c:pt>
                <c:pt idx="251">
                  <c:v>19937.169800583193</c:v>
                </c:pt>
                <c:pt idx="252">
                  <c:v>19905.757801422915</c:v>
                </c:pt>
                <c:pt idx="253">
                  <c:v>19874.349522783268</c:v>
                </c:pt>
                <c:pt idx="254">
                  <c:v>19842.946204609314</c:v>
                </c:pt>
                <c:pt idx="255">
                  <c:v>19811.549086650281</c:v>
                </c:pt>
                <c:pt idx="256">
                  <c:v>19780.159408410629</c:v>
                </c:pt>
                <c:pt idx="257">
                  <c:v>19748.778409101105</c:v>
                </c:pt>
                <c:pt idx="258">
                  <c:v>19717.40732758983</c:v>
                </c:pt>
                <c:pt idx="259">
                  <c:v>19686.047402353386</c:v>
                </c:pt>
                <c:pt idx="260">
                  <c:v>19654.699871427925</c:v>
                </c:pt>
                <c:pt idx="261">
                  <c:v>19623.36597236029</c:v>
                </c:pt>
                <c:pt idx="262">
                  <c:v>19592.046942159166</c:v>
                </c:pt>
                <c:pt idx="263">
                  <c:v>19560.744017246237</c:v>
                </c:pt>
                <c:pt idx="264">
                  <c:v>19529.458433407381</c:v>
                </c:pt>
                <c:pt idx="265">
                  <c:v>19498.191425743877</c:v>
                </c:pt>
                <c:pt idx="266">
                  <c:v>19466.944228623652</c:v>
                </c:pt>
                <c:pt idx="267">
                  <c:v>19435.718075632543</c:v>
                </c:pt>
                <c:pt idx="268">
                  <c:v>19404.514199525602</c:v>
                </c:pt>
                <c:pt idx="269">
                  <c:v>19373.333832178429</c:v>
                </c:pt>
                <c:pt idx="270">
                  <c:v>19342.178204538537</c:v>
                </c:pt>
                <c:pt idx="271">
                  <c:v>19311.04854657676</c:v>
                </c:pt>
                <c:pt idx="272">
                  <c:v>19279.946087238688</c:v>
                </c:pt>
                <c:pt idx="273">
                  <c:v>19248.872054396164</c:v>
                </c:pt>
                <c:pt idx="274">
                  <c:v>19217.827674798795</c:v>
                </c:pt>
                <c:pt idx="275">
                  <c:v>19186.814174025531</c:v>
                </c:pt>
                <c:pt idx="276">
                  <c:v>19155.83277643628</c:v>
                </c:pt>
                <c:pt idx="277">
                  <c:v>19124.884705123568</c:v>
                </c:pt>
                <c:pt idx="278">
                  <c:v>19093.971181864261</c:v>
                </c:pt>
                <c:pt idx="279">
                  <c:v>19063.093427071326</c:v>
                </c:pt>
                <c:pt idx="280">
                  <c:v>19032.252659745649</c:v>
                </c:pt>
                <c:pt idx="281">
                  <c:v>19001.450097427914</c:v>
                </c:pt>
                <c:pt idx="282">
                  <c:v>18970.686956150541</c:v>
                </c:pt>
                <c:pt idx="283">
                  <c:v>18939.964450389674</c:v>
                </c:pt>
                <c:pt idx="284">
                  <c:v>18909.283793017235</c:v>
                </c:pt>
                <c:pt idx="285">
                  <c:v>18878.646195253041</c:v>
                </c:pt>
                <c:pt idx="286">
                  <c:v>18848.052866616996</c:v>
                </c:pt>
                <c:pt idx="287">
                  <c:v>18817.505014881324</c:v>
                </c:pt>
                <c:pt idx="288">
                  <c:v>18787.003846022912</c:v>
                </c:pt>
                <c:pt idx="289">
                  <c:v>18756.550564175672</c:v>
                </c:pt>
                <c:pt idx="290">
                  <c:v>18726.146371583036</c:v>
                </c:pt>
                <c:pt idx="291">
                  <c:v>18695.792468550462</c:v>
                </c:pt>
                <c:pt idx="292">
                  <c:v>18665.490053398069</c:v>
                </c:pt>
                <c:pt idx="293">
                  <c:v>18635.24032241332</c:v>
                </c:pt>
                <c:pt idx="294">
                  <c:v>18605.044469803801</c:v>
                </c:pt>
                <c:pt idx="295">
                  <c:v>18574.903687650065</c:v>
                </c:pt>
                <c:pt idx="296">
                  <c:v>18544.819165858586</c:v>
                </c:pt>
                <c:pt idx="297">
                  <c:v>18514.792092114771</c:v>
                </c:pt>
                <c:pt idx="298">
                  <c:v>18484.823651836075</c:v>
                </c:pt>
                <c:pt idx="299">
                  <c:v>18454.915028125208</c:v>
                </c:pt>
                <c:pt idx="300">
                  <c:v>18425.06740172342</c:v>
                </c:pt>
                <c:pt idx="301">
                  <c:v>18395.281950963898</c:v>
                </c:pt>
                <c:pt idx="302">
                  <c:v>18365.559851725233</c:v>
                </c:pt>
                <c:pt idx="303">
                  <c:v>18335.902277385012</c:v>
                </c:pt>
                <c:pt idx="304">
                  <c:v>18306.310398773487</c:v>
                </c:pt>
                <c:pt idx="305">
                  <c:v>18276.785384127361</c:v>
                </c:pt>
                <c:pt idx="306">
                  <c:v>18247.32839904365</c:v>
                </c:pt>
                <c:pt idx="307">
                  <c:v>18217.940606433691</c:v>
                </c:pt>
                <c:pt idx="308">
                  <c:v>18188.623166477217</c:v>
                </c:pt>
                <c:pt idx="309">
                  <c:v>18159.377236576554</c:v>
                </c:pt>
                <c:pt idx="310">
                  <c:v>18130.203971310941</c:v>
                </c:pt>
                <c:pt idx="311">
                  <c:v>18101.104522390939</c:v>
                </c:pt>
                <c:pt idx="312">
                  <c:v>18072.080038612963</c:v>
                </c:pt>
                <c:pt idx="313">
                  <c:v>18043.131665813933</c:v>
                </c:pt>
                <c:pt idx="314">
                  <c:v>18014.260546826041</c:v>
                </c:pt>
                <c:pt idx="315">
                  <c:v>17985.46782143163</c:v>
                </c:pt>
                <c:pt idx="316">
                  <c:v>17956.754626318198</c:v>
                </c:pt>
                <c:pt idx="317">
                  <c:v>17928.122095033523</c:v>
                </c:pt>
                <c:pt idx="318">
                  <c:v>17899.571357940913</c:v>
                </c:pt>
                <c:pt idx="319">
                  <c:v>17871.10354217458</c:v>
                </c:pt>
                <c:pt idx="320">
                  <c:v>17842.719771595148</c:v>
                </c:pt>
                <c:pt idx="321">
                  <c:v>17814.42116674528</c:v>
                </c:pt>
                <c:pt idx="322">
                  <c:v>17786.208844805435</c:v>
                </c:pt>
                <c:pt idx="323">
                  <c:v>17758.083919549783</c:v>
                </c:pt>
                <c:pt idx="324">
                  <c:v>17730.047501302208</c:v>
                </c:pt>
                <c:pt idx="325">
                  <c:v>17702.100696892503</c:v>
                </c:pt>
                <c:pt idx="326">
                  <c:v>17674.244609612651</c:v>
                </c:pt>
                <c:pt idx="327">
                  <c:v>17646.480339173278</c:v>
                </c:pt>
                <c:pt idx="328">
                  <c:v>17618.808981660248</c:v>
                </c:pt>
                <c:pt idx="329">
                  <c:v>17591.231629491365</c:v>
                </c:pt>
                <c:pt idx="330">
                  <c:v>17563.74937137328</c:v>
                </c:pt>
                <c:pt idx="331">
                  <c:v>17536.363292258484</c:v>
                </c:pt>
                <c:pt idx="332">
                  <c:v>17509.074473302488</c:v>
                </c:pt>
                <c:pt idx="333">
                  <c:v>17481.883991821138</c:v>
                </c:pt>
                <c:pt idx="334">
                  <c:v>17454.792921248085</c:v>
                </c:pt>
                <c:pt idx="335">
                  <c:v>17427.802331092411</c:v>
                </c:pt>
                <c:pt idx="336">
                  <c:v>17400.913286896393</c:v>
                </c:pt>
                <c:pt idx="337">
                  <c:v>17374.126850193465</c:v>
                </c:pt>
                <c:pt idx="338">
                  <c:v>17347.444078466273</c:v>
                </c:pt>
                <c:pt idx="339">
                  <c:v>17320.866025104959</c:v>
                </c:pt>
                <c:pt idx="340">
                  <c:v>17294.393739365565</c:v>
                </c:pt>
                <c:pt idx="341">
                  <c:v>17268.028266328598</c:v>
                </c:pt>
                <c:pt idx="342">
                  <c:v>17241.770646857793</c:v>
                </c:pt>
                <c:pt idx="343">
                  <c:v>17215.621917559001</c:v>
                </c:pt>
                <c:pt idx="344">
                  <c:v>17189.583110739291</c:v>
                </c:pt>
                <c:pt idx="345">
                  <c:v>17163.65525436616</c:v>
                </c:pt>
                <c:pt idx="346">
                  <c:v>17137.839372026989</c:v>
                </c:pt>
                <c:pt idx="347">
                  <c:v>17112.136482888603</c:v>
                </c:pt>
                <c:pt idx="348">
                  <c:v>17086.547601657061</c:v>
                </c:pt>
                <c:pt idx="349">
                  <c:v>17061.073738537576</c:v>
                </c:pt>
                <c:pt idx="350">
                  <c:v>17035.715899194645</c:v>
                </c:pt>
                <c:pt idx="351">
                  <c:v>17010.475084712351</c:v>
                </c:pt>
                <c:pt idx="352">
                  <c:v>16985.35229155482</c:v>
                </c:pt>
                <c:pt idx="353">
                  <c:v>16960.348511526914</c:v>
                </c:pt>
                <c:pt idx="354">
                  <c:v>16935.464731735061</c:v>
                </c:pt>
                <c:pt idx="355">
                  <c:v>16910.701934548273</c:v>
                </c:pt>
                <c:pt idx="356">
                  <c:v>16886.061097559381</c:v>
                </c:pt>
                <c:pt idx="357">
                  <c:v>16861.54319354644</c:v>
                </c:pt>
                <c:pt idx="358">
                  <c:v>16837.14919043432</c:v>
                </c:pt>
                <c:pt idx="359">
                  <c:v>16812.880051256496</c:v>
                </c:pt>
                <c:pt idx="360">
                  <c:v>16788.736734117021</c:v>
                </c:pt>
                <c:pt idx="361">
                  <c:v>16764.720192152723</c:v>
                </c:pt>
                <c:pt idx="362">
                  <c:v>16740.831373495552</c:v>
                </c:pt>
                <c:pt idx="363">
                  <c:v>16717.071221235161</c:v>
                </c:pt>
                <c:pt idx="364">
                  <c:v>16693.440673381687</c:v>
                </c:pt>
                <c:pt idx="365">
                  <c:v>16669.940662828685</c:v>
                </c:pt>
                <c:pt idx="366">
                  <c:v>16646.572117316344</c:v>
                </c:pt>
                <c:pt idx="367">
                  <c:v>16623.335959394823</c:v>
                </c:pt>
                <c:pt idx="368">
                  <c:v>16600.233106387848</c:v>
                </c:pt>
                <c:pt idx="369">
                  <c:v>16577.264470356502</c:v>
                </c:pt>
                <c:pt idx="370">
                  <c:v>16554.430958063203</c:v>
                </c:pt>
                <c:pt idx="371">
                  <c:v>16531.73347093592</c:v>
                </c:pt>
                <c:pt idx="372">
                  <c:v>16509.172905032581</c:v>
                </c:pt>
                <c:pt idx="373">
                  <c:v>16486.750151005697</c:v>
                </c:pt>
                <c:pt idx="374">
                  <c:v>16464.466094067207</c:v>
                </c:pt>
                <c:pt idx="375">
                  <c:v>16442.321613953518</c:v>
                </c:pt>
                <c:pt idx="376">
                  <c:v>16420.317584890789</c:v>
                </c:pt>
                <c:pt idx="377">
                  <c:v>16398.454875560412</c:v>
                </c:pt>
                <c:pt idx="378">
                  <c:v>16376.734349064713</c:v>
                </c:pt>
                <c:pt idx="379">
                  <c:v>16355.156862892889</c:v>
                </c:pt>
                <c:pt idx="380">
                  <c:v>16333.723268887146</c:v>
                </c:pt>
                <c:pt idx="381">
                  <c:v>16312.434413209077</c:v>
                </c:pt>
                <c:pt idx="382">
                  <c:v>16291.29113630625</c:v>
                </c:pt>
                <c:pt idx="383">
                  <c:v>16270.294272879037</c:v>
                </c:pt>
                <c:pt idx="384">
                  <c:v>16249.444651847649</c:v>
                </c:pt>
                <c:pt idx="385">
                  <c:v>16228.743096319427</c:v>
                </c:pt>
                <c:pt idx="386">
                  <c:v>16208.190423556338</c:v>
                </c:pt>
                <c:pt idx="387">
                  <c:v>16187.787444942709</c:v>
                </c:pt>
                <c:pt idx="388">
                  <c:v>16167.534965953198</c:v>
                </c:pt>
                <c:pt idx="389">
                  <c:v>16147.433786121002</c:v>
                </c:pt>
                <c:pt idx="390">
                  <c:v>16127.48469900628</c:v>
                </c:pt>
                <c:pt idx="391">
                  <c:v>16107.688492164831</c:v>
                </c:pt>
                <c:pt idx="392">
                  <c:v>16088.045947117009</c:v>
                </c:pt>
                <c:pt idx="393">
                  <c:v>16068.557839316854</c:v>
                </c:pt>
                <c:pt idx="394">
                  <c:v>16049.224938121497</c:v>
                </c:pt>
                <c:pt idx="395">
                  <c:v>16030.048006760773</c:v>
                </c:pt>
                <c:pt idx="396">
                  <c:v>16011.027802307095</c:v>
                </c:pt>
                <c:pt idx="397">
                  <c:v>15992.165075645567</c:v>
                </c:pt>
                <c:pt idx="398">
                  <c:v>15973.460571444341</c:v>
                </c:pt>
                <c:pt idx="399">
                  <c:v>15954.915028125213</c:v>
                </c:pt>
                <c:pt idx="400">
                  <c:v>15936.529177834482</c:v>
                </c:pt>
                <c:pt idx="401">
                  <c:v>15918.303746414033</c:v>
                </c:pt>
                <c:pt idx="402">
                  <c:v>15900.239453372691</c:v>
                </c:pt>
                <c:pt idx="403">
                  <c:v>15882.337011857813</c:v>
                </c:pt>
                <c:pt idx="404">
                  <c:v>15864.597128627143</c:v>
                </c:pt>
                <c:pt idx="405">
                  <c:v>15847.020504020889</c:v>
                </c:pt>
                <c:pt idx="406">
                  <c:v>15829.607831934096</c:v>
                </c:pt>
                <c:pt idx="407">
                  <c:v>15812.359799789245</c:v>
                </c:pt>
                <c:pt idx="408">
                  <c:v>15795.277088509109</c:v>
                </c:pt>
                <c:pt idx="409">
                  <c:v>15778.360372489879</c:v>
                </c:pt>
                <c:pt idx="410">
                  <c:v>15761.610319574538</c:v>
                </c:pt>
                <c:pt idx="411">
                  <c:v>15745.027591026494</c:v>
                </c:pt>
                <c:pt idx="412">
                  <c:v>15728.61284150348</c:v>
                </c:pt>
                <c:pt idx="413">
                  <c:v>15712.366719031694</c:v>
                </c:pt>
                <c:pt idx="414">
                  <c:v>15696.289864980237</c:v>
                </c:pt>
                <c:pt idx="415">
                  <c:v>15680.382914035779</c:v>
                </c:pt>
                <c:pt idx="416">
                  <c:v>15664.646494177505</c:v>
                </c:pt>
                <c:pt idx="417">
                  <c:v>15649.081226652328</c:v>
                </c:pt>
                <c:pt idx="418">
                  <c:v>15633.687725950356</c:v>
                </c:pt>
                <c:pt idx="419">
                  <c:v>15618.466599780641</c:v>
                </c:pt>
                <c:pt idx="420">
                  <c:v>15603.418449047176</c:v>
                </c:pt>
                <c:pt idx="421">
                  <c:v>15588.543867825192</c:v>
                </c:pt>
                <c:pt idx="422">
                  <c:v>15573.843443337682</c:v>
                </c:pt>
                <c:pt idx="423">
                  <c:v>15559.317755932236</c:v>
                </c:pt>
                <c:pt idx="424">
                  <c:v>15544.967379058118</c:v>
                </c:pt>
                <c:pt idx="425">
                  <c:v>15530.79287924364</c:v>
                </c:pt>
                <c:pt idx="426">
                  <c:v>15516.79481607378</c:v>
                </c:pt>
                <c:pt idx="427">
                  <c:v>15502.973742168106</c:v>
                </c:pt>
                <c:pt idx="428">
                  <c:v>15489.330203158946</c:v>
                </c:pt>
                <c:pt idx="429">
                  <c:v>15475.864737669865</c:v>
                </c:pt>
                <c:pt idx="430">
                  <c:v>15462.577877294378</c:v>
                </c:pt>
                <c:pt idx="431">
                  <c:v>15449.470146574982</c:v>
                </c:pt>
                <c:pt idx="432">
                  <c:v>15436.542062982448</c:v>
                </c:pt>
                <c:pt idx="433">
                  <c:v>15423.794136895374</c:v>
                </c:pt>
                <c:pt idx="434">
                  <c:v>15411.226871580056</c:v>
                </c:pt>
                <c:pt idx="435">
                  <c:v>15398.840763170612</c:v>
                </c:pt>
                <c:pt idx="436">
                  <c:v>15386.636300649388</c:v>
                </c:pt>
                <c:pt idx="437">
                  <c:v>15374.613965827673</c:v>
                </c:pt>
                <c:pt idx="438">
                  <c:v>15362.774233326658</c:v>
                </c:pt>
                <c:pt idx="439">
                  <c:v>15351.117570558708</c:v>
                </c:pt>
                <c:pt idx="440">
                  <c:v>15339.64443770891</c:v>
                </c:pt>
                <c:pt idx="441">
                  <c:v>15328.355287716906</c:v>
                </c:pt>
                <c:pt idx="442">
                  <c:v>15317.250566259005</c:v>
                </c:pt>
                <c:pt idx="443">
                  <c:v>15306.330711730596</c:v>
                </c:pt>
                <c:pt idx="444">
                  <c:v>15295.596155228839</c:v>
                </c:pt>
                <c:pt idx="445">
                  <c:v>15285.047320535647</c:v>
                </c:pt>
                <c:pt idx="446">
                  <c:v>15274.684624100944</c:v>
                </c:pt>
                <c:pt idx="447">
                  <c:v>15264.508475026247</c:v>
                </c:pt>
                <c:pt idx="448">
                  <c:v>15254.519275048497</c:v>
                </c:pt>
                <c:pt idx="449">
                  <c:v>15244.717418524202</c:v>
                </c:pt>
                <c:pt idx="450">
                  <c:v>15235.103292413876</c:v>
                </c:pt>
                <c:pt idx="451">
                  <c:v>15225.677276266757</c:v>
                </c:pt>
                <c:pt idx="452">
                  <c:v>15216.439742205819</c:v>
                </c:pt>
                <c:pt idx="453">
                  <c:v>15207.391054913092</c:v>
                </c:pt>
                <c:pt idx="454">
                  <c:v>15198.531571615258</c:v>
                </c:pt>
                <c:pt idx="455">
                  <c:v>15189.861642069543</c:v>
                </c:pt>
                <c:pt idx="456">
                  <c:v>15181.381608549924</c:v>
                </c:pt>
                <c:pt idx="457">
                  <c:v>15173.091805833605</c:v>
                </c:pt>
                <c:pt idx="458">
                  <c:v>15164.992561187799</c:v>
                </c:pt>
                <c:pt idx="459">
                  <c:v>15157.084194356819</c:v>
                </c:pt>
                <c:pt idx="460">
                  <c:v>15149.367017549446</c:v>
                </c:pt>
                <c:pt idx="461">
                  <c:v>15141.841335426607</c:v>
                </c:pt>
                <c:pt idx="462">
                  <c:v>15134.507445089344</c:v>
                </c:pt>
                <c:pt idx="463">
                  <c:v>15127.365636067092</c:v>
                </c:pt>
                <c:pt idx="464">
                  <c:v>15120.416190306241</c:v>
                </c:pt>
                <c:pt idx="465">
                  <c:v>15113.65938215901</c:v>
                </c:pt>
                <c:pt idx="466">
                  <c:v>15107.095478372619</c:v>
                </c:pt>
                <c:pt idx="467">
                  <c:v>15100.724738078745</c:v>
                </c:pt>
                <c:pt idx="468">
                  <c:v>15094.547412783309</c:v>
                </c:pt>
                <c:pt idx="469">
                  <c:v>15088.563746356536</c:v>
                </c:pt>
                <c:pt idx="470">
                  <c:v>15082.773975023334</c:v>
                </c:pt>
                <c:pt idx="471">
                  <c:v>15077.178327353955</c:v>
                </c:pt>
                <c:pt idx="472">
                  <c:v>15071.777024254992</c:v>
                </c:pt>
                <c:pt idx="473">
                  <c:v>15066.570278960644</c:v>
                </c:pt>
                <c:pt idx="474">
                  <c:v>15061.558297024294</c:v>
                </c:pt>
                <c:pt idx="475">
                  <c:v>15056.741276310415</c:v>
                </c:pt>
                <c:pt idx="476">
                  <c:v>15052.119406986731</c:v>
                </c:pt>
                <c:pt idx="477">
                  <c:v>15047.692871516731</c:v>
                </c:pt>
                <c:pt idx="478">
                  <c:v>15043.461844652453</c:v>
                </c:pt>
                <c:pt idx="479">
                  <c:v>15039.426493427598</c:v>
                </c:pt>
                <c:pt idx="480">
                  <c:v>15035.586977150921</c:v>
                </c:pt>
                <c:pt idx="481">
                  <c:v>15031.943447399946</c:v>
                </c:pt>
                <c:pt idx="482">
                  <c:v>15028.496048014993</c:v>
                </c:pt>
                <c:pt idx="483">
                  <c:v>15025.244915093488</c:v>
                </c:pt>
                <c:pt idx="484">
                  <c:v>15022.19017698459</c:v>
                </c:pt>
                <c:pt idx="485">
                  <c:v>15019.331954284127</c:v>
                </c:pt>
                <c:pt idx="486">
                  <c:v>15016.670359829841</c:v>
                </c:pt>
                <c:pt idx="487">
                  <c:v>15014.205498696923</c:v>
                </c:pt>
                <c:pt idx="488">
                  <c:v>15011.937468193868</c:v>
                </c:pt>
                <c:pt idx="489">
                  <c:v>15009.866357858635</c:v>
                </c:pt>
                <c:pt idx="490">
                  <c:v>15007.992249455119</c:v>
                </c:pt>
                <c:pt idx="491">
                  <c:v>15006.315216969906</c:v>
                </c:pt>
                <c:pt idx="492">
                  <c:v>15004.835326609373</c:v>
                </c:pt>
                <c:pt idx="493">
                  <c:v>15003.552636797049</c:v>
                </c:pt>
                <c:pt idx="494">
                  <c:v>15002.46719817134</c:v>
                </c:pt>
                <c:pt idx="495">
                  <c:v>15001.579053583497</c:v>
                </c:pt>
                <c:pt idx="496">
                  <c:v>15000.888238095953</c:v>
                </c:pt>
                <c:pt idx="497">
                  <c:v>15000.394778980917</c:v>
                </c:pt>
                <c:pt idx="498">
                  <c:v>15000.098695719313</c:v>
                </c:pt>
                <c:pt idx="499">
                  <c:v>15000</c:v>
                </c:pt>
                <c:pt idx="500">
                  <c:v>15000.098695719316</c:v>
                </c:pt>
                <c:pt idx="501">
                  <c:v>15000.394778980921</c:v>
                </c:pt>
                <c:pt idx="502">
                  <c:v>15000.888238095957</c:v>
                </c:pt>
                <c:pt idx="503">
                  <c:v>15001.579053583504</c:v>
                </c:pt>
                <c:pt idx="504">
                  <c:v>15002.467198171345</c:v>
                </c:pt>
                <c:pt idx="505">
                  <c:v>15003.552636797058</c:v>
                </c:pt>
                <c:pt idx="506">
                  <c:v>15004.835326609382</c:v>
                </c:pt>
                <c:pt idx="507">
                  <c:v>15006.315216969917</c:v>
                </c:pt>
                <c:pt idx="508">
                  <c:v>15007.992249455132</c:v>
                </c:pt>
                <c:pt idx="509">
                  <c:v>15009.866357858649</c:v>
                </c:pt>
                <c:pt idx="510">
                  <c:v>15011.937468193883</c:v>
                </c:pt>
                <c:pt idx="511">
                  <c:v>15014.205498696938</c:v>
                </c:pt>
                <c:pt idx="512">
                  <c:v>15016.670359829859</c:v>
                </c:pt>
                <c:pt idx="513">
                  <c:v>15019.331954284147</c:v>
                </c:pt>
                <c:pt idx="514">
                  <c:v>15022.190176984612</c:v>
                </c:pt>
                <c:pt idx="515">
                  <c:v>15025.24491509351</c:v>
                </c:pt>
                <c:pt idx="516">
                  <c:v>15028.496048015018</c:v>
                </c:pt>
                <c:pt idx="517">
                  <c:v>15031.943447399972</c:v>
                </c:pt>
                <c:pt idx="518">
                  <c:v>15035.586977150946</c:v>
                </c:pt>
                <c:pt idx="519">
                  <c:v>15039.426493427625</c:v>
                </c:pt>
                <c:pt idx="520">
                  <c:v>15043.461844652484</c:v>
                </c:pt>
                <c:pt idx="521">
                  <c:v>15047.69287151676</c:v>
                </c:pt>
                <c:pt idx="522">
                  <c:v>15052.119406986762</c:v>
                </c:pt>
                <c:pt idx="523">
                  <c:v>15056.741276310448</c:v>
                </c:pt>
                <c:pt idx="524">
                  <c:v>15061.55829702433</c:v>
                </c:pt>
                <c:pt idx="525">
                  <c:v>15066.570278960678</c:v>
                </c:pt>
                <c:pt idx="526">
                  <c:v>15071.777024255029</c:v>
                </c:pt>
                <c:pt idx="527">
                  <c:v>15077.178327353995</c:v>
                </c:pt>
                <c:pt idx="528">
                  <c:v>15082.773975023374</c:v>
                </c:pt>
                <c:pt idx="529">
                  <c:v>15088.56374635658</c:v>
                </c:pt>
                <c:pt idx="530">
                  <c:v>15094.547412783351</c:v>
                </c:pt>
                <c:pt idx="531">
                  <c:v>15100.724738078789</c:v>
                </c:pt>
                <c:pt idx="532">
                  <c:v>15107.095478372663</c:v>
                </c:pt>
                <c:pt idx="533">
                  <c:v>15113.659382159058</c:v>
                </c:pt>
                <c:pt idx="534">
                  <c:v>15120.416190306289</c:v>
                </c:pt>
                <c:pt idx="535">
                  <c:v>15127.365636067141</c:v>
                </c:pt>
                <c:pt idx="536">
                  <c:v>15134.507445089395</c:v>
                </c:pt>
                <c:pt idx="537">
                  <c:v>15141.841335426659</c:v>
                </c:pt>
                <c:pt idx="538">
                  <c:v>15149.367017549499</c:v>
                </c:pt>
                <c:pt idx="539">
                  <c:v>15157.084194356874</c:v>
                </c:pt>
                <c:pt idx="540">
                  <c:v>15164.992561187855</c:v>
                </c:pt>
                <c:pt idx="541">
                  <c:v>15173.091805833661</c:v>
                </c:pt>
                <c:pt idx="542">
                  <c:v>15181.381608549984</c:v>
                </c:pt>
                <c:pt idx="543">
                  <c:v>15189.861642069603</c:v>
                </c:pt>
                <c:pt idx="544">
                  <c:v>15198.531571615318</c:v>
                </c:pt>
                <c:pt idx="545">
                  <c:v>15207.391054913154</c:v>
                </c:pt>
                <c:pt idx="546">
                  <c:v>15216.439742205883</c:v>
                </c:pt>
                <c:pt idx="547">
                  <c:v>15225.677276266822</c:v>
                </c:pt>
                <c:pt idx="548">
                  <c:v>15235.103292413944</c:v>
                </c:pt>
                <c:pt idx="549">
                  <c:v>15244.717418524269</c:v>
                </c:pt>
                <c:pt idx="550">
                  <c:v>15254.519275048566</c:v>
                </c:pt>
                <c:pt idx="551">
                  <c:v>15264.50847502632</c:v>
                </c:pt>
                <c:pt idx="552">
                  <c:v>15274.684624101017</c:v>
                </c:pt>
                <c:pt idx="553">
                  <c:v>15285.047320535719</c:v>
                </c:pt>
                <c:pt idx="554">
                  <c:v>15295.596155228915</c:v>
                </c:pt>
                <c:pt idx="555">
                  <c:v>15306.330711730672</c:v>
                </c:pt>
                <c:pt idx="556">
                  <c:v>15317.250566259081</c:v>
                </c:pt>
                <c:pt idx="557">
                  <c:v>15328.355287716986</c:v>
                </c:pt>
                <c:pt idx="558">
                  <c:v>15339.64443770899</c:v>
                </c:pt>
                <c:pt idx="559">
                  <c:v>15351.117570558788</c:v>
                </c:pt>
                <c:pt idx="560">
                  <c:v>15362.774233326742</c:v>
                </c:pt>
                <c:pt idx="561">
                  <c:v>15374.613965827757</c:v>
                </c:pt>
                <c:pt idx="562">
                  <c:v>15386.636300649476</c:v>
                </c:pt>
                <c:pt idx="563">
                  <c:v>15398.840763170698</c:v>
                </c:pt>
                <c:pt idx="564">
                  <c:v>15411.226871580144</c:v>
                </c:pt>
                <c:pt idx="565">
                  <c:v>15423.794136895463</c:v>
                </c:pt>
                <c:pt idx="566">
                  <c:v>15436.542062982538</c:v>
                </c:pt>
                <c:pt idx="567">
                  <c:v>15449.470146575075</c:v>
                </c:pt>
                <c:pt idx="568">
                  <c:v>15462.577877294469</c:v>
                </c:pt>
                <c:pt idx="569">
                  <c:v>15475.864737669957</c:v>
                </c:pt>
                <c:pt idx="570">
                  <c:v>15489.330203159043</c:v>
                </c:pt>
                <c:pt idx="571">
                  <c:v>15502.9737421682</c:v>
                </c:pt>
                <c:pt idx="572">
                  <c:v>15516.794816073878</c:v>
                </c:pt>
                <c:pt idx="573">
                  <c:v>15530.79287924374</c:v>
                </c:pt>
                <c:pt idx="574">
                  <c:v>15544.96737905822</c:v>
                </c:pt>
                <c:pt idx="575">
                  <c:v>15559.317755932338</c:v>
                </c:pt>
                <c:pt idx="576">
                  <c:v>15573.843443337784</c:v>
                </c:pt>
                <c:pt idx="577">
                  <c:v>15588.543867825294</c:v>
                </c:pt>
                <c:pt idx="578">
                  <c:v>15603.41844904728</c:v>
                </c:pt>
                <c:pt idx="579">
                  <c:v>15618.466599780746</c:v>
                </c:pt>
                <c:pt idx="580">
                  <c:v>15633.687725950464</c:v>
                </c:pt>
                <c:pt idx="581">
                  <c:v>15649.081226652437</c:v>
                </c:pt>
                <c:pt idx="582">
                  <c:v>15664.646494177616</c:v>
                </c:pt>
                <c:pt idx="583">
                  <c:v>15680.38291403589</c:v>
                </c:pt>
                <c:pt idx="584">
                  <c:v>15696.28986498035</c:v>
                </c:pt>
                <c:pt idx="585">
                  <c:v>15712.366719031808</c:v>
                </c:pt>
                <c:pt idx="586">
                  <c:v>15728.612841503593</c:v>
                </c:pt>
                <c:pt idx="587">
                  <c:v>15745.02759102661</c:v>
                </c:pt>
                <c:pt idx="588">
                  <c:v>15761.610319574655</c:v>
                </c:pt>
                <c:pt idx="589">
                  <c:v>15778.360372489997</c:v>
                </c:pt>
                <c:pt idx="590">
                  <c:v>15795.277088509229</c:v>
                </c:pt>
                <c:pt idx="591">
                  <c:v>15812.359799789365</c:v>
                </c:pt>
                <c:pt idx="592">
                  <c:v>15829.60783193422</c:v>
                </c:pt>
                <c:pt idx="593">
                  <c:v>15847.020504021013</c:v>
                </c:pt>
                <c:pt idx="594">
                  <c:v>15864.597128627267</c:v>
                </c:pt>
                <c:pt idx="595">
                  <c:v>15882.337011857941</c:v>
                </c:pt>
                <c:pt idx="596">
                  <c:v>15900.239453372817</c:v>
                </c:pt>
                <c:pt idx="597">
                  <c:v>15918.30374641416</c:v>
                </c:pt>
                <c:pt idx="598">
                  <c:v>15936.529177834609</c:v>
                </c:pt>
                <c:pt idx="599">
                  <c:v>15954.915028125342</c:v>
                </c:pt>
                <c:pt idx="600">
                  <c:v>15973.460571444471</c:v>
                </c:pt>
                <c:pt idx="601">
                  <c:v>15992.1650756457</c:v>
                </c:pt>
                <c:pt idx="602">
                  <c:v>16011.027802307228</c:v>
                </c:pt>
                <c:pt idx="603">
                  <c:v>16030.048006760908</c:v>
                </c:pt>
                <c:pt idx="604">
                  <c:v>16049.224938121633</c:v>
                </c:pt>
                <c:pt idx="605">
                  <c:v>16068.557839316991</c:v>
                </c:pt>
                <c:pt idx="606">
                  <c:v>16088.045947117145</c:v>
                </c:pt>
                <c:pt idx="607">
                  <c:v>16107.688492164969</c:v>
                </c:pt>
                <c:pt idx="608">
                  <c:v>16127.48469900642</c:v>
                </c:pt>
                <c:pt idx="609">
                  <c:v>16147.433786121142</c:v>
                </c:pt>
                <c:pt idx="610">
                  <c:v>16167.53496595334</c:v>
                </c:pt>
                <c:pt idx="611">
                  <c:v>16187.787444942851</c:v>
                </c:pt>
                <c:pt idx="612">
                  <c:v>16208.190423556482</c:v>
                </c:pt>
                <c:pt idx="613">
                  <c:v>16228.743096319573</c:v>
                </c:pt>
                <c:pt idx="614">
                  <c:v>16249.444651847796</c:v>
                </c:pt>
                <c:pt idx="615">
                  <c:v>16270.294272879182</c:v>
                </c:pt>
                <c:pt idx="616">
                  <c:v>16291.291136306399</c:v>
                </c:pt>
                <c:pt idx="617">
                  <c:v>16312.434413209226</c:v>
                </c:pt>
                <c:pt idx="618">
                  <c:v>16333.723268887297</c:v>
                </c:pt>
                <c:pt idx="619">
                  <c:v>16355.15686289304</c:v>
                </c:pt>
                <c:pt idx="620">
                  <c:v>16376.734349064865</c:v>
                </c:pt>
                <c:pt idx="621">
                  <c:v>16398.454875560565</c:v>
                </c:pt>
                <c:pt idx="622">
                  <c:v>16420.317584890945</c:v>
                </c:pt>
                <c:pt idx="623">
                  <c:v>16442.321613953674</c:v>
                </c:pt>
                <c:pt idx="624">
                  <c:v>16464.466094067364</c:v>
                </c:pt>
                <c:pt idx="625">
                  <c:v>16486.750151005857</c:v>
                </c:pt>
                <c:pt idx="626">
                  <c:v>16509.172905032741</c:v>
                </c:pt>
                <c:pt idx="627">
                  <c:v>16531.73347093608</c:v>
                </c:pt>
                <c:pt idx="628">
                  <c:v>16554.430958063364</c:v>
                </c:pt>
                <c:pt idx="629">
                  <c:v>16577.264470356662</c:v>
                </c:pt>
                <c:pt idx="630">
                  <c:v>16600.233106388012</c:v>
                </c:pt>
                <c:pt idx="631">
                  <c:v>16623.335959394986</c:v>
                </c:pt>
                <c:pt idx="632">
                  <c:v>16646.572117316508</c:v>
                </c:pt>
                <c:pt idx="633">
                  <c:v>16669.940662828853</c:v>
                </c:pt>
                <c:pt idx="634">
                  <c:v>16693.440673381851</c:v>
                </c:pt>
                <c:pt idx="635">
                  <c:v>16717.071221235328</c:v>
                </c:pt>
                <c:pt idx="636">
                  <c:v>16740.831373495716</c:v>
                </c:pt>
                <c:pt idx="637">
                  <c:v>16764.720192152887</c:v>
                </c:pt>
                <c:pt idx="638">
                  <c:v>16788.736734117185</c:v>
                </c:pt>
                <c:pt idx="639">
                  <c:v>16812.880051256659</c:v>
                </c:pt>
                <c:pt idx="640">
                  <c:v>16837.149190434484</c:v>
                </c:pt>
                <c:pt idx="641">
                  <c:v>16861.543193546604</c:v>
                </c:pt>
                <c:pt idx="642">
                  <c:v>16886.061097559541</c:v>
                </c:pt>
                <c:pt idx="643">
                  <c:v>16910.70193454843</c:v>
                </c:pt>
                <c:pt idx="644">
                  <c:v>16935.464731735221</c:v>
                </c:pt>
                <c:pt idx="645">
                  <c:v>16960.348511527074</c:v>
                </c:pt>
                <c:pt idx="646">
                  <c:v>16985.352291554977</c:v>
                </c:pt>
                <c:pt idx="647">
                  <c:v>17010.475084712503</c:v>
                </c:pt>
                <c:pt idx="648">
                  <c:v>17035.715899194802</c:v>
                </c:pt>
                <c:pt idx="649">
                  <c:v>17061.073738537732</c:v>
                </c:pt>
                <c:pt idx="650">
                  <c:v>17086.547601657214</c:v>
                </c:pt>
                <c:pt idx="651">
                  <c:v>17112.136482888756</c:v>
                </c:pt>
                <c:pt idx="652">
                  <c:v>17137.839372027138</c:v>
                </c:pt>
                <c:pt idx="653">
                  <c:v>17163.655254366309</c:v>
                </c:pt>
                <c:pt idx="654">
                  <c:v>17189.583110739437</c:v>
                </c:pt>
                <c:pt idx="655">
                  <c:v>17215.62191755915</c:v>
                </c:pt>
                <c:pt idx="656">
                  <c:v>17241.770646857938</c:v>
                </c:pt>
                <c:pt idx="657">
                  <c:v>17268.02826632874</c:v>
                </c:pt>
                <c:pt idx="658">
                  <c:v>17294.393739365707</c:v>
                </c:pt>
                <c:pt idx="659">
                  <c:v>17320.866025105101</c:v>
                </c:pt>
                <c:pt idx="660">
                  <c:v>17347.444078466411</c:v>
                </c:pt>
                <c:pt idx="661">
                  <c:v>17374.126850193603</c:v>
                </c:pt>
                <c:pt idx="662">
                  <c:v>17400.913286896532</c:v>
                </c:pt>
                <c:pt idx="663">
                  <c:v>17427.802331092546</c:v>
                </c:pt>
                <c:pt idx="664">
                  <c:v>17454.792921248219</c:v>
                </c:pt>
                <c:pt idx="665">
                  <c:v>17481.883991821273</c:v>
                </c:pt>
                <c:pt idx="666">
                  <c:v>17509.074473302622</c:v>
                </c:pt>
                <c:pt idx="667">
                  <c:v>17536.363292258615</c:v>
                </c:pt>
                <c:pt idx="668">
                  <c:v>17563.749371373411</c:v>
                </c:pt>
                <c:pt idx="669">
                  <c:v>17591.231629491493</c:v>
                </c:pt>
                <c:pt idx="670">
                  <c:v>17618.808981660372</c:v>
                </c:pt>
                <c:pt idx="671">
                  <c:v>17646.480339173406</c:v>
                </c:pt>
                <c:pt idx="672">
                  <c:v>17674.244609612775</c:v>
                </c:pt>
                <c:pt idx="673">
                  <c:v>17702.100696892623</c:v>
                </c:pt>
                <c:pt idx="674">
                  <c:v>17730.047501302328</c:v>
                </c:pt>
                <c:pt idx="675">
                  <c:v>17758.083919549899</c:v>
                </c:pt>
                <c:pt idx="676">
                  <c:v>17786.208844805551</c:v>
                </c:pt>
                <c:pt idx="677">
                  <c:v>17814.421166745393</c:v>
                </c:pt>
                <c:pt idx="678">
                  <c:v>17842.719771595261</c:v>
                </c:pt>
                <c:pt idx="679">
                  <c:v>17871.103542174693</c:v>
                </c:pt>
                <c:pt idx="680">
                  <c:v>17899.571357941022</c:v>
                </c:pt>
                <c:pt idx="681">
                  <c:v>17928.122095033632</c:v>
                </c:pt>
                <c:pt idx="682">
                  <c:v>17956.754626318303</c:v>
                </c:pt>
                <c:pt idx="683">
                  <c:v>17985.467821431736</c:v>
                </c:pt>
                <c:pt idx="684">
                  <c:v>18014.260546826143</c:v>
                </c:pt>
                <c:pt idx="685">
                  <c:v>18043.131665814031</c:v>
                </c:pt>
                <c:pt idx="686">
                  <c:v>18072.080038613061</c:v>
                </c:pt>
                <c:pt idx="687">
                  <c:v>18101.104522391037</c:v>
                </c:pt>
                <c:pt idx="688">
                  <c:v>18130.203971311039</c:v>
                </c:pt>
                <c:pt idx="689">
                  <c:v>18159.377236576649</c:v>
                </c:pt>
                <c:pt idx="690">
                  <c:v>18188.623166477308</c:v>
                </c:pt>
                <c:pt idx="691">
                  <c:v>18217.940606433782</c:v>
                </c:pt>
                <c:pt idx="692">
                  <c:v>18247.328399043738</c:v>
                </c:pt>
                <c:pt idx="693">
                  <c:v>18276.785384127445</c:v>
                </c:pt>
                <c:pt idx="694">
                  <c:v>18306.310398773574</c:v>
                </c:pt>
                <c:pt idx="695">
                  <c:v>18335.902277385096</c:v>
                </c:pt>
                <c:pt idx="696">
                  <c:v>18365.559851725313</c:v>
                </c:pt>
                <c:pt idx="697">
                  <c:v>18395.281950963978</c:v>
                </c:pt>
                <c:pt idx="698">
                  <c:v>18425.0674017235</c:v>
                </c:pt>
                <c:pt idx="699">
                  <c:v>18454.915028125284</c:v>
                </c:pt>
                <c:pt idx="700">
                  <c:v>18484.823651836148</c:v>
                </c:pt>
                <c:pt idx="701">
                  <c:v>18514.792092114843</c:v>
                </c:pt>
                <c:pt idx="702">
                  <c:v>18544.819165858655</c:v>
                </c:pt>
                <c:pt idx="703">
                  <c:v>18574.903687650134</c:v>
                </c:pt>
                <c:pt idx="704">
                  <c:v>18605.044469803866</c:v>
                </c:pt>
                <c:pt idx="705">
                  <c:v>18635.240322413381</c:v>
                </c:pt>
                <c:pt idx="706">
                  <c:v>18665.490053398131</c:v>
                </c:pt>
                <c:pt idx="707">
                  <c:v>18695.79246855052</c:v>
                </c:pt>
                <c:pt idx="708">
                  <c:v>18726.146371583094</c:v>
                </c:pt>
                <c:pt idx="709">
                  <c:v>18756.550564175726</c:v>
                </c:pt>
                <c:pt idx="710">
                  <c:v>18787.003846022963</c:v>
                </c:pt>
                <c:pt idx="711">
                  <c:v>18817.505014881375</c:v>
                </c:pt>
                <c:pt idx="712">
                  <c:v>18848.052866617043</c:v>
                </c:pt>
                <c:pt idx="713">
                  <c:v>18878.646195253088</c:v>
                </c:pt>
                <c:pt idx="714">
                  <c:v>18909.283793017279</c:v>
                </c:pt>
                <c:pt idx="715">
                  <c:v>18939.964450389718</c:v>
                </c:pt>
                <c:pt idx="716">
                  <c:v>18970.686956150581</c:v>
                </c:pt>
                <c:pt idx="717">
                  <c:v>19001.450097427951</c:v>
                </c:pt>
                <c:pt idx="718">
                  <c:v>19032.252659745682</c:v>
                </c:pt>
                <c:pt idx="719">
                  <c:v>19063.093427071359</c:v>
                </c:pt>
                <c:pt idx="720">
                  <c:v>19093.971181864294</c:v>
                </c:pt>
                <c:pt idx="721">
                  <c:v>19124.884705123597</c:v>
                </c:pt>
                <c:pt idx="722">
                  <c:v>19155.832776436306</c:v>
                </c:pt>
                <c:pt idx="723">
                  <c:v>19186.814174025556</c:v>
                </c:pt>
                <c:pt idx="724">
                  <c:v>19217.82767479882</c:v>
                </c:pt>
                <c:pt idx="725">
                  <c:v>19248.872054396186</c:v>
                </c:pt>
                <c:pt idx="726">
                  <c:v>19279.946087238706</c:v>
                </c:pt>
                <c:pt idx="727">
                  <c:v>19311.048546576778</c:v>
                </c:pt>
                <c:pt idx="728">
                  <c:v>19342.178204538552</c:v>
                </c:pt>
                <c:pt idx="729">
                  <c:v>19373.333832178443</c:v>
                </c:pt>
                <c:pt idx="730">
                  <c:v>19404.514199525613</c:v>
                </c:pt>
                <c:pt idx="731">
                  <c:v>19435.718075632551</c:v>
                </c:pt>
                <c:pt idx="732">
                  <c:v>19466.944228623659</c:v>
                </c:pt>
                <c:pt idx="733">
                  <c:v>19498.19142574388</c:v>
                </c:pt>
                <c:pt idx="734">
                  <c:v>19529.458433407381</c:v>
                </c:pt>
                <c:pt idx="735">
                  <c:v>19560.744017246234</c:v>
                </c:pt>
                <c:pt idx="736">
                  <c:v>19592.046942159162</c:v>
                </c:pt>
                <c:pt idx="737">
                  <c:v>19623.365972360283</c:v>
                </c:pt>
                <c:pt idx="738">
                  <c:v>19654.699871427918</c:v>
                </c:pt>
                <c:pt idx="739">
                  <c:v>19686.047402353375</c:v>
                </c:pt>
                <c:pt idx="740">
                  <c:v>19717.407327589819</c:v>
                </c:pt>
                <c:pt idx="741">
                  <c:v>19748.778409101091</c:v>
                </c:pt>
                <c:pt idx="742">
                  <c:v>19780.159408410615</c:v>
                </c:pt>
                <c:pt idx="743">
                  <c:v>19811.549086650262</c:v>
                </c:pt>
                <c:pt idx="744">
                  <c:v>19842.946204609292</c:v>
                </c:pt>
                <c:pt idx="745">
                  <c:v>19874.349522783243</c:v>
                </c:pt>
                <c:pt idx="746">
                  <c:v>19905.757801422889</c:v>
                </c:pt>
                <c:pt idx="747">
                  <c:v>19937.169800583164</c:v>
                </c:pt>
                <c:pt idx="748">
                  <c:v>19968.58428017213</c:v>
                </c:pt>
                <c:pt idx="749">
                  <c:v>19999.999999999924</c:v>
                </c:pt>
                <c:pt idx="750">
                  <c:v>20031.415719827717</c:v>
                </c:pt>
                <c:pt idx="751">
                  <c:v>20062.830199416683</c:v>
                </c:pt>
                <c:pt idx="752">
                  <c:v>20094.242198576958</c:v>
                </c:pt>
                <c:pt idx="753">
                  <c:v>20125.650477216604</c:v>
                </c:pt>
                <c:pt idx="754">
                  <c:v>20157.053795390555</c:v>
                </c:pt>
                <c:pt idx="755">
                  <c:v>20188.450913349585</c:v>
                </c:pt>
                <c:pt idx="756">
                  <c:v>20219.840591589236</c:v>
                </c:pt>
                <c:pt idx="757">
                  <c:v>20251.221590898756</c:v>
                </c:pt>
                <c:pt idx="758">
                  <c:v>20282.592672410028</c:v>
                </c:pt>
                <c:pt idx="759">
                  <c:v>20313.952597646472</c:v>
                </c:pt>
                <c:pt idx="760">
                  <c:v>20345.300128571933</c:v>
                </c:pt>
                <c:pt idx="761">
                  <c:v>20376.634027639564</c:v>
                </c:pt>
                <c:pt idx="762">
                  <c:v>20407.953057840685</c:v>
                </c:pt>
                <c:pt idx="763">
                  <c:v>20439.255982753613</c:v>
                </c:pt>
                <c:pt idx="764">
                  <c:v>20470.541566592467</c:v>
                </c:pt>
                <c:pt idx="765">
                  <c:v>20501.808574255967</c:v>
                </c:pt>
                <c:pt idx="766">
                  <c:v>20533.055771376192</c:v>
                </c:pt>
                <c:pt idx="767">
                  <c:v>20564.281924367297</c:v>
                </c:pt>
                <c:pt idx="768">
                  <c:v>20595.485800474235</c:v>
                </c:pt>
                <c:pt idx="769">
                  <c:v>20626.666167821408</c:v>
                </c:pt>
                <c:pt idx="770">
                  <c:v>20657.821795461296</c:v>
                </c:pt>
                <c:pt idx="771">
                  <c:v>20688.951453423073</c:v>
                </c:pt>
                <c:pt idx="772">
                  <c:v>20720.053912761141</c:v>
                </c:pt>
                <c:pt idx="773">
                  <c:v>20751.127945603665</c:v>
                </c:pt>
                <c:pt idx="774">
                  <c:v>20782.172325201031</c:v>
                </c:pt>
                <c:pt idx="775">
                  <c:v>20813.185825974291</c:v>
                </c:pt>
                <c:pt idx="776">
                  <c:v>20844.167223563541</c:v>
                </c:pt>
                <c:pt idx="777">
                  <c:v>20875.11529487625</c:v>
                </c:pt>
                <c:pt idx="778">
                  <c:v>20906.028818135557</c:v>
                </c:pt>
                <c:pt idx="779">
                  <c:v>20936.906572928492</c:v>
                </c:pt>
                <c:pt idx="780">
                  <c:v>20967.747340254165</c:v>
                </c:pt>
                <c:pt idx="781">
                  <c:v>20998.5499025719</c:v>
                </c:pt>
                <c:pt idx="782">
                  <c:v>21029.31304384927</c:v>
                </c:pt>
                <c:pt idx="783">
                  <c:v>21060.035549610133</c:v>
                </c:pt>
                <c:pt idx="784">
                  <c:v>21090.716206982572</c:v>
                </c:pt>
                <c:pt idx="785">
                  <c:v>21121.353804746763</c:v>
                </c:pt>
                <c:pt idx="786">
                  <c:v>21151.947133382808</c:v>
                </c:pt>
                <c:pt idx="787">
                  <c:v>21182.494985118476</c:v>
                </c:pt>
                <c:pt idx="788">
                  <c:v>21212.996153976888</c:v>
                </c:pt>
                <c:pt idx="789">
                  <c:v>21243.449435824125</c:v>
                </c:pt>
                <c:pt idx="790">
                  <c:v>21273.85362841676</c:v>
                </c:pt>
                <c:pt idx="791">
                  <c:v>21304.20753144933</c:v>
                </c:pt>
                <c:pt idx="792">
                  <c:v>21334.509946601724</c:v>
                </c:pt>
                <c:pt idx="793">
                  <c:v>21364.759677586469</c:v>
                </c:pt>
                <c:pt idx="794">
                  <c:v>21394.955530195988</c:v>
                </c:pt>
                <c:pt idx="795">
                  <c:v>21425.09631234972</c:v>
                </c:pt>
                <c:pt idx="796">
                  <c:v>21455.1808341412</c:v>
                </c:pt>
                <c:pt idx="797">
                  <c:v>21485.207907885011</c:v>
                </c:pt>
                <c:pt idx="798">
                  <c:v>21515.176348163706</c:v>
                </c:pt>
                <c:pt idx="799">
                  <c:v>21545.08497187457</c:v>
                </c:pt>
                <c:pt idx="800">
                  <c:v>21574.932598276358</c:v>
                </c:pt>
                <c:pt idx="801">
                  <c:v>21604.718049035881</c:v>
                </c:pt>
                <c:pt idx="802">
                  <c:v>21634.440148274542</c:v>
                </c:pt>
                <c:pt idx="803">
                  <c:v>21664.097722614762</c:v>
                </c:pt>
                <c:pt idx="804">
                  <c:v>21693.689601226284</c:v>
                </c:pt>
                <c:pt idx="805">
                  <c:v>21723.21461587241</c:v>
                </c:pt>
                <c:pt idx="806">
                  <c:v>21752.671600956121</c:v>
                </c:pt>
                <c:pt idx="807">
                  <c:v>21782.059393566076</c:v>
                </c:pt>
                <c:pt idx="808">
                  <c:v>21811.37683352255</c:v>
                </c:pt>
                <c:pt idx="809">
                  <c:v>21840.622763423209</c:v>
                </c:pt>
                <c:pt idx="810">
                  <c:v>21869.796028688819</c:v>
                </c:pt>
                <c:pt idx="811">
                  <c:v>21898.895477608821</c:v>
                </c:pt>
                <c:pt idx="812">
                  <c:v>21927.919961386797</c:v>
                </c:pt>
                <c:pt idx="813">
                  <c:v>21956.868334185827</c:v>
                </c:pt>
                <c:pt idx="814">
                  <c:v>21985.739453173715</c:v>
                </c:pt>
                <c:pt idx="815">
                  <c:v>22014.532178568126</c:v>
                </c:pt>
                <c:pt idx="816">
                  <c:v>22043.245373681555</c:v>
                </c:pt>
                <c:pt idx="817">
                  <c:v>22071.87790496623</c:v>
                </c:pt>
                <c:pt idx="818">
                  <c:v>22100.42864205884</c:v>
                </c:pt>
                <c:pt idx="819">
                  <c:v>22128.896457825169</c:v>
                </c:pt>
                <c:pt idx="820">
                  <c:v>22157.280228404601</c:v>
                </c:pt>
                <c:pt idx="821">
                  <c:v>22185.578833254469</c:v>
                </c:pt>
                <c:pt idx="822">
                  <c:v>22213.791155194311</c:v>
                </c:pt>
                <c:pt idx="823">
                  <c:v>22241.916080449962</c:v>
                </c:pt>
                <c:pt idx="824">
                  <c:v>22269.952498697534</c:v>
                </c:pt>
                <c:pt idx="825">
                  <c:v>22297.899303107239</c:v>
                </c:pt>
                <c:pt idx="826">
                  <c:v>22325.75539038709</c:v>
                </c:pt>
                <c:pt idx="827">
                  <c:v>22353.51966082646</c:v>
                </c:pt>
                <c:pt idx="828">
                  <c:v>22381.191018339494</c:v>
                </c:pt>
                <c:pt idx="829">
                  <c:v>22408.768370508373</c:v>
                </c:pt>
                <c:pt idx="830">
                  <c:v>22436.250628626458</c:v>
                </c:pt>
                <c:pt idx="831">
                  <c:v>22463.636707741251</c:v>
                </c:pt>
                <c:pt idx="832">
                  <c:v>22490.925526697247</c:v>
                </c:pt>
                <c:pt idx="833">
                  <c:v>22518.116008178597</c:v>
                </c:pt>
                <c:pt idx="834">
                  <c:v>22545.20707875165</c:v>
                </c:pt>
                <c:pt idx="835">
                  <c:v>22572.197668907324</c:v>
                </c:pt>
                <c:pt idx="836">
                  <c:v>22599.086713103337</c:v>
                </c:pt>
                <c:pt idx="837">
                  <c:v>22625.873149806266</c:v>
                </c:pt>
                <c:pt idx="838">
                  <c:v>22652.555921533458</c:v>
                </c:pt>
                <c:pt idx="839">
                  <c:v>22679.133974894772</c:v>
                </c:pt>
                <c:pt idx="840">
                  <c:v>22705.606260634166</c:v>
                </c:pt>
                <c:pt idx="841">
                  <c:v>22731.971733671129</c:v>
                </c:pt>
                <c:pt idx="842">
                  <c:v>22758.229353141935</c:v>
                </c:pt>
                <c:pt idx="843">
                  <c:v>22784.378082440722</c:v>
                </c:pt>
                <c:pt idx="844">
                  <c:v>22810.416889260436</c:v>
                </c:pt>
                <c:pt idx="845">
                  <c:v>22836.344745633563</c:v>
                </c:pt>
                <c:pt idx="846">
                  <c:v>22862.160627972735</c:v>
                </c:pt>
                <c:pt idx="847">
                  <c:v>22887.86351711112</c:v>
                </c:pt>
                <c:pt idx="848">
                  <c:v>22913.452398342662</c:v>
                </c:pt>
                <c:pt idx="849">
                  <c:v>22938.926261462148</c:v>
                </c:pt>
                <c:pt idx="850">
                  <c:v>22964.284100805075</c:v>
                </c:pt>
                <c:pt idx="851">
                  <c:v>22989.524915287373</c:v>
                </c:pt>
                <c:pt idx="852">
                  <c:v>23014.647708444903</c:v>
                </c:pt>
                <c:pt idx="853">
                  <c:v>23039.651488472806</c:v>
                </c:pt>
                <c:pt idx="854">
                  <c:v>23064.535268264659</c:v>
                </c:pt>
                <c:pt idx="855">
                  <c:v>23089.298065451447</c:v>
                </c:pt>
                <c:pt idx="856">
                  <c:v>23113.938902440339</c:v>
                </c:pt>
                <c:pt idx="857">
                  <c:v>23138.45680645328</c:v>
                </c:pt>
                <c:pt idx="858">
                  <c:v>23162.850809565396</c:v>
                </c:pt>
                <c:pt idx="859">
                  <c:v>23187.119948743224</c:v>
                </c:pt>
                <c:pt idx="860">
                  <c:v>23211.263265882699</c:v>
                </c:pt>
                <c:pt idx="861">
                  <c:v>23235.279807846997</c:v>
                </c:pt>
                <c:pt idx="862">
                  <c:v>23259.168626504168</c:v>
                </c:pt>
                <c:pt idx="863">
                  <c:v>23282.928778764555</c:v>
                </c:pt>
                <c:pt idx="864">
                  <c:v>23306.559326618033</c:v>
                </c:pt>
                <c:pt idx="865">
                  <c:v>23330.059337171031</c:v>
                </c:pt>
                <c:pt idx="866">
                  <c:v>23353.427882683376</c:v>
                </c:pt>
                <c:pt idx="867">
                  <c:v>23376.664040604897</c:v>
                </c:pt>
                <c:pt idx="868">
                  <c:v>23399.766893611868</c:v>
                </c:pt>
                <c:pt idx="869">
                  <c:v>23422.735529643218</c:v>
                </c:pt>
                <c:pt idx="870">
                  <c:v>23445.569041936516</c:v>
                </c:pt>
                <c:pt idx="871">
                  <c:v>23468.2665290638</c:v>
                </c:pt>
                <c:pt idx="872">
                  <c:v>23490.827094967135</c:v>
                </c:pt>
                <c:pt idx="873">
                  <c:v>23513.249848994019</c:v>
                </c:pt>
                <c:pt idx="874">
                  <c:v>23535.533905932512</c:v>
                </c:pt>
                <c:pt idx="875">
                  <c:v>23557.678386046198</c:v>
                </c:pt>
                <c:pt idx="876">
                  <c:v>23579.682415108928</c:v>
                </c:pt>
                <c:pt idx="877">
                  <c:v>23601.545124439308</c:v>
                </c:pt>
                <c:pt idx="878">
                  <c:v>23623.265650935005</c:v>
                </c:pt>
                <c:pt idx="879">
                  <c:v>23644.843137106833</c:v>
                </c:pt>
                <c:pt idx="880">
                  <c:v>23666.276731112575</c:v>
                </c:pt>
                <c:pt idx="881">
                  <c:v>23687.565586790643</c:v>
                </c:pt>
                <c:pt idx="882">
                  <c:v>23708.708863693471</c:v>
                </c:pt>
                <c:pt idx="883">
                  <c:v>23729.705727120687</c:v>
                </c:pt>
                <c:pt idx="884">
                  <c:v>23750.555348152073</c:v>
                </c:pt>
                <c:pt idx="885">
                  <c:v>23771.256903680296</c:v>
                </c:pt>
                <c:pt idx="886">
                  <c:v>23791.809576443386</c:v>
                </c:pt>
                <c:pt idx="887">
                  <c:v>23812.212555057016</c:v>
                </c:pt>
                <c:pt idx="888">
                  <c:v>23832.465034046527</c:v>
                </c:pt>
                <c:pt idx="889">
                  <c:v>23852.566213878723</c:v>
                </c:pt>
                <c:pt idx="890">
                  <c:v>23872.515300993447</c:v>
                </c:pt>
                <c:pt idx="891">
                  <c:v>23892.311507834893</c:v>
                </c:pt>
                <c:pt idx="892">
                  <c:v>23911.95405288272</c:v>
                </c:pt>
                <c:pt idx="893">
                  <c:v>23931.442160682873</c:v>
                </c:pt>
                <c:pt idx="894">
                  <c:v>23950.77506187823</c:v>
                </c:pt>
                <c:pt idx="895">
                  <c:v>23969.951993238956</c:v>
                </c:pt>
                <c:pt idx="896">
                  <c:v>23988.972197692638</c:v>
                </c:pt>
                <c:pt idx="897">
                  <c:v>24007.834924354163</c:v>
                </c:pt>
                <c:pt idx="898">
                  <c:v>24026.539428555392</c:v>
                </c:pt>
                <c:pt idx="899">
                  <c:v>24045.084971874519</c:v>
                </c:pt>
                <c:pt idx="900">
                  <c:v>24063.470822165255</c:v>
                </c:pt>
                <c:pt idx="901">
                  <c:v>24081.696253585702</c:v>
                </c:pt>
                <c:pt idx="902">
                  <c:v>24099.760546627047</c:v>
                </c:pt>
                <c:pt idx="903">
                  <c:v>24117.662988141921</c:v>
                </c:pt>
                <c:pt idx="904">
                  <c:v>24135.402871372597</c:v>
                </c:pt>
                <c:pt idx="905">
                  <c:v>24152.979495978849</c:v>
                </c:pt>
                <c:pt idx="906">
                  <c:v>24170.392168065642</c:v>
                </c:pt>
                <c:pt idx="907">
                  <c:v>24187.640200210499</c:v>
                </c:pt>
                <c:pt idx="908">
                  <c:v>24204.722911490637</c:v>
                </c:pt>
                <c:pt idx="909">
                  <c:v>24221.639627509867</c:v>
                </c:pt>
                <c:pt idx="910">
                  <c:v>24238.389680425207</c:v>
                </c:pt>
                <c:pt idx="911">
                  <c:v>24254.972408973252</c:v>
                </c:pt>
                <c:pt idx="912">
                  <c:v>24271.387158496269</c:v>
                </c:pt>
                <c:pt idx="913">
                  <c:v>24287.633280968057</c:v>
                </c:pt>
                <c:pt idx="914">
                  <c:v>24303.710135019515</c:v>
                </c:pt>
                <c:pt idx="915">
                  <c:v>24319.617085963975</c:v>
                </c:pt>
                <c:pt idx="916">
                  <c:v>24335.353505822248</c:v>
                </c:pt>
                <c:pt idx="917">
                  <c:v>24350.918773347428</c:v>
                </c:pt>
                <c:pt idx="918">
                  <c:v>24366.312274049404</c:v>
                </c:pt>
                <c:pt idx="919">
                  <c:v>24381.533400219123</c:v>
                </c:pt>
                <c:pt idx="920">
                  <c:v>24396.581550952586</c:v>
                </c:pt>
                <c:pt idx="921">
                  <c:v>24411.456132174571</c:v>
                </c:pt>
                <c:pt idx="922">
                  <c:v>24426.156556662085</c:v>
                </c:pt>
                <c:pt idx="923">
                  <c:v>24440.682244067531</c:v>
                </c:pt>
                <c:pt idx="924">
                  <c:v>24455.032620941649</c:v>
                </c:pt>
                <c:pt idx="925">
                  <c:v>24469.207120756131</c:v>
                </c:pt>
                <c:pt idx="926">
                  <c:v>24483.205183925991</c:v>
                </c:pt>
                <c:pt idx="927">
                  <c:v>24497.026257831669</c:v>
                </c:pt>
                <c:pt idx="928">
                  <c:v>24510.66979684083</c:v>
                </c:pt>
                <c:pt idx="929">
                  <c:v>24524.135262329917</c:v>
                </c:pt>
                <c:pt idx="930">
                  <c:v>24537.422122705404</c:v>
                </c:pt>
                <c:pt idx="931">
                  <c:v>24550.5298534248</c:v>
                </c:pt>
                <c:pt idx="932">
                  <c:v>24563.457937017338</c:v>
                </c:pt>
                <c:pt idx="933">
                  <c:v>24576.205863104413</c:v>
                </c:pt>
                <c:pt idx="934">
                  <c:v>24588.773128419733</c:v>
                </c:pt>
                <c:pt idx="935">
                  <c:v>24601.159236829179</c:v>
                </c:pt>
                <c:pt idx="936">
                  <c:v>24613.363699350404</c:v>
                </c:pt>
                <c:pt idx="937">
                  <c:v>24625.386034172123</c:v>
                </c:pt>
                <c:pt idx="938">
                  <c:v>24637.225766673138</c:v>
                </c:pt>
                <c:pt idx="939">
                  <c:v>24648.882429441092</c:v>
                </c:pt>
                <c:pt idx="940">
                  <c:v>24660.355562290893</c:v>
                </c:pt>
                <c:pt idx="941">
                  <c:v>24671.644712282898</c:v>
                </c:pt>
                <c:pt idx="942">
                  <c:v>24682.749433740802</c:v>
                </c:pt>
                <c:pt idx="943">
                  <c:v>24693.669288269215</c:v>
                </c:pt>
                <c:pt idx="944">
                  <c:v>24704.403844770972</c:v>
                </c:pt>
                <c:pt idx="945">
                  <c:v>24714.952679464172</c:v>
                </c:pt>
                <c:pt idx="946">
                  <c:v>24725.315375898874</c:v>
                </c:pt>
                <c:pt idx="947">
                  <c:v>24735.491524973571</c:v>
                </c:pt>
                <c:pt idx="948">
                  <c:v>24745.480724951325</c:v>
                </c:pt>
                <c:pt idx="949">
                  <c:v>24755.282581475622</c:v>
                </c:pt>
                <c:pt idx="950">
                  <c:v>24764.896707585951</c:v>
                </c:pt>
                <c:pt idx="951">
                  <c:v>24774.322723733076</c:v>
                </c:pt>
                <c:pt idx="952">
                  <c:v>24783.560257794015</c:v>
                </c:pt>
                <c:pt idx="953">
                  <c:v>24792.608945086744</c:v>
                </c:pt>
                <c:pt idx="954">
                  <c:v>24801.468428384582</c:v>
                </c:pt>
                <c:pt idx="955">
                  <c:v>24810.1383579303</c:v>
                </c:pt>
                <c:pt idx="956">
                  <c:v>24818.61839144992</c:v>
                </c:pt>
                <c:pt idx="957">
                  <c:v>24826.908194166244</c:v>
                </c:pt>
                <c:pt idx="958">
                  <c:v>24835.007438812052</c:v>
                </c:pt>
                <c:pt idx="959">
                  <c:v>24842.915805643035</c:v>
                </c:pt>
                <c:pt idx="960">
                  <c:v>24850.63298245041</c:v>
                </c:pt>
                <c:pt idx="961">
                  <c:v>24858.158664573253</c:v>
                </c:pt>
                <c:pt idx="962">
                  <c:v>24865.492554910517</c:v>
                </c:pt>
                <c:pt idx="963">
                  <c:v>24872.634363932775</c:v>
                </c:pt>
                <c:pt idx="964">
                  <c:v>24879.583809693628</c:v>
                </c:pt>
                <c:pt idx="965">
                  <c:v>24886.340617840862</c:v>
                </c:pt>
                <c:pt idx="966">
                  <c:v>24892.904521627257</c:v>
                </c:pt>
                <c:pt idx="967">
                  <c:v>24899.275261921135</c:v>
                </c:pt>
                <c:pt idx="968">
                  <c:v>24905.452587216572</c:v>
                </c:pt>
                <c:pt idx="969">
                  <c:v>24911.436253643347</c:v>
                </c:pt>
                <c:pt idx="970">
                  <c:v>24917.226024976557</c:v>
                </c:pt>
                <c:pt idx="971">
                  <c:v>24922.821672645936</c:v>
                </c:pt>
                <c:pt idx="972">
                  <c:v>24928.222975744902</c:v>
                </c:pt>
                <c:pt idx="973">
                  <c:v>24933.429721039258</c:v>
                </c:pt>
                <c:pt idx="974">
                  <c:v>24938.441702975608</c:v>
                </c:pt>
                <c:pt idx="975">
                  <c:v>24943.258723689491</c:v>
                </c:pt>
                <c:pt idx="976">
                  <c:v>24947.880593013178</c:v>
                </c:pt>
                <c:pt idx="977">
                  <c:v>24952.307128483182</c:v>
                </c:pt>
                <c:pt idx="978">
                  <c:v>24956.538155347465</c:v>
                </c:pt>
                <c:pt idx="979">
                  <c:v>24960.573506572324</c:v>
                </c:pt>
                <c:pt idx="980">
                  <c:v>24964.413022849003</c:v>
                </c:pt>
                <c:pt idx="981">
                  <c:v>24968.056552599981</c:v>
                </c:pt>
                <c:pt idx="982">
                  <c:v>24971.503951984938</c:v>
                </c:pt>
                <c:pt idx="983">
                  <c:v>24974.755084906446</c:v>
                </c:pt>
                <c:pt idx="984">
                  <c:v>24977.809823015348</c:v>
                </c:pt>
                <c:pt idx="985">
                  <c:v>24980.668045715815</c:v>
                </c:pt>
                <c:pt idx="986">
                  <c:v>24983.329640170105</c:v>
                </c:pt>
                <c:pt idx="987">
                  <c:v>24985.794501303029</c:v>
                </c:pt>
                <c:pt idx="988">
                  <c:v>24988.062531806088</c:v>
                </c:pt>
                <c:pt idx="989">
                  <c:v>24990.133642141322</c:v>
                </c:pt>
                <c:pt idx="990">
                  <c:v>24992.007750544843</c:v>
                </c:pt>
                <c:pt idx="991">
                  <c:v>24993.684783030061</c:v>
                </c:pt>
                <c:pt idx="992">
                  <c:v>24995.164673390602</c:v>
                </c:pt>
                <c:pt idx="993">
                  <c:v>24996.447363202926</c:v>
                </c:pt>
                <c:pt idx="994">
                  <c:v>24997.532801828638</c:v>
                </c:pt>
                <c:pt idx="995">
                  <c:v>24998.420946416485</c:v>
                </c:pt>
                <c:pt idx="996">
                  <c:v>24999.111761904034</c:v>
                </c:pt>
                <c:pt idx="997">
                  <c:v>24999.605221019076</c:v>
                </c:pt>
                <c:pt idx="998">
                  <c:v>24999.901304280684</c:v>
                </c:pt>
                <c:pt idx="999">
                  <c:v>25000</c:v>
                </c:pt>
              </c:numCache>
            </c:numRef>
          </c:xVal>
          <c:yVal>
            <c:numRef>
              <c:f>Feuil1!$Q$12:$Q$1011</c:f>
              <c:numCache>
                <c:formatCode>General</c:formatCode>
                <c:ptCount val="1000"/>
                <c:pt idx="0">
                  <c:v>7531.4157198277944</c:v>
                </c:pt>
                <c:pt idx="1">
                  <c:v>7562.8301994167632</c:v>
                </c:pt>
                <c:pt idx="2">
                  <c:v>7594.2421985770407</c:v>
                </c:pt>
                <c:pt idx="3">
                  <c:v>7625.6504772166872</c:v>
                </c:pt>
                <c:pt idx="4">
                  <c:v>7657.0537953906414</c:v>
                </c:pt>
                <c:pt idx="5">
                  <c:v>7688.4509133496731</c:v>
                </c:pt>
                <c:pt idx="6">
                  <c:v>7719.8405915893245</c:v>
                </c:pt>
                <c:pt idx="7">
                  <c:v>7751.2215908988474</c:v>
                </c:pt>
                <c:pt idx="8">
                  <c:v>7782.5926724101228</c:v>
                </c:pt>
                <c:pt idx="9">
                  <c:v>7813.9525976465666</c:v>
                </c:pt>
                <c:pt idx="10">
                  <c:v>7845.3001285720293</c:v>
                </c:pt>
                <c:pt idx="11">
                  <c:v>7876.6340276396631</c:v>
                </c:pt>
                <c:pt idx="12">
                  <c:v>7907.9530578407876</c:v>
                </c:pt>
                <c:pt idx="13">
                  <c:v>7939.2559827537161</c:v>
                </c:pt>
                <c:pt idx="14">
                  <c:v>7970.5415665925711</c:v>
                </c:pt>
                <c:pt idx="15">
                  <c:v>8001.8085742560743</c:v>
                </c:pt>
                <c:pt idx="16">
                  <c:v>8033.0557713762992</c:v>
                </c:pt>
                <c:pt idx="17">
                  <c:v>8064.2819243674085</c:v>
                </c:pt>
                <c:pt idx="18">
                  <c:v>8095.4858004743483</c:v>
                </c:pt>
                <c:pt idx="19">
                  <c:v>8126.6661678215214</c:v>
                </c:pt>
                <c:pt idx="20">
                  <c:v>8157.821795461412</c:v>
                </c:pt>
                <c:pt idx="21">
                  <c:v>8188.9514534231903</c:v>
                </c:pt>
                <c:pt idx="22">
                  <c:v>8220.053912761261</c:v>
                </c:pt>
                <c:pt idx="23">
                  <c:v>8251.1279456037846</c:v>
                </c:pt>
                <c:pt idx="24">
                  <c:v>8282.1723252011543</c:v>
                </c:pt>
                <c:pt idx="25">
                  <c:v>8313.1858259744185</c:v>
                </c:pt>
                <c:pt idx="26">
                  <c:v>8344.1672235636688</c:v>
                </c:pt>
                <c:pt idx="27">
                  <c:v>8375.1152948763793</c:v>
                </c:pt>
                <c:pt idx="28">
                  <c:v>8406.0288181356864</c:v>
                </c:pt>
                <c:pt idx="29">
                  <c:v>8436.9065729286231</c:v>
                </c:pt>
                <c:pt idx="30">
                  <c:v>8467.7473402543001</c:v>
                </c:pt>
                <c:pt idx="31">
                  <c:v>8498.5499025720346</c:v>
                </c:pt>
                <c:pt idx="32">
                  <c:v>8529.3130438494063</c:v>
                </c:pt>
                <c:pt idx="33">
                  <c:v>8560.0355496102729</c:v>
                </c:pt>
                <c:pt idx="34">
                  <c:v>8590.7162069827118</c:v>
                </c:pt>
                <c:pt idx="35">
                  <c:v>8621.3538047469046</c:v>
                </c:pt>
                <c:pt idx="36">
                  <c:v>8651.9471333829533</c:v>
                </c:pt>
                <c:pt idx="37">
                  <c:v>8682.4949851186229</c:v>
                </c:pt>
                <c:pt idx="38">
                  <c:v>8712.9961539770375</c:v>
                </c:pt>
                <c:pt idx="39">
                  <c:v>8743.4494358242737</c:v>
                </c:pt>
                <c:pt idx="40">
                  <c:v>8773.8536284169113</c:v>
                </c:pt>
                <c:pt idx="41">
                  <c:v>8804.207531449485</c:v>
                </c:pt>
                <c:pt idx="42">
                  <c:v>8834.5099466018783</c:v>
                </c:pt>
                <c:pt idx="43">
                  <c:v>8864.7596775866259</c:v>
                </c:pt>
                <c:pt idx="44">
                  <c:v>8894.9555301961464</c:v>
                </c:pt>
                <c:pt idx="45">
                  <c:v>8925.0963123498805</c:v>
                </c:pt>
                <c:pt idx="46">
                  <c:v>8955.1808341413598</c:v>
                </c:pt>
                <c:pt idx="47">
                  <c:v>8985.2079078851748</c:v>
                </c:pt>
                <c:pt idx="48">
                  <c:v>9015.17634816387</c:v>
                </c:pt>
                <c:pt idx="49">
                  <c:v>9045.0849718747377</c:v>
                </c:pt>
                <c:pt idx="50">
                  <c:v>9074.932598276524</c:v>
                </c:pt>
                <c:pt idx="51">
                  <c:v>9104.7180490360479</c:v>
                </c:pt>
                <c:pt idx="52">
                  <c:v>9134.4401482747126</c:v>
                </c:pt>
                <c:pt idx="53">
                  <c:v>9164.0977226149334</c:v>
                </c:pt>
                <c:pt idx="54">
                  <c:v>9193.6896012264569</c:v>
                </c:pt>
                <c:pt idx="55">
                  <c:v>9223.2146158725845</c:v>
                </c:pt>
                <c:pt idx="56">
                  <c:v>9252.6716009562952</c:v>
                </c:pt>
                <c:pt idx="57">
                  <c:v>9282.0593935662528</c:v>
                </c:pt>
                <c:pt idx="58">
                  <c:v>9311.3768335227287</c:v>
                </c:pt>
                <c:pt idx="59">
                  <c:v>9340.6227634233892</c:v>
                </c:pt>
                <c:pt idx="60">
                  <c:v>9369.7960286890011</c:v>
                </c:pt>
                <c:pt idx="61">
                  <c:v>9398.895477609005</c:v>
                </c:pt>
                <c:pt idx="62">
                  <c:v>9427.9199613869823</c:v>
                </c:pt>
                <c:pt idx="63">
                  <c:v>9456.8683341860124</c:v>
                </c:pt>
                <c:pt idx="64">
                  <c:v>9485.7394531739028</c:v>
                </c:pt>
                <c:pt idx="65">
                  <c:v>9514.5321785683136</c:v>
                </c:pt>
                <c:pt idx="66">
                  <c:v>9543.2453736817442</c:v>
                </c:pt>
                <c:pt idx="67">
                  <c:v>9571.8779049664208</c:v>
                </c:pt>
                <c:pt idx="68">
                  <c:v>9600.4286420590306</c:v>
                </c:pt>
                <c:pt idx="69">
                  <c:v>9628.8964578253617</c:v>
                </c:pt>
                <c:pt idx="70">
                  <c:v>9657.2802284047939</c:v>
                </c:pt>
                <c:pt idx="71">
                  <c:v>9685.5788332546636</c:v>
                </c:pt>
                <c:pt idx="72">
                  <c:v>9713.7911551945072</c:v>
                </c:pt>
                <c:pt idx="73">
                  <c:v>9741.9160804501607</c:v>
                </c:pt>
                <c:pt idx="74">
                  <c:v>9769.952498697734</c:v>
                </c:pt>
                <c:pt idx="75">
                  <c:v>9797.8993031074388</c:v>
                </c:pt>
                <c:pt idx="76">
                  <c:v>9825.7553903872904</c:v>
                </c:pt>
                <c:pt idx="77">
                  <c:v>9853.5196608266633</c:v>
                </c:pt>
                <c:pt idx="78">
                  <c:v>9881.191018339694</c:v>
                </c:pt>
                <c:pt idx="79">
                  <c:v>9908.7683705085765</c:v>
                </c:pt>
                <c:pt idx="80">
                  <c:v>9936.2506286266616</c:v>
                </c:pt>
                <c:pt idx="81">
                  <c:v>9963.6367077414579</c:v>
                </c:pt>
                <c:pt idx="82">
                  <c:v>9990.9255266974542</c:v>
                </c:pt>
                <c:pt idx="83">
                  <c:v>10018.116008178804</c:v>
                </c:pt>
                <c:pt idx="84">
                  <c:v>10045.207078751857</c:v>
                </c:pt>
                <c:pt idx="85">
                  <c:v>10072.197668907533</c:v>
                </c:pt>
                <c:pt idx="86">
                  <c:v>10099.086713103548</c:v>
                </c:pt>
                <c:pt idx="87">
                  <c:v>10125.873149806481</c:v>
                </c:pt>
                <c:pt idx="88">
                  <c:v>10152.555921533673</c:v>
                </c:pt>
                <c:pt idx="89">
                  <c:v>10179.133974894985</c:v>
                </c:pt>
                <c:pt idx="90">
                  <c:v>10205.60626063438</c:v>
                </c:pt>
                <c:pt idx="91">
                  <c:v>10231.971733671347</c:v>
                </c:pt>
                <c:pt idx="92">
                  <c:v>10258.229353142153</c:v>
                </c:pt>
                <c:pt idx="93">
                  <c:v>10284.378082440942</c:v>
                </c:pt>
                <c:pt idx="94">
                  <c:v>10310.416889260656</c:v>
                </c:pt>
                <c:pt idx="95">
                  <c:v>10336.344745633785</c:v>
                </c:pt>
                <c:pt idx="96">
                  <c:v>10362.160627972957</c:v>
                </c:pt>
                <c:pt idx="97">
                  <c:v>10387.863517111342</c:v>
                </c:pt>
                <c:pt idx="98">
                  <c:v>10413.452398342884</c:v>
                </c:pt>
                <c:pt idx="99">
                  <c:v>10438.926261462369</c:v>
                </c:pt>
                <c:pt idx="100">
                  <c:v>10464.2841008053</c:v>
                </c:pt>
                <c:pt idx="101">
                  <c:v>10489.524915287599</c:v>
                </c:pt>
                <c:pt idx="102">
                  <c:v>10514.647708445129</c:v>
                </c:pt>
                <c:pt idx="103">
                  <c:v>10539.651488473031</c:v>
                </c:pt>
                <c:pt idx="104">
                  <c:v>10564.535268264888</c:v>
                </c:pt>
                <c:pt idx="105">
                  <c:v>10589.298065451676</c:v>
                </c:pt>
                <c:pt idx="106">
                  <c:v>10613.938902440568</c:v>
                </c:pt>
                <c:pt idx="107">
                  <c:v>10638.456806453509</c:v>
                </c:pt>
                <c:pt idx="108">
                  <c:v>10662.850809565627</c:v>
                </c:pt>
                <c:pt idx="109">
                  <c:v>10687.119948743453</c:v>
                </c:pt>
                <c:pt idx="110">
                  <c:v>10711.263265882928</c:v>
                </c:pt>
                <c:pt idx="111">
                  <c:v>10735.279807847228</c:v>
                </c:pt>
                <c:pt idx="112">
                  <c:v>10759.168626504401</c:v>
                </c:pt>
                <c:pt idx="113">
                  <c:v>10782.928778764788</c:v>
                </c:pt>
                <c:pt idx="114">
                  <c:v>10806.559326618266</c:v>
                </c:pt>
                <c:pt idx="115">
                  <c:v>10830.059337171264</c:v>
                </c:pt>
                <c:pt idx="116">
                  <c:v>10853.427882683607</c:v>
                </c:pt>
                <c:pt idx="117">
                  <c:v>10876.66404060513</c:v>
                </c:pt>
                <c:pt idx="118">
                  <c:v>10899.766893612104</c:v>
                </c:pt>
                <c:pt idx="119">
                  <c:v>10922.735529643451</c:v>
                </c:pt>
                <c:pt idx="120">
                  <c:v>10945.569041936749</c:v>
                </c:pt>
                <c:pt idx="121">
                  <c:v>10968.266529064033</c:v>
                </c:pt>
                <c:pt idx="122">
                  <c:v>10990.827094967372</c:v>
                </c:pt>
                <c:pt idx="123">
                  <c:v>11013.249848994254</c:v>
                </c:pt>
                <c:pt idx="124">
                  <c:v>11035.533905932745</c:v>
                </c:pt>
                <c:pt idx="125">
                  <c:v>11057.678386046435</c:v>
                </c:pt>
                <c:pt idx="126">
                  <c:v>11079.682415109164</c:v>
                </c:pt>
                <c:pt idx="127">
                  <c:v>11101.545124439543</c:v>
                </c:pt>
                <c:pt idx="128">
                  <c:v>11123.265650935242</c:v>
                </c:pt>
                <c:pt idx="129">
                  <c:v>11144.843137107066</c:v>
                </c:pt>
                <c:pt idx="130">
                  <c:v>11166.276731112808</c:v>
                </c:pt>
                <c:pt idx="131">
                  <c:v>11187.565586790879</c:v>
                </c:pt>
                <c:pt idx="132">
                  <c:v>11208.708863693706</c:v>
                </c:pt>
                <c:pt idx="133">
                  <c:v>11229.70572712092</c:v>
                </c:pt>
                <c:pt idx="134">
                  <c:v>11250.555348152307</c:v>
                </c:pt>
                <c:pt idx="135">
                  <c:v>11271.256903680529</c:v>
                </c:pt>
                <c:pt idx="136">
                  <c:v>11291.809576443618</c:v>
                </c:pt>
                <c:pt idx="137">
                  <c:v>11312.212555057249</c:v>
                </c:pt>
                <c:pt idx="138">
                  <c:v>11332.46503404676</c:v>
                </c:pt>
                <c:pt idx="139">
                  <c:v>11352.566213878956</c:v>
                </c:pt>
                <c:pt idx="140">
                  <c:v>11372.515300993678</c:v>
                </c:pt>
                <c:pt idx="141">
                  <c:v>11392.311507835127</c:v>
                </c:pt>
                <c:pt idx="142">
                  <c:v>11411.954052882951</c:v>
                </c:pt>
                <c:pt idx="143">
                  <c:v>11431.442160683106</c:v>
                </c:pt>
                <c:pt idx="144">
                  <c:v>11450.775061878463</c:v>
                </c:pt>
                <c:pt idx="145">
                  <c:v>11469.951993239187</c:v>
                </c:pt>
                <c:pt idx="146">
                  <c:v>11488.972197692865</c:v>
                </c:pt>
                <c:pt idx="147">
                  <c:v>11507.834924354393</c:v>
                </c:pt>
                <c:pt idx="148">
                  <c:v>11526.539428555621</c:v>
                </c:pt>
                <c:pt idx="149">
                  <c:v>11545.084971874749</c:v>
                </c:pt>
                <c:pt idx="150">
                  <c:v>11563.47082216548</c:v>
                </c:pt>
                <c:pt idx="151">
                  <c:v>11581.696253585931</c:v>
                </c:pt>
                <c:pt idx="152">
                  <c:v>11599.760546627273</c:v>
                </c:pt>
                <c:pt idx="153">
                  <c:v>11617.662988142147</c:v>
                </c:pt>
                <c:pt idx="154">
                  <c:v>11635.40287137282</c:v>
                </c:pt>
                <c:pt idx="155">
                  <c:v>11652.979495979074</c:v>
                </c:pt>
                <c:pt idx="156">
                  <c:v>11670.392168065868</c:v>
                </c:pt>
                <c:pt idx="157">
                  <c:v>11687.640200210721</c:v>
                </c:pt>
                <c:pt idx="158">
                  <c:v>11704.722911490855</c:v>
                </c:pt>
                <c:pt idx="159">
                  <c:v>11721.639627510085</c:v>
                </c:pt>
                <c:pt idx="160">
                  <c:v>11738.389680425427</c:v>
                </c:pt>
                <c:pt idx="161">
                  <c:v>11754.97240897347</c:v>
                </c:pt>
                <c:pt idx="162">
                  <c:v>11771.387158496487</c:v>
                </c:pt>
                <c:pt idx="163">
                  <c:v>11787.633280968272</c:v>
                </c:pt>
                <c:pt idx="164">
                  <c:v>11803.71013501973</c:v>
                </c:pt>
                <c:pt idx="165">
                  <c:v>11819.617085964186</c:v>
                </c:pt>
                <c:pt idx="166">
                  <c:v>11835.353505822462</c:v>
                </c:pt>
                <c:pt idx="167">
                  <c:v>11850.918773347639</c:v>
                </c:pt>
                <c:pt idx="168">
                  <c:v>11866.312274049611</c:v>
                </c:pt>
                <c:pt idx="169">
                  <c:v>11881.53340021933</c:v>
                </c:pt>
                <c:pt idx="170">
                  <c:v>11896.581550952793</c:v>
                </c:pt>
                <c:pt idx="171">
                  <c:v>11911.456132174779</c:v>
                </c:pt>
                <c:pt idx="172">
                  <c:v>11926.156556662287</c:v>
                </c:pt>
                <c:pt idx="173">
                  <c:v>11940.682244067733</c:v>
                </c:pt>
                <c:pt idx="174">
                  <c:v>11955.032620941849</c:v>
                </c:pt>
                <c:pt idx="175">
                  <c:v>11969.207120756331</c:v>
                </c:pt>
                <c:pt idx="176">
                  <c:v>11983.205183926191</c:v>
                </c:pt>
                <c:pt idx="177">
                  <c:v>11997.026257831865</c:v>
                </c:pt>
                <c:pt idx="178">
                  <c:v>12010.669796841026</c:v>
                </c:pt>
                <c:pt idx="179">
                  <c:v>12024.135262330108</c:v>
                </c:pt>
                <c:pt idx="180">
                  <c:v>12037.422122705597</c:v>
                </c:pt>
                <c:pt idx="181">
                  <c:v>12050.529853424989</c:v>
                </c:pt>
                <c:pt idx="182">
                  <c:v>12063.457937017525</c:v>
                </c:pt>
                <c:pt idx="183">
                  <c:v>12076.205863104598</c:v>
                </c:pt>
                <c:pt idx="184">
                  <c:v>12088.773128419916</c:v>
                </c:pt>
                <c:pt idx="185">
                  <c:v>12101.159236829362</c:v>
                </c:pt>
                <c:pt idx="186">
                  <c:v>12113.363699350586</c:v>
                </c:pt>
                <c:pt idx="187">
                  <c:v>12125.386034172301</c:v>
                </c:pt>
                <c:pt idx="188">
                  <c:v>12137.225766673317</c:v>
                </c:pt>
                <c:pt idx="189">
                  <c:v>12148.882429441266</c:v>
                </c:pt>
                <c:pt idx="190">
                  <c:v>12160.355562291064</c:v>
                </c:pt>
                <c:pt idx="191">
                  <c:v>12171.64471228307</c:v>
                </c:pt>
                <c:pt idx="192">
                  <c:v>12182.749433740972</c:v>
                </c:pt>
                <c:pt idx="193">
                  <c:v>12193.669288269381</c:v>
                </c:pt>
                <c:pt idx="194">
                  <c:v>12204.403844771137</c:v>
                </c:pt>
                <c:pt idx="195">
                  <c:v>12214.952679464332</c:v>
                </c:pt>
                <c:pt idx="196">
                  <c:v>12225.315375899034</c:v>
                </c:pt>
                <c:pt idx="197">
                  <c:v>12235.491524973731</c:v>
                </c:pt>
                <c:pt idx="198">
                  <c:v>12245.480724951482</c:v>
                </c:pt>
                <c:pt idx="199">
                  <c:v>12255.282581475778</c:v>
                </c:pt>
                <c:pt idx="200">
                  <c:v>12264.896707586104</c:v>
                </c:pt>
                <c:pt idx="201">
                  <c:v>12274.322723733225</c:v>
                </c:pt>
                <c:pt idx="202">
                  <c:v>12283.560257794161</c:v>
                </c:pt>
                <c:pt idx="203">
                  <c:v>12292.608945086889</c:v>
                </c:pt>
                <c:pt idx="204">
                  <c:v>12301.468428384724</c:v>
                </c:pt>
                <c:pt idx="205">
                  <c:v>12310.138357930438</c:v>
                </c:pt>
                <c:pt idx="206">
                  <c:v>12318.618391450058</c:v>
                </c:pt>
                <c:pt idx="207">
                  <c:v>12326.908194166379</c:v>
                </c:pt>
                <c:pt idx="208">
                  <c:v>12335.007438812183</c:v>
                </c:pt>
                <c:pt idx="209">
                  <c:v>12342.915805643162</c:v>
                </c:pt>
                <c:pt idx="210">
                  <c:v>12350.632982450537</c:v>
                </c:pt>
                <c:pt idx="211">
                  <c:v>12358.158664573377</c:v>
                </c:pt>
                <c:pt idx="212">
                  <c:v>12365.492554910641</c:v>
                </c:pt>
                <c:pt idx="213">
                  <c:v>12372.634363932893</c:v>
                </c:pt>
                <c:pt idx="214">
                  <c:v>12379.583809693744</c:v>
                </c:pt>
                <c:pt idx="215">
                  <c:v>12386.340617840975</c:v>
                </c:pt>
                <c:pt idx="216">
                  <c:v>12392.904521627366</c:v>
                </c:pt>
                <c:pt idx="217">
                  <c:v>12399.275261921241</c:v>
                </c:pt>
                <c:pt idx="218">
                  <c:v>12405.452587216678</c:v>
                </c:pt>
                <c:pt idx="219">
                  <c:v>12411.436253643449</c:v>
                </c:pt>
                <c:pt idx="220">
                  <c:v>12417.226024976655</c:v>
                </c:pt>
                <c:pt idx="221">
                  <c:v>12422.821672646034</c:v>
                </c:pt>
                <c:pt idx="222">
                  <c:v>12428.222975744997</c:v>
                </c:pt>
                <c:pt idx="223">
                  <c:v>12433.429721039345</c:v>
                </c:pt>
                <c:pt idx="224">
                  <c:v>12438.441702975695</c:v>
                </c:pt>
                <c:pt idx="225">
                  <c:v>12443.258723689576</c:v>
                </c:pt>
                <c:pt idx="226">
                  <c:v>12447.88059301326</c:v>
                </c:pt>
                <c:pt idx="227">
                  <c:v>12452.307128483262</c:v>
                </c:pt>
                <c:pt idx="228">
                  <c:v>12456.538155347538</c:v>
                </c:pt>
                <c:pt idx="229">
                  <c:v>12460.573506572393</c:v>
                </c:pt>
                <c:pt idx="230">
                  <c:v>12464.413022849072</c:v>
                </c:pt>
                <c:pt idx="231">
                  <c:v>12468.056552600046</c:v>
                </c:pt>
                <c:pt idx="232">
                  <c:v>12471.503951985</c:v>
                </c:pt>
                <c:pt idx="233">
                  <c:v>12474.755084906505</c:v>
                </c:pt>
                <c:pt idx="234">
                  <c:v>12477.809823015403</c:v>
                </c:pt>
                <c:pt idx="235">
                  <c:v>12480.668045715865</c:v>
                </c:pt>
                <c:pt idx="236">
                  <c:v>12483.329640170152</c:v>
                </c:pt>
                <c:pt idx="237">
                  <c:v>12485.794501303073</c:v>
                </c:pt>
                <c:pt idx="238">
                  <c:v>12488.062531806128</c:v>
                </c:pt>
                <c:pt idx="239">
                  <c:v>12490.133642141362</c:v>
                </c:pt>
                <c:pt idx="240">
                  <c:v>12492.007750544877</c:v>
                </c:pt>
                <c:pt idx="241">
                  <c:v>12493.68478303009</c:v>
                </c:pt>
                <c:pt idx="242">
                  <c:v>12495.164673390625</c:v>
                </c:pt>
                <c:pt idx="243">
                  <c:v>12496.447363202948</c:v>
                </c:pt>
                <c:pt idx="244">
                  <c:v>12497.53280182866</c:v>
                </c:pt>
                <c:pt idx="245">
                  <c:v>12498.4209464165</c:v>
                </c:pt>
                <c:pt idx="246">
                  <c:v>12499.111761904045</c:v>
                </c:pt>
                <c:pt idx="247">
                  <c:v>12499.605221019081</c:v>
                </c:pt>
                <c:pt idx="248">
                  <c:v>12499.901304280687</c:v>
                </c:pt>
                <c:pt idx="249">
                  <c:v>12500</c:v>
                </c:pt>
                <c:pt idx="250">
                  <c:v>12499.901304280686</c:v>
                </c:pt>
                <c:pt idx="251">
                  <c:v>12499.605221019079</c:v>
                </c:pt>
                <c:pt idx="252">
                  <c:v>12499.111761904045</c:v>
                </c:pt>
                <c:pt idx="253">
                  <c:v>12498.4209464165</c:v>
                </c:pt>
                <c:pt idx="254">
                  <c:v>12497.532801828656</c:v>
                </c:pt>
                <c:pt idx="255">
                  <c:v>12496.447363202944</c:v>
                </c:pt>
                <c:pt idx="256">
                  <c:v>12495.164673390622</c:v>
                </c:pt>
                <c:pt idx="257">
                  <c:v>12493.684783030085</c:v>
                </c:pt>
                <c:pt idx="258">
                  <c:v>12492.007750544872</c:v>
                </c:pt>
                <c:pt idx="259">
                  <c:v>12490.133642141354</c:v>
                </c:pt>
                <c:pt idx="260">
                  <c:v>12488.062531806123</c:v>
                </c:pt>
                <c:pt idx="261">
                  <c:v>12485.794501303066</c:v>
                </c:pt>
                <c:pt idx="262">
                  <c:v>12483.329640170145</c:v>
                </c:pt>
                <c:pt idx="263">
                  <c:v>12480.668045715858</c:v>
                </c:pt>
                <c:pt idx="264">
                  <c:v>12477.809823015396</c:v>
                </c:pt>
                <c:pt idx="265">
                  <c:v>12474.755084906496</c:v>
                </c:pt>
                <c:pt idx="266">
                  <c:v>12471.503951984989</c:v>
                </c:pt>
                <c:pt idx="267">
                  <c:v>12468.056552600036</c:v>
                </c:pt>
                <c:pt idx="268">
                  <c:v>12464.413022849061</c:v>
                </c:pt>
                <c:pt idx="269">
                  <c:v>12460.573506572382</c:v>
                </c:pt>
                <c:pt idx="270">
                  <c:v>12456.538155347527</c:v>
                </c:pt>
                <c:pt idx="271">
                  <c:v>12452.307128483249</c:v>
                </c:pt>
                <c:pt idx="272">
                  <c:v>12447.880593013248</c:v>
                </c:pt>
                <c:pt idx="273">
                  <c:v>12443.258723689563</c:v>
                </c:pt>
                <c:pt idx="274">
                  <c:v>12438.441702975681</c:v>
                </c:pt>
                <c:pt idx="275">
                  <c:v>12433.429721039331</c:v>
                </c:pt>
                <c:pt idx="276">
                  <c:v>12428.222975744982</c:v>
                </c:pt>
                <c:pt idx="277">
                  <c:v>12422.821672646018</c:v>
                </c:pt>
                <c:pt idx="278">
                  <c:v>12417.22602497664</c:v>
                </c:pt>
                <c:pt idx="279">
                  <c:v>12411.436253643435</c:v>
                </c:pt>
                <c:pt idx="280">
                  <c:v>12405.45258721666</c:v>
                </c:pt>
                <c:pt idx="281">
                  <c:v>12399.275261921222</c:v>
                </c:pt>
                <c:pt idx="282">
                  <c:v>12392.90452162735</c:v>
                </c:pt>
                <c:pt idx="283">
                  <c:v>12386.340617840957</c:v>
                </c:pt>
                <c:pt idx="284">
                  <c:v>12379.583809693726</c:v>
                </c:pt>
                <c:pt idx="285">
                  <c:v>12372.634363932873</c:v>
                </c:pt>
                <c:pt idx="286">
                  <c:v>12365.492554910619</c:v>
                </c:pt>
                <c:pt idx="287">
                  <c:v>12358.158664573357</c:v>
                </c:pt>
                <c:pt idx="288">
                  <c:v>12350.632982450516</c:v>
                </c:pt>
                <c:pt idx="289">
                  <c:v>12342.915805643142</c:v>
                </c:pt>
                <c:pt idx="290">
                  <c:v>12335.007438812161</c:v>
                </c:pt>
                <c:pt idx="291">
                  <c:v>12326.908194166355</c:v>
                </c:pt>
                <c:pt idx="292">
                  <c:v>12318.618391450033</c:v>
                </c:pt>
                <c:pt idx="293">
                  <c:v>12310.138357930413</c:v>
                </c:pt>
                <c:pt idx="294">
                  <c:v>12301.4684283847</c:v>
                </c:pt>
                <c:pt idx="295">
                  <c:v>12292.608945086864</c:v>
                </c:pt>
                <c:pt idx="296">
                  <c:v>12283.560257794135</c:v>
                </c:pt>
                <c:pt idx="297">
                  <c:v>12274.322723733199</c:v>
                </c:pt>
                <c:pt idx="298">
                  <c:v>12264.896707586076</c:v>
                </c:pt>
                <c:pt idx="299">
                  <c:v>12255.282581475749</c:v>
                </c:pt>
                <c:pt idx="300">
                  <c:v>12245.480724951454</c:v>
                </c:pt>
                <c:pt idx="301">
                  <c:v>12235.491524973702</c:v>
                </c:pt>
                <c:pt idx="302">
                  <c:v>12225.315375899005</c:v>
                </c:pt>
                <c:pt idx="303">
                  <c:v>12214.952679464302</c:v>
                </c:pt>
                <c:pt idx="304">
                  <c:v>12204.403844771106</c:v>
                </c:pt>
                <c:pt idx="305">
                  <c:v>12193.66928826935</c:v>
                </c:pt>
                <c:pt idx="306">
                  <c:v>12182.749433740941</c:v>
                </c:pt>
                <c:pt idx="307">
                  <c:v>12171.64471228304</c:v>
                </c:pt>
                <c:pt idx="308">
                  <c:v>12160.355562291033</c:v>
                </c:pt>
                <c:pt idx="309">
                  <c:v>12148.882429441235</c:v>
                </c:pt>
                <c:pt idx="310">
                  <c:v>12137.225766673284</c:v>
                </c:pt>
                <c:pt idx="311">
                  <c:v>12125.386034172268</c:v>
                </c:pt>
                <c:pt idx="312">
                  <c:v>12113.36369935055</c:v>
                </c:pt>
                <c:pt idx="313">
                  <c:v>12101.159236829328</c:v>
                </c:pt>
                <c:pt idx="314">
                  <c:v>12088.773128419882</c:v>
                </c:pt>
                <c:pt idx="315">
                  <c:v>12076.205863104562</c:v>
                </c:pt>
                <c:pt idx="316">
                  <c:v>12063.457937017489</c:v>
                </c:pt>
                <c:pt idx="317">
                  <c:v>12050.529853424952</c:v>
                </c:pt>
                <c:pt idx="318">
                  <c:v>12037.422122705559</c:v>
                </c:pt>
                <c:pt idx="319">
                  <c:v>12024.13526233007</c:v>
                </c:pt>
                <c:pt idx="320">
                  <c:v>12010.669796840986</c:v>
                </c:pt>
                <c:pt idx="321">
                  <c:v>11997.026257831829</c:v>
                </c:pt>
                <c:pt idx="322">
                  <c:v>11983.205183926151</c:v>
                </c:pt>
                <c:pt idx="323">
                  <c:v>11969.207120756291</c:v>
                </c:pt>
                <c:pt idx="324">
                  <c:v>11955.032620941809</c:v>
                </c:pt>
                <c:pt idx="325">
                  <c:v>11940.682244067693</c:v>
                </c:pt>
                <c:pt idx="326">
                  <c:v>11926.156556662247</c:v>
                </c:pt>
                <c:pt idx="327">
                  <c:v>11911.456132174735</c:v>
                </c:pt>
                <c:pt idx="328">
                  <c:v>11896.581550952749</c:v>
                </c:pt>
                <c:pt idx="329">
                  <c:v>11881.533400219287</c:v>
                </c:pt>
                <c:pt idx="330">
                  <c:v>11866.312274049569</c:v>
                </c:pt>
                <c:pt idx="331">
                  <c:v>11850.918773347596</c:v>
                </c:pt>
                <c:pt idx="332">
                  <c:v>11835.353505822417</c:v>
                </c:pt>
                <c:pt idx="333">
                  <c:v>11819.617085964142</c:v>
                </c:pt>
                <c:pt idx="334">
                  <c:v>11803.710135019684</c:v>
                </c:pt>
                <c:pt idx="335">
                  <c:v>11787.633280968226</c:v>
                </c:pt>
                <c:pt idx="336">
                  <c:v>11771.38715849644</c:v>
                </c:pt>
                <c:pt idx="337">
                  <c:v>11754.972408973423</c:v>
                </c:pt>
                <c:pt idx="338">
                  <c:v>11738.38968042538</c:v>
                </c:pt>
                <c:pt idx="339">
                  <c:v>11721.639627510038</c:v>
                </c:pt>
                <c:pt idx="340">
                  <c:v>11704.722911490808</c:v>
                </c:pt>
                <c:pt idx="341">
                  <c:v>11687.64020021067</c:v>
                </c:pt>
                <c:pt idx="342">
                  <c:v>11670.392168065817</c:v>
                </c:pt>
                <c:pt idx="343">
                  <c:v>11652.979495979023</c:v>
                </c:pt>
                <c:pt idx="344">
                  <c:v>11635.402871372771</c:v>
                </c:pt>
                <c:pt idx="345">
                  <c:v>11617.662988142098</c:v>
                </c:pt>
                <c:pt idx="346">
                  <c:v>11599.760546627222</c:v>
                </c:pt>
                <c:pt idx="347">
                  <c:v>11581.69625358588</c:v>
                </c:pt>
                <c:pt idx="348">
                  <c:v>11563.470822165429</c:v>
                </c:pt>
                <c:pt idx="349">
                  <c:v>11545.084971874696</c:v>
                </c:pt>
                <c:pt idx="350">
                  <c:v>11526.539428555567</c:v>
                </c:pt>
                <c:pt idx="351">
                  <c:v>11507.83492435434</c:v>
                </c:pt>
                <c:pt idx="352">
                  <c:v>11488.972197692812</c:v>
                </c:pt>
                <c:pt idx="353">
                  <c:v>11469.951993239134</c:v>
                </c:pt>
                <c:pt idx="354">
                  <c:v>11450.775061878408</c:v>
                </c:pt>
                <c:pt idx="355">
                  <c:v>11431.442160683049</c:v>
                </c:pt>
                <c:pt idx="356">
                  <c:v>11411.954052882895</c:v>
                </c:pt>
                <c:pt idx="357">
                  <c:v>11392.311507835071</c:v>
                </c:pt>
                <c:pt idx="358">
                  <c:v>11372.515300993622</c:v>
                </c:pt>
                <c:pt idx="359">
                  <c:v>11352.566213878899</c:v>
                </c:pt>
                <c:pt idx="360">
                  <c:v>11332.465034046701</c:v>
                </c:pt>
                <c:pt idx="361">
                  <c:v>11312.212555057191</c:v>
                </c:pt>
                <c:pt idx="362">
                  <c:v>11291.80957644356</c:v>
                </c:pt>
                <c:pt idx="363">
                  <c:v>11271.256903680471</c:v>
                </c:pt>
                <c:pt idx="364">
                  <c:v>11250.555348152247</c:v>
                </c:pt>
                <c:pt idx="365">
                  <c:v>11229.705727120861</c:v>
                </c:pt>
                <c:pt idx="366">
                  <c:v>11208.708863693646</c:v>
                </c:pt>
                <c:pt idx="367">
                  <c:v>11187.565586790819</c:v>
                </c:pt>
                <c:pt idx="368">
                  <c:v>11166.276731112748</c:v>
                </c:pt>
                <c:pt idx="369">
                  <c:v>11144.843137107006</c:v>
                </c:pt>
                <c:pt idx="370">
                  <c:v>11123.26565093518</c:v>
                </c:pt>
                <c:pt idx="371">
                  <c:v>11101.545124439481</c:v>
                </c:pt>
                <c:pt idx="372">
                  <c:v>11079.682415109102</c:v>
                </c:pt>
                <c:pt idx="373">
                  <c:v>11057.678386046373</c:v>
                </c:pt>
                <c:pt idx="374">
                  <c:v>11035.533905932683</c:v>
                </c:pt>
                <c:pt idx="375">
                  <c:v>11013.24984899419</c:v>
                </c:pt>
                <c:pt idx="376">
                  <c:v>10990.827094967308</c:v>
                </c:pt>
                <c:pt idx="377">
                  <c:v>10968.266529063969</c:v>
                </c:pt>
                <c:pt idx="378">
                  <c:v>10945.569041936686</c:v>
                </c:pt>
                <c:pt idx="379">
                  <c:v>10922.735529643385</c:v>
                </c:pt>
                <c:pt idx="380">
                  <c:v>10899.766893612039</c:v>
                </c:pt>
                <c:pt idx="381">
                  <c:v>10876.664040605065</c:v>
                </c:pt>
                <c:pt idx="382">
                  <c:v>10853.427882683542</c:v>
                </c:pt>
                <c:pt idx="383">
                  <c:v>10830.059337171198</c:v>
                </c:pt>
                <c:pt idx="384">
                  <c:v>10806.559326618199</c:v>
                </c:pt>
                <c:pt idx="385">
                  <c:v>10782.928778764723</c:v>
                </c:pt>
                <c:pt idx="386">
                  <c:v>10759.168626504334</c:v>
                </c:pt>
                <c:pt idx="387">
                  <c:v>10735.279807847161</c:v>
                </c:pt>
                <c:pt idx="388">
                  <c:v>10711.263265882859</c:v>
                </c:pt>
                <c:pt idx="389">
                  <c:v>10687.119948743386</c:v>
                </c:pt>
                <c:pt idx="390">
                  <c:v>10662.85080956556</c:v>
                </c:pt>
                <c:pt idx="391">
                  <c:v>10638.456806453438</c:v>
                </c:pt>
                <c:pt idx="392">
                  <c:v>10613.938902440499</c:v>
                </c:pt>
                <c:pt idx="393">
                  <c:v>10589.298065451607</c:v>
                </c:pt>
                <c:pt idx="394">
                  <c:v>10564.535268264817</c:v>
                </c:pt>
                <c:pt idx="395">
                  <c:v>10539.651488472962</c:v>
                </c:pt>
                <c:pt idx="396">
                  <c:v>10514.647708445058</c:v>
                </c:pt>
                <c:pt idx="397">
                  <c:v>10489.524915287528</c:v>
                </c:pt>
                <c:pt idx="398">
                  <c:v>10464.284100805229</c:v>
                </c:pt>
                <c:pt idx="399">
                  <c:v>10438.926261462298</c:v>
                </c:pt>
                <c:pt idx="400">
                  <c:v>10413.452398342812</c:v>
                </c:pt>
                <c:pt idx="401">
                  <c:v>10387.863517111269</c:v>
                </c:pt>
                <c:pt idx="402">
                  <c:v>10362.160627972884</c:v>
                </c:pt>
                <c:pt idx="403">
                  <c:v>10336.344745633713</c:v>
                </c:pt>
                <c:pt idx="404">
                  <c:v>10310.416889260583</c:v>
                </c:pt>
                <c:pt idx="405">
                  <c:v>10284.37808244087</c:v>
                </c:pt>
                <c:pt idx="406">
                  <c:v>10258.22935314208</c:v>
                </c:pt>
                <c:pt idx="407">
                  <c:v>10231.971733671273</c:v>
                </c:pt>
                <c:pt idx="408">
                  <c:v>10205.606260634308</c:v>
                </c:pt>
                <c:pt idx="409">
                  <c:v>10179.13397489491</c:v>
                </c:pt>
                <c:pt idx="410">
                  <c:v>10152.555921533596</c:v>
                </c:pt>
                <c:pt idx="411">
                  <c:v>10125.873149806404</c:v>
                </c:pt>
                <c:pt idx="412">
                  <c:v>10099.086713103472</c:v>
                </c:pt>
                <c:pt idx="413">
                  <c:v>10072.197668907458</c:v>
                </c:pt>
                <c:pt idx="414">
                  <c:v>10045.207078751781</c:v>
                </c:pt>
                <c:pt idx="415">
                  <c:v>10018.116008178727</c:v>
                </c:pt>
                <c:pt idx="416">
                  <c:v>9990.9255266973778</c:v>
                </c:pt>
                <c:pt idx="417">
                  <c:v>9963.6367077413815</c:v>
                </c:pt>
                <c:pt idx="418">
                  <c:v>9936.2506286265834</c:v>
                </c:pt>
                <c:pt idx="419">
                  <c:v>9908.7683705084983</c:v>
                </c:pt>
                <c:pt idx="420">
                  <c:v>9881.1910183396176</c:v>
                </c:pt>
                <c:pt idx="421">
                  <c:v>9853.5196608265833</c:v>
                </c:pt>
                <c:pt idx="422">
                  <c:v>9825.7553903872122</c:v>
                </c:pt>
                <c:pt idx="423">
                  <c:v>9797.8993031073587</c:v>
                </c:pt>
                <c:pt idx="424">
                  <c:v>9769.9524986976539</c:v>
                </c:pt>
                <c:pt idx="425">
                  <c:v>9741.9160804500807</c:v>
                </c:pt>
                <c:pt idx="426">
                  <c:v>9713.7911551944253</c:v>
                </c:pt>
                <c:pt idx="427">
                  <c:v>9685.5788332545817</c:v>
                </c:pt>
                <c:pt idx="428">
                  <c:v>9657.280228404712</c:v>
                </c:pt>
                <c:pt idx="429">
                  <c:v>9628.8964578252799</c:v>
                </c:pt>
                <c:pt idx="430">
                  <c:v>9600.4286420589488</c:v>
                </c:pt>
                <c:pt idx="431">
                  <c:v>9571.8779049663372</c:v>
                </c:pt>
                <c:pt idx="432">
                  <c:v>9543.2453736816606</c:v>
                </c:pt>
                <c:pt idx="433">
                  <c:v>9514.5321785682281</c:v>
                </c:pt>
                <c:pt idx="434">
                  <c:v>9485.7394531738173</c:v>
                </c:pt>
                <c:pt idx="435">
                  <c:v>9456.8683341859269</c:v>
                </c:pt>
                <c:pt idx="436">
                  <c:v>9427.9199613868968</c:v>
                </c:pt>
                <c:pt idx="437">
                  <c:v>9398.8954776089195</c:v>
                </c:pt>
                <c:pt idx="438">
                  <c:v>9369.7960286889138</c:v>
                </c:pt>
                <c:pt idx="439">
                  <c:v>9340.6227634233019</c:v>
                </c:pt>
                <c:pt idx="440">
                  <c:v>9311.3768335226396</c:v>
                </c:pt>
                <c:pt idx="441">
                  <c:v>9282.0593935661655</c:v>
                </c:pt>
                <c:pt idx="442">
                  <c:v>9252.671600956206</c:v>
                </c:pt>
                <c:pt idx="443">
                  <c:v>9223.2146158724954</c:v>
                </c:pt>
                <c:pt idx="444">
                  <c:v>9193.689601226366</c:v>
                </c:pt>
                <c:pt idx="445">
                  <c:v>9164.0977226148425</c:v>
                </c:pt>
                <c:pt idx="446">
                  <c:v>9134.4401482746216</c:v>
                </c:pt>
                <c:pt idx="447">
                  <c:v>9104.7180490359551</c:v>
                </c:pt>
                <c:pt idx="448">
                  <c:v>9074.9325982764312</c:v>
                </c:pt>
                <c:pt idx="449">
                  <c:v>9045.0849718746449</c:v>
                </c:pt>
                <c:pt idx="450">
                  <c:v>9015.1763481637772</c:v>
                </c:pt>
                <c:pt idx="451">
                  <c:v>8985.207907885082</c:v>
                </c:pt>
                <c:pt idx="452">
                  <c:v>8955.1808341412652</c:v>
                </c:pt>
                <c:pt idx="453">
                  <c:v>8925.0963123497859</c:v>
                </c:pt>
                <c:pt idx="454">
                  <c:v>8894.9555301960518</c:v>
                </c:pt>
                <c:pt idx="455">
                  <c:v>8864.7596775865313</c:v>
                </c:pt>
                <c:pt idx="456">
                  <c:v>8834.5099466017818</c:v>
                </c:pt>
                <c:pt idx="457">
                  <c:v>8804.2075314493886</c:v>
                </c:pt>
                <c:pt idx="458">
                  <c:v>8773.8536284168149</c:v>
                </c:pt>
                <c:pt idx="459">
                  <c:v>8743.4494358241773</c:v>
                </c:pt>
                <c:pt idx="460">
                  <c:v>8712.9961539769392</c:v>
                </c:pt>
                <c:pt idx="461">
                  <c:v>8682.4949851185265</c:v>
                </c:pt>
                <c:pt idx="462">
                  <c:v>8651.9471333828551</c:v>
                </c:pt>
                <c:pt idx="463">
                  <c:v>8621.3538047468082</c:v>
                </c:pt>
                <c:pt idx="464">
                  <c:v>8590.7162069826136</c:v>
                </c:pt>
                <c:pt idx="465">
                  <c:v>8560.0355496101747</c:v>
                </c:pt>
                <c:pt idx="466">
                  <c:v>8529.3130438493063</c:v>
                </c:pt>
                <c:pt idx="467">
                  <c:v>8498.5499025719346</c:v>
                </c:pt>
                <c:pt idx="468">
                  <c:v>8467.7473402542018</c:v>
                </c:pt>
                <c:pt idx="469">
                  <c:v>8436.906572928523</c:v>
                </c:pt>
                <c:pt idx="470">
                  <c:v>8406.0288181355863</c:v>
                </c:pt>
                <c:pt idx="471">
                  <c:v>8375.1152948762792</c:v>
                </c:pt>
                <c:pt idx="472">
                  <c:v>8344.1672235635669</c:v>
                </c:pt>
                <c:pt idx="473">
                  <c:v>8313.1858259743167</c:v>
                </c:pt>
                <c:pt idx="474">
                  <c:v>8282.1723252010524</c:v>
                </c:pt>
                <c:pt idx="475">
                  <c:v>8251.1279456036827</c:v>
                </c:pt>
                <c:pt idx="476">
                  <c:v>8220.0539127611573</c:v>
                </c:pt>
                <c:pt idx="477">
                  <c:v>8188.9514534230866</c:v>
                </c:pt>
                <c:pt idx="478">
                  <c:v>8157.8217954613083</c:v>
                </c:pt>
                <c:pt idx="479">
                  <c:v>8126.6661678214168</c:v>
                </c:pt>
                <c:pt idx="480">
                  <c:v>8095.4858004742437</c:v>
                </c:pt>
                <c:pt idx="481">
                  <c:v>8064.2819243673039</c:v>
                </c:pt>
                <c:pt idx="482">
                  <c:v>8033.0557713761946</c:v>
                </c:pt>
                <c:pt idx="483">
                  <c:v>8001.8085742559688</c:v>
                </c:pt>
                <c:pt idx="484">
                  <c:v>7970.5415665924656</c:v>
                </c:pt>
                <c:pt idx="485">
                  <c:v>7939.2559827536097</c:v>
                </c:pt>
                <c:pt idx="486">
                  <c:v>7907.9530578406811</c:v>
                </c:pt>
                <c:pt idx="487">
                  <c:v>7876.6340276395567</c:v>
                </c:pt>
                <c:pt idx="488">
                  <c:v>7845.300128571922</c:v>
                </c:pt>
                <c:pt idx="489">
                  <c:v>7813.9525976464593</c:v>
                </c:pt>
                <c:pt idx="490">
                  <c:v>7782.5926724100145</c:v>
                </c:pt>
                <c:pt idx="491">
                  <c:v>7751.22159089874</c:v>
                </c:pt>
                <c:pt idx="492">
                  <c:v>7719.8405915892163</c:v>
                </c:pt>
                <c:pt idx="493">
                  <c:v>7688.450913349564</c:v>
                </c:pt>
                <c:pt idx="494">
                  <c:v>7657.0537953905323</c:v>
                </c:pt>
                <c:pt idx="495">
                  <c:v>7625.6504772165781</c:v>
                </c:pt>
                <c:pt idx="496">
                  <c:v>7594.2421985769315</c:v>
                </c:pt>
                <c:pt idx="497">
                  <c:v>7562.8301994166532</c:v>
                </c:pt>
                <c:pt idx="498">
                  <c:v>7531.4157198276844</c:v>
                </c:pt>
                <c:pt idx="499">
                  <c:v>7499.99999999989</c:v>
                </c:pt>
                <c:pt idx="500">
                  <c:v>7468.5842801720946</c:v>
                </c:pt>
                <c:pt idx="501">
                  <c:v>7437.1698005831258</c:v>
                </c:pt>
                <c:pt idx="502">
                  <c:v>7405.7578014228475</c:v>
                </c:pt>
                <c:pt idx="503">
                  <c:v>7374.3495227832009</c:v>
                </c:pt>
                <c:pt idx="504">
                  <c:v>7342.9462046092467</c:v>
                </c:pt>
                <c:pt idx="505">
                  <c:v>7311.549086650215</c:v>
                </c:pt>
                <c:pt idx="506">
                  <c:v>7280.1594084105636</c:v>
                </c:pt>
                <c:pt idx="507">
                  <c:v>7248.7784091010399</c:v>
                </c:pt>
                <c:pt idx="508">
                  <c:v>7217.4073275897645</c:v>
                </c:pt>
                <c:pt idx="509">
                  <c:v>7186.0474023533206</c:v>
                </c:pt>
                <c:pt idx="510">
                  <c:v>7154.6998714278579</c:v>
                </c:pt>
                <c:pt idx="511">
                  <c:v>7123.3659723602232</c:v>
                </c:pt>
                <c:pt idx="512">
                  <c:v>7092.0469421590988</c:v>
                </c:pt>
                <c:pt idx="513">
                  <c:v>7060.7440172461702</c:v>
                </c:pt>
                <c:pt idx="514">
                  <c:v>7029.4584334073143</c:v>
                </c:pt>
                <c:pt idx="515">
                  <c:v>6998.1914257438111</c:v>
                </c:pt>
                <c:pt idx="516">
                  <c:v>6966.9442286235862</c:v>
                </c:pt>
                <c:pt idx="517">
                  <c:v>6935.7180756324769</c:v>
                </c:pt>
                <c:pt idx="518">
                  <c:v>6904.5141995255362</c:v>
                </c:pt>
                <c:pt idx="519">
                  <c:v>6873.333832178364</c:v>
                </c:pt>
                <c:pt idx="520">
                  <c:v>6842.1782045384725</c:v>
                </c:pt>
                <c:pt idx="521">
                  <c:v>6811.0485465766942</c:v>
                </c:pt>
                <c:pt idx="522">
                  <c:v>6779.9460872386235</c:v>
                </c:pt>
                <c:pt idx="523">
                  <c:v>6748.872054396099</c:v>
                </c:pt>
                <c:pt idx="524">
                  <c:v>6717.8276747987302</c:v>
                </c:pt>
                <c:pt idx="525">
                  <c:v>6686.8141740254659</c:v>
                </c:pt>
                <c:pt idx="526">
                  <c:v>6655.8327764362148</c:v>
                </c:pt>
                <c:pt idx="527">
                  <c:v>6624.8847051235034</c:v>
                </c:pt>
                <c:pt idx="528">
                  <c:v>6593.9711818641972</c:v>
                </c:pt>
                <c:pt idx="529">
                  <c:v>6563.0934270712605</c:v>
                </c:pt>
                <c:pt idx="530">
                  <c:v>6532.2526597455826</c:v>
                </c:pt>
                <c:pt idx="531">
                  <c:v>6501.450097427848</c:v>
                </c:pt>
                <c:pt idx="532">
                  <c:v>6470.6869561504773</c:v>
                </c:pt>
                <c:pt idx="533">
                  <c:v>6439.9644503896097</c:v>
                </c:pt>
                <c:pt idx="534">
                  <c:v>6409.28379301717</c:v>
                </c:pt>
                <c:pt idx="535">
                  <c:v>6378.6461952529771</c:v>
                </c:pt>
                <c:pt idx="536">
                  <c:v>6348.0528666169303</c:v>
                </c:pt>
                <c:pt idx="537">
                  <c:v>6317.5050148812597</c:v>
                </c:pt>
                <c:pt idx="538">
                  <c:v>6287.0038460228461</c:v>
                </c:pt>
                <c:pt idx="539">
                  <c:v>6256.550564175609</c:v>
                </c:pt>
                <c:pt idx="540">
                  <c:v>6226.1463715829723</c:v>
                </c:pt>
                <c:pt idx="541">
                  <c:v>6195.7924685503976</c:v>
                </c:pt>
                <c:pt idx="542">
                  <c:v>6165.4900533980053</c:v>
                </c:pt>
                <c:pt idx="543">
                  <c:v>6135.2403224132568</c:v>
                </c:pt>
                <c:pt idx="544">
                  <c:v>6105.0444698037363</c:v>
                </c:pt>
                <c:pt idx="545">
                  <c:v>6074.9036876500013</c:v>
                </c:pt>
                <c:pt idx="546">
                  <c:v>6044.8191658585229</c:v>
                </c:pt>
                <c:pt idx="547">
                  <c:v>6014.7920921147079</c:v>
                </c:pt>
                <c:pt idx="548">
                  <c:v>5984.8236518360127</c:v>
                </c:pt>
                <c:pt idx="549">
                  <c:v>5954.915028125145</c:v>
                </c:pt>
                <c:pt idx="550">
                  <c:v>5925.0674017233587</c:v>
                </c:pt>
                <c:pt idx="551">
                  <c:v>5895.2819509638348</c:v>
                </c:pt>
                <c:pt idx="552">
                  <c:v>5865.5598517251701</c:v>
                </c:pt>
                <c:pt idx="553">
                  <c:v>5835.9022773849492</c:v>
                </c:pt>
                <c:pt idx="554">
                  <c:v>5806.3103987734257</c:v>
                </c:pt>
                <c:pt idx="555">
                  <c:v>5776.7853841272972</c:v>
                </c:pt>
                <c:pt idx="556">
                  <c:v>5747.3283990435875</c:v>
                </c:pt>
                <c:pt idx="557">
                  <c:v>5717.940606433629</c:v>
                </c:pt>
                <c:pt idx="558">
                  <c:v>5688.623166477154</c:v>
                </c:pt>
                <c:pt idx="559">
                  <c:v>5659.3772365764926</c:v>
                </c:pt>
                <c:pt idx="560">
                  <c:v>5630.2039713108807</c:v>
                </c:pt>
                <c:pt idx="561">
                  <c:v>5601.1045223908768</c:v>
                </c:pt>
                <c:pt idx="562">
                  <c:v>5572.0800386128994</c:v>
                </c:pt>
                <c:pt idx="563">
                  <c:v>5543.1316658138712</c:v>
                </c:pt>
                <c:pt idx="564">
                  <c:v>5514.2605468259799</c:v>
                </c:pt>
                <c:pt idx="565">
                  <c:v>5485.46782143157</c:v>
                </c:pt>
                <c:pt idx="566">
                  <c:v>5456.7546263181375</c:v>
                </c:pt>
                <c:pt idx="567">
                  <c:v>5428.1220950334628</c:v>
                </c:pt>
                <c:pt idx="568">
                  <c:v>5399.5713579408521</c:v>
                </c:pt>
                <c:pt idx="569">
                  <c:v>5371.10354217452</c:v>
                </c:pt>
                <c:pt idx="570">
                  <c:v>5342.7197715950888</c:v>
                </c:pt>
                <c:pt idx="571">
                  <c:v>5314.4211667452191</c:v>
                </c:pt>
                <c:pt idx="572">
                  <c:v>5286.2088448053764</c:v>
                </c:pt>
                <c:pt idx="573">
                  <c:v>5258.0839195497229</c:v>
                </c:pt>
                <c:pt idx="574">
                  <c:v>5230.0475013021496</c:v>
                </c:pt>
                <c:pt idx="575">
                  <c:v>5202.1006968924448</c:v>
                </c:pt>
                <c:pt idx="576">
                  <c:v>5174.2446096125923</c:v>
                </c:pt>
                <c:pt idx="577">
                  <c:v>5146.4803391732212</c:v>
                </c:pt>
                <c:pt idx="578">
                  <c:v>5118.8089816601896</c:v>
                </c:pt>
                <c:pt idx="579">
                  <c:v>5091.231629491308</c:v>
                </c:pt>
                <c:pt idx="580">
                  <c:v>5063.7493713732238</c:v>
                </c:pt>
                <c:pt idx="581">
                  <c:v>5036.3632922584275</c:v>
                </c:pt>
                <c:pt idx="582">
                  <c:v>5009.0744733024312</c:v>
                </c:pt>
                <c:pt idx="583">
                  <c:v>4981.8839918210815</c:v>
                </c:pt>
                <c:pt idx="584">
                  <c:v>4954.7929212480285</c:v>
                </c:pt>
                <c:pt idx="585">
                  <c:v>4927.8023310923536</c:v>
                </c:pt>
                <c:pt idx="586">
                  <c:v>4900.9132868963388</c:v>
                </c:pt>
                <c:pt idx="587">
                  <c:v>4874.1268501934082</c:v>
                </c:pt>
                <c:pt idx="588">
                  <c:v>4847.4440784662165</c:v>
                </c:pt>
                <c:pt idx="589">
                  <c:v>4820.8660251049041</c:v>
                </c:pt>
                <c:pt idx="590">
                  <c:v>4794.3937393655078</c:v>
                </c:pt>
                <c:pt idx="591">
                  <c:v>4768.0282663285416</c:v>
                </c:pt>
                <c:pt idx="592">
                  <c:v>4741.7706468577362</c:v>
                </c:pt>
                <c:pt idx="593">
                  <c:v>4715.6219175589476</c:v>
                </c:pt>
                <c:pt idx="594">
                  <c:v>4689.5831107392351</c:v>
                </c:pt>
                <c:pt idx="595">
                  <c:v>4663.6552543661055</c:v>
                </c:pt>
                <c:pt idx="596">
                  <c:v>4637.8393720269341</c:v>
                </c:pt>
                <c:pt idx="597">
                  <c:v>4612.1364828885507</c:v>
                </c:pt>
                <c:pt idx="598">
                  <c:v>4586.5476016570083</c:v>
                </c:pt>
                <c:pt idx="599">
                  <c:v>4561.0737385375232</c:v>
                </c:pt>
                <c:pt idx="600">
                  <c:v>4535.7158991945935</c:v>
                </c:pt>
                <c:pt idx="601">
                  <c:v>4510.4750847122959</c:v>
                </c:pt>
                <c:pt idx="602">
                  <c:v>4485.3522915547665</c:v>
                </c:pt>
                <c:pt idx="603">
                  <c:v>4460.3485115268631</c:v>
                </c:pt>
                <c:pt idx="604">
                  <c:v>4435.4647317350082</c:v>
                </c:pt>
                <c:pt idx="605">
                  <c:v>4410.7019345482195</c:v>
                </c:pt>
                <c:pt idx="606">
                  <c:v>4386.061097559329</c:v>
                </c:pt>
                <c:pt idx="607">
                  <c:v>4361.5431935463894</c:v>
                </c:pt>
                <c:pt idx="608">
                  <c:v>4337.1491904342693</c:v>
                </c:pt>
                <c:pt idx="609">
                  <c:v>4312.8800512564439</c:v>
                </c:pt>
                <c:pt idx="610">
                  <c:v>4288.7367341169702</c:v>
                </c:pt>
                <c:pt idx="611">
                  <c:v>4264.7201921526721</c:v>
                </c:pt>
                <c:pt idx="612">
                  <c:v>4240.8313734955</c:v>
                </c:pt>
                <c:pt idx="613">
                  <c:v>4217.0712212351118</c:v>
                </c:pt>
                <c:pt idx="614">
                  <c:v>4193.440673381635</c:v>
                </c:pt>
                <c:pt idx="615">
                  <c:v>4169.940662828637</c:v>
                </c:pt>
                <c:pt idx="616">
                  <c:v>4146.5721173162947</c:v>
                </c:pt>
                <c:pt idx="617">
                  <c:v>4123.3359593947735</c:v>
                </c:pt>
                <c:pt idx="618">
                  <c:v>4100.2331063878</c:v>
                </c:pt>
                <c:pt idx="619">
                  <c:v>4077.2644703564533</c:v>
                </c:pt>
                <c:pt idx="620">
                  <c:v>4054.4309580631543</c:v>
                </c:pt>
                <c:pt idx="621">
                  <c:v>4031.733470935872</c:v>
                </c:pt>
                <c:pt idx="622">
                  <c:v>4009.1729050325343</c:v>
                </c:pt>
                <c:pt idx="623">
                  <c:v>3986.7501510056518</c:v>
                </c:pt>
                <c:pt idx="624">
                  <c:v>3964.4660940671611</c:v>
                </c:pt>
                <c:pt idx="625">
                  <c:v>3942.321613953472</c:v>
                </c:pt>
                <c:pt idx="626">
                  <c:v>3920.3175848907435</c:v>
                </c:pt>
                <c:pt idx="627">
                  <c:v>3898.4548755603655</c:v>
                </c:pt>
                <c:pt idx="628">
                  <c:v>3876.7343490646672</c:v>
                </c:pt>
                <c:pt idx="629">
                  <c:v>3855.1568628928435</c:v>
                </c:pt>
                <c:pt idx="630">
                  <c:v>3833.7232688871013</c:v>
                </c:pt>
                <c:pt idx="631">
                  <c:v>3812.4344132090323</c:v>
                </c:pt>
                <c:pt idx="632">
                  <c:v>3791.2911363062062</c:v>
                </c:pt>
                <c:pt idx="633">
                  <c:v>3770.2942728789922</c:v>
                </c:pt>
                <c:pt idx="634">
                  <c:v>3749.4446518476057</c:v>
                </c:pt>
                <c:pt idx="635">
                  <c:v>3728.7430963193847</c:v>
                </c:pt>
                <c:pt idx="636">
                  <c:v>3708.190423556297</c:v>
                </c:pt>
                <c:pt idx="637">
                  <c:v>3687.7874449426686</c:v>
                </c:pt>
                <c:pt idx="638">
                  <c:v>3667.5349659531603</c:v>
                </c:pt>
                <c:pt idx="639">
                  <c:v>3647.4337861209656</c:v>
                </c:pt>
                <c:pt idx="640">
                  <c:v>3627.4846990062442</c:v>
                </c:pt>
                <c:pt idx="641">
                  <c:v>3607.6884921647984</c:v>
                </c:pt>
                <c:pt idx="642">
                  <c:v>3588.0459471169765</c:v>
                </c:pt>
                <c:pt idx="643">
                  <c:v>3568.5578393168248</c:v>
                </c:pt>
                <c:pt idx="644">
                  <c:v>3549.2249381214692</c:v>
                </c:pt>
                <c:pt idx="645">
                  <c:v>3530.0480067607459</c:v>
                </c:pt>
                <c:pt idx="646">
                  <c:v>3511.0278023070696</c:v>
                </c:pt>
                <c:pt idx="647">
                  <c:v>3492.1650756455438</c:v>
                </c:pt>
                <c:pt idx="648">
                  <c:v>3473.4605714443182</c:v>
                </c:pt>
                <c:pt idx="649">
                  <c:v>3454.9150281251927</c:v>
                </c:pt>
                <c:pt idx="650">
                  <c:v>3436.5291778344622</c:v>
                </c:pt>
                <c:pt idx="651">
                  <c:v>3418.3037464140139</c:v>
                </c:pt>
                <c:pt idx="652">
                  <c:v>3400.2394533726738</c:v>
                </c:pt>
                <c:pt idx="653">
                  <c:v>3382.3370118577996</c:v>
                </c:pt>
                <c:pt idx="654">
                  <c:v>3364.5971286271297</c:v>
                </c:pt>
                <c:pt idx="655">
                  <c:v>3347.0205040208775</c:v>
                </c:pt>
                <c:pt idx="656">
                  <c:v>3329.6078319340859</c:v>
                </c:pt>
                <c:pt idx="657">
                  <c:v>3312.3597997892348</c:v>
                </c:pt>
                <c:pt idx="658">
                  <c:v>3295.2770885090995</c:v>
                </c:pt>
                <c:pt idx="659">
                  <c:v>3278.3603724898712</c:v>
                </c:pt>
                <c:pt idx="660">
                  <c:v>3261.6103195745318</c:v>
                </c:pt>
                <c:pt idx="661">
                  <c:v>3245.02759102649</c:v>
                </c:pt>
                <c:pt idx="662">
                  <c:v>3228.6128415034755</c:v>
                </c:pt>
                <c:pt idx="663">
                  <c:v>3212.3667190316919</c:v>
                </c:pt>
                <c:pt idx="664">
                  <c:v>3196.2898649802364</c:v>
                </c:pt>
                <c:pt idx="665">
                  <c:v>3180.3829140357793</c:v>
                </c:pt>
                <c:pt idx="666">
                  <c:v>3164.6464941775075</c:v>
                </c:pt>
                <c:pt idx="667">
                  <c:v>3149.0812266523308</c:v>
                </c:pt>
                <c:pt idx="668">
                  <c:v>3133.687725950359</c:v>
                </c:pt>
                <c:pt idx="669">
                  <c:v>3118.4665997806442</c:v>
                </c:pt>
                <c:pt idx="670">
                  <c:v>3103.4184490471816</c:v>
                </c:pt>
                <c:pt idx="671">
                  <c:v>3088.5438678251976</c:v>
                </c:pt>
                <c:pt idx="672">
                  <c:v>3073.8434433376897</c:v>
                </c:pt>
                <c:pt idx="673">
                  <c:v>3059.3177559322439</c:v>
                </c:pt>
                <c:pt idx="674">
                  <c:v>3044.9673790581292</c:v>
                </c:pt>
                <c:pt idx="675">
                  <c:v>3030.7928792436505</c:v>
                </c:pt>
                <c:pt idx="676">
                  <c:v>3016.7948160737915</c:v>
                </c:pt>
                <c:pt idx="677">
                  <c:v>3002.9737421681166</c:v>
                </c:pt>
                <c:pt idx="678">
                  <c:v>2989.3302031589592</c:v>
                </c:pt>
                <c:pt idx="679">
                  <c:v>2975.8647376698764</c:v>
                </c:pt>
                <c:pt idx="680">
                  <c:v>2962.5778772943904</c:v>
                </c:pt>
                <c:pt idx="681">
                  <c:v>2949.4701465749986</c:v>
                </c:pt>
                <c:pt idx="682">
                  <c:v>2936.5420629824639</c:v>
                </c:pt>
                <c:pt idx="683">
                  <c:v>2923.7941368953916</c:v>
                </c:pt>
                <c:pt idx="684">
                  <c:v>2911.2268715800747</c:v>
                </c:pt>
                <c:pt idx="685">
                  <c:v>2898.8407631706295</c:v>
                </c:pt>
                <c:pt idx="686">
                  <c:v>2886.6363006494075</c:v>
                </c:pt>
                <c:pt idx="687">
                  <c:v>2874.6139658276925</c:v>
                </c:pt>
                <c:pt idx="688">
                  <c:v>2862.7742333266779</c:v>
                </c:pt>
                <c:pt idx="689">
                  <c:v>2851.1175705587275</c:v>
                </c:pt>
                <c:pt idx="690">
                  <c:v>2839.644437708931</c:v>
                </c:pt>
                <c:pt idx="691">
                  <c:v>2828.3552877169268</c:v>
                </c:pt>
                <c:pt idx="692">
                  <c:v>2817.2505662590256</c:v>
                </c:pt>
                <c:pt idx="693">
                  <c:v>2806.3307117306176</c:v>
                </c:pt>
                <c:pt idx="694">
                  <c:v>2795.5961552288618</c:v>
                </c:pt>
                <c:pt idx="695">
                  <c:v>2785.0473205356675</c:v>
                </c:pt>
                <c:pt idx="696">
                  <c:v>2774.6846241009671</c:v>
                </c:pt>
                <c:pt idx="697">
                  <c:v>2764.5084750262704</c:v>
                </c:pt>
                <c:pt idx="698">
                  <c:v>2754.5192750485194</c:v>
                </c:pt>
                <c:pt idx="699">
                  <c:v>2744.7174185242256</c:v>
                </c:pt>
                <c:pt idx="700">
                  <c:v>2735.1032924138999</c:v>
                </c:pt>
                <c:pt idx="701">
                  <c:v>2725.6772762667806</c:v>
                </c:pt>
                <c:pt idx="702">
                  <c:v>2716.4397422058428</c:v>
                </c:pt>
                <c:pt idx="703">
                  <c:v>2707.3910549131169</c:v>
                </c:pt>
                <c:pt idx="704">
                  <c:v>2698.5315716152818</c:v>
                </c:pt>
                <c:pt idx="705">
                  <c:v>2689.861642069568</c:v>
                </c:pt>
                <c:pt idx="706">
                  <c:v>2681.3816085499493</c:v>
                </c:pt>
                <c:pt idx="707">
                  <c:v>2673.0918058336292</c:v>
                </c:pt>
                <c:pt idx="708">
                  <c:v>2664.9925611878243</c:v>
                </c:pt>
                <c:pt idx="709">
                  <c:v>2657.0841943568439</c:v>
                </c:pt>
                <c:pt idx="710">
                  <c:v>2649.3670175494708</c:v>
                </c:pt>
                <c:pt idx="711">
                  <c:v>2641.8413354266304</c:v>
                </c:pt>
                <c:pt idx="712">
                  <c:v>2634.507445089368</c:v>
                </c:pt>
                <c:pt idx="713">
                  <c:v>2627.3656360671157</c:v>
                </c:pt>
                <c:pt idx="714">
                  <c:v>2620.4161903062641</c:v>
                </c:pt>
                <c:pt idx="715">
                  <c:v>2613.659382159035</c:v>
                </c:pt>
                <c:pt idx="716">
                  <c:v>2607.095478372642</c:v>
                </c:pt>
                <c:pt idx="717">
                  <c:v>2600.7247380787685</c:v>
                </c:pt>
                <c:pt idx="718">
                  <c:v>2594.5474127833331</c:v>
                </c:pt>
                <c:pt idx="719">
                  <c:v>2588.5637463565599</c:v>
                </c:pt>
                <c:pt idx="720">
                  <c:v>2582.773975023355</c:v>
                </c:pt>
                <c:pt idx="721">
                  <c:v>2577.1783273539768</c:v>
                </c:pt>
                <c:pt idx="722">
                  <c:v>2571.7770242550132</c:v>
                </c:pt>
                <c:pt idx="723">
                  <c:v>2566.5702789606639</c:v>
                </c:pt>
                <c:pt idx="724">
                  <c:v>2561.5582970243158</c:v>
                </c:pt>
                <c:pt idx="725">
                  <c:v>2556.7412763104339</c:v>
                </c:pt>
                <c:pt idx="726">
                  <c:v>2552.1194069867497</c:v>
                </c:pt>
                <c:pt idx="727">
                  <c:v>2547.6928715167487</c:v>
                </c:pt>
                <c:pt idx="728">
                  <c:v>2543.4618446524719</c:v>
                </c:pt>
                <c:pt idx="729">
                  <c:v>2539.4264934276152</c:v>
                </c:pt>
                <c:pt idx="730">
                  <c:v>2535.5869771509369</c:v>
                </c:pt>
                <c:pt idx="731">
                  <c:v>2531.9434473999627</c:v>
                </c:pt>
                <c:pt idx="732">
                  <c:v>2528.4960480150103</c:v>
                </c:pt>
                <c:pt idx="733">
                  <c:v>2525.2449150935036</c:v>
                </c:pt>
                <c:pt idx="734">
                  <c:v>2522.1901769846045</c:v>
                </c:pt>
                <c:pt idx="735">
                  <c:v>2519.3319542841418</c:v>
                </c:pt>
                <c:pt idx="736">
                  <c:v>2516.6703598298545</c:v>
                </c:pt>
                <c:pt idx="737">
                  <c:v>2514.2054986969342</c:v>
                </c:pt>
                <c:pt idx="738">
                  <c:v>2511.937468193878</c:v>
                </c:pt>
                <c:pt idx="739">
                  <c:v>2509.8663578586456</c:v>
                </c:pt>
                <c:pt idx="740">
                  <c:v>2507.9922494551283</c:v>
                </c:pt>
                <c:pt idx="741">
                  <c:v>2506.3152169699151</c:v>
                </c:pt>
                <c:pt idx="742">
                  <c:v>2504.8353266093791</c:v>
                </c:pt>
                <c:pt idx="743">
                  <c:v>2503.552636797056</c:v>
                </c:pt>
                <c:pt idx="744">
                  <c:v>2502.4671981713445</c:v>
                </c:pt>
                <c:pt idx="745">
                  <c:v>2501.5790535835022</c:v>
                </c:pt>
                <c:pt idx="746">
                  <c:v>2500.8882380959567</c:v>
                </c:pt>
                <c:pt idx="747">
                  <c:v>2500.3947789809208</c:v>
                </c:pt>
                <c:pt idx="748">
                  <c:v>2500.0986957193154</c:v>
                </c:pt>
                <c:pt idx="749">
                  <c:v>2500</c:v>
                </c:pt>
                <c:pt idx="750">
                  <c:v>2500.0986957193136</c:v>
                </c:pt>
                <c:pt idx="751">
                  <c:v>2500.3947789809181</c:v>
                </c:pt>
                <c:pt idx="752">
                  <c:v>2500.8882380959531</c:v>
                </c:pt>
                <c:pt idx="753">
                  <c:v>2501.5790535834985</c:v>
                </c:pt>
                <c:pt idx="754">
                  <c:v>2502.46719817134</c:v>
                </c:pt>
                <c:pt idx="755">
                  <c:v>2503.5526367970506</c:v>
                </c:pt>
                <c:pt idx="756">
                  <c:v>2504.8353266093727</c:v>
                </c:pt>
                <c:pt idx="757">
                  <c:v>2506.3152169699079</c:v>
                </c:pt>
                <c:pt idx="758">
                  <c:v>2507.9922494551192</c:v>
                </c:pt>
                <c:pt idx="759">
                  <c:v>2509.8663578586365</c:v>
                </c:pt>
                <c:pt idx="760">
                  <c:v>2511.9374681938671</c:v>
                </c:pt>
                <c:pt idx="761">
                  <c:v>2514.2054986969224</c:v>
                </c:pt>
                <c:pt idx="762">
                  <c:v>2516.6703598298427</c:v>
                </c:pt>
                <c:pt idx="763">
                  <c:v>2519.3319542841282</c:v>
                </c:pt>
                <c:pt idx="764">
                  <c:v>2522.1901769845899</c:v>
                </c:pt>
                <c:pt idx="765">
                  <c:v>2525.244915093489</c:v>
                </c:pt>
                <c:pt idx="766">
                  <c:v>2528.4960480149939</c:v>
                </c:pt>
                <c:pt idx="767">
                  <c:v>2531.9434473999454</c:v>
                </c:pt>
                <c:pt idx="768">
                  <c:v>2535.5869771509178</c:v>
                </c:pt>
                <c:pt idx="769">
                  <c:v>2539.4264934275961</c:v>
                </c:pt>
                <c:pt idx="770">
                  <c:v>2543.4618446524519</c:v>
                </c:pt>
                <c:pt idx="771">
                  <c:v>2547.6928715167278</c:v>
                </c:pt>
                <c:pt idx="772">
                  <c:v>2552.1194069867279</c:v>
                </c:pt>
                <c:pt idx="773">
                  <c:v>2556.7412763104112</c:v>
                </c:pt>
                <c:pt idx="774">
                  <c:v>2561.5582970242913</c:v>
                </c:pt>
                <c:pt idx="775">
                  <c:v>2566.5702789606385</c:v>
                </c:pt>
                <c:pt idx="776">
                  <c:v>2571.7770242549877</c:v>
                </c:pt>
                <c:pt idx="777">
                  <c:v>2577.1783273539504</c:v>
                </c:pt>
                <c:pt idx="778">
                  <c:v>2582.7739750233277</c:v>
                </c:pt>
                <c:pt idx="779">
                  <c:v>2588.5637463565317</c:v>
                </c:pt>
                <c:pt idx="780">
                  <c:v>2594.5474127833031</c:v>
                </c:pt>
                <c:pt idx="781">
                  <c:v>2600.7247380787376</c:v>
                </c:pt>
                <c:pt idx="782">
                  <c:v>2607.0954783726102</c:v>
                </c:pt>
                <c:pt idx="783">
                  <c:v>2613.6593821590022</c:v>
                </c:pt>
                <c:pt idx="784">
                  <c:v>2620.4161903062313</c:v>
                </c:pt>
                <c:pt idx="785">
                  <c:v>2627.3656360670811</c:v>
                </c:pt>
                <c:pt idx="786">
                  <c:v>2634.5074450893326</c:v>
                </c:pt>
                <c:pt idx="787">
                  <c:v>2641.8413354265949</c:v>
                </c:pt>
                <c:pt idx="788">
                  <c:v>2649.3670175494335</c:v>
                </c:pt>
                <c:pt idx="789">
                  <c:v>2657.0841943568057</c:v>
                </c:pt>
                <c:pt idx="790">
                  <c:v>2664.9925611877852</c:v>
                </c:pt>
                <c:pt idx="791">
                  <c:v>2673.0918058335892</c:v>
                </c:pt>
                <c:pt idx="792">
                  <c:v>2681.3816085499084</c:v>
                </c:pt>
                <c:pt idx="793">
                  <c:v>2689.8616420695262</c:v>
                </c:pt>
                <c:pt idx="794">
                  <c:v>2698.531571615239</c:v>
                </c:pt>
                <c:pt idx="795">
                  <c:v>2707.3910549130733</c:v>
                </c:pt>
                <c:pt idx="796">
                  <c:v>2716.4397422057982</c:v>
                </c:pt>
                <c:pt idx="797">
                  <c:v>2725.6772762667351</c:v>
                </c:pt>
                <c:pt idx="798">
                  <c:v>2735.1032924138535</c:v>
                </c:pt>
                <c:pt idx="799">
                  <c:v>2744.7174185241784</c:v>
                </c:pt>
                <c:pt idx="800">
                  <c:v>2754.5192750484712</c:v>
                </c:pt>
                <c:pt idx="801">
                  <c:v>2764.5084750262213</c:v>
                </c:pt>
                <c:pt idx="802">
                  <c:v>2774.6846241009171</c:v>
                </c:pt>
                <c:pt idx="803">
                  <c:v>2785.0473205356166</c:v>
                </c:pt>
                <c:pt idx="804">
                  <c:v>2795.5961552288109</c:v>
                </c:pt>
                <c:pt idx="805">
                  <c:v>2806.3307117305649</c:v>
                </c:pt>
                <c:pt idx="806">
                  <c:v>2817.2505662589729</c:v>
                </c:pt>
                <c:pt idx="807">
                  <c:v>2828.3552877168722</c:v>
                </c:pt>
                <c:pt idx="808">
                  <c:v>2839.6444377088756</c:v>
                </c:pt>
                <c:pt idx="809">
                  <c:v>2851.117570558672</c:v>
                </c:pt>
                <c:pt idx="810">
                  <c:v>2862.7742333266206</c:v>
                </c:pt>
                <c:pt idx="811">
                  <c:v>2874.6139658276352</c:v>
                </c:pt>
                <c:pt idx="812">
                  <c:v>2886.6363006493493</c:v>
                </c:pt>
                <c:pt idx="813">
                  <c:v>2898.8407631705695</c:v>
                </c:pt>
                <c:pt idx="814">
                  <c:v>2911.2268715800128</c:v>
                </c:pt>
                <c:pt idx="815">
                  <c:v>2923.7941368953298</c:v>
                </c:pt>
                <c:pt idx="816">
                  <c:v>2936.5420629824011</c:v>
                </c:pt>
                <c:pt idx="817">
                  <c:v>2949.4701465749349</c:v>
                </c:pt>
                <c:pt idx="818">
                  <c:v>2962.5778772943268</c:v>
                </c:pt>
                <c:pt idx="819">
                  <c:v>2975.8647376698118</c:v>
                </c:pt>
                <c:pt idx="820">
                  <c:v>2989.3302031588928</c:v>
                </c:pt>
                <c:pt idx="821">
                  <c:v>3002.9737421680493</c:v>
                </c:pt>
                <c:pt idx="822">
                  <c:v>3016.7948160737233</c:v>
                </c:pt>
                <c:pt idx="823">
                  <c:v>3030.7928792435814</c:v>
                </c:pt>
                <c:pt idx="824">
                  <c:v>3044.9673790580591</c:v>
                </c:pt>
                <c:pt idx="825">
                  <c:v>3059.3177559321739</c:v>
                </c:pt>
                <c:pt idx="826">
                  <c:v>3073.8434433376178</c:v>
                </c:pt>
                <c:pt idx="827">
                  <c:v>3088.5438678251257</c:v>
                </c:pt>
                <c:pt idx="828">
                  <c:v>3103.4184490471089</c:v>
                </c:pt>
                <c:pt idx="829">
                  <c:v>3118.4665997805696</c:v>
                </c:pt>
                <c:pt idx="830">
                  <c:v>3133.6877259502853</c:v>
                </c:pt>
                <c:pt idx="831">
                  <c:v>3149.0812266522553</c:v>
                </c:pt>
                <c:pt idx="832">
                  <c:v>3164.6464941774311</c:v>
                </c:pt>
                <c:pt idx="833">
                  <c:v>3180.382914035702</c:v>
                </c:pt>
                <c:pt idx="834">
                  <c:v>3196.2898649801582</c:v>
                </c:pt>
                <c:pt idx="835">
                  <c:v>3212.3667190316128</c:v>
                </c:pt>
                <c:pt idx="836">
                  <c:v>3228.6128415033963</c:v>
                </c:pt>
                <c:pt idx="837">
                  <c:v>3245.0275910264099</c:v>
                </c:pt>
                <c:pt idx="838">
                  <c:v>3261.6103195744508</c:v>
                </c:pt>
                <c:pt idx="839">
                  <c:v>3278.3603724897894</c:v>
                </c:pt>
                <c:pt idx="840">
                  <c:v>3295.2770885090167</c:v>
                </c:pt>
                <c:pt idx="841">
                  <c:v>3312.3597997891511</c:v>
                </c:pt>
                <c:pt idx="842">
                  <c:v>3329.6078319340013</c:v>
                </c:pt>
                <c:pt idx="843">
                  <c:v>3347.020504020792</c:v>
                </c:pt>
                <c:pt idx="844">
                  <c:v>3364.5971286270442</c:v>
                </c:pt>
                <c:pt idx="845">
                  <c:v>3382.3370118577132</c:v>
                </c:pt>
                <c:pt idx="846">
                  <c:v>3400.2394533725865</c:v>
                </c:pt>
                <c:pt idx="847">
                  <c:v>3418.3037464139256</c:v>
                </c:pt>
                <c:pt idx="848">
                  <c:v>3436.5291778343731</c:v>
                </c:pt>
                <c:pt idx="849">
                  <c:v>3454.9150281251027</c:v>
                </c:pt>
                <c:pt idx="850">
                  <c:v>3473.4605714442278</c:v>
                </c:pt>
                <c:pt idx="851">
                  <c:v>3492.1650756454519</c:v>
                </c:pt>
                <c:pt idx="852">
                  <c:v>3511.0278023069773</c:v>
                </c:pt>
                <c:pt idx="853">
                  <c:v>3530.0480067606532</c:v>
                </c:pt>
                <c:pt idx="854">
                  <c:v>3549.2249381213751</c:v>
                </c:pt>
                <c:pt idx="855">
                  <c:v>3568.5578393167298</c:v>
                </c:pt>
                <c:pt idx="856">
                  <c:v>3588.0459471168815</c:v>
                </c:pt>
                <c:pt idx="857">
                  <c:v>3607.6884921647024</c:v>
                </c:pt>
                <c:pt idx="858">
                  <c:v>3627.4846990061478</c:v>
                </c:pt>
                <c:pt idx="859">
                  <c:v>3647.4337861208678</c:v>
                </c:pt>
                <c:pt idx="860">
                  <c:v>3667.5349659530621</c:v>
                </c:pt>
                <c:pt idx="861">
                  <c:v>3687.7874449425694</c:v>
                </c:pt>
                <c:pt idx="862">
                  <c:v>3708.1904235561969</c:v>
                </c:pt>
                <c:pt idx="863">
                  <c:v>3728.7430963192846</c:v>
                </c:pt>
                <c:pt idx="864">
                  <c:v>3749.4446518475033</c:v>
                </c:pt>
                <c:pt idx="865">
                  <c:v>3770.2942728788876</c:v>
                </c:pt>
                <c:pt idx="866">
                  <c:v>3791.2911363060994</c:v>
                </c:pt>
                <c:pt idx="867">
                  <c:v>3812.4344132089232</c:v>
                </c:pt>
                <c:pt idx="868">
                  <c:v>3833.7232688869899</c:v>
                </c:pt>
                <c:pt idx="869">
                  <c:v>3855.1568628927298</c:v>
                </c:pt>
                <c:pt idx="870">
                  <c:v>3876.7343490645512</c:v>
                </c:pt>
                <c:pt idx="871">
                  <c:v>3898.4548755602473</c:v>
                </c:pt>
                <c:pt idx="872">
                  <c:v>3920.317584890623</c:v>
                </c:pt>
                <c:pt idx="873">
                  <c:v>3942.3216139533488</c:v>
                </c:pt>
                <c:pt idx="874">
                  <c:v>3964.4660940670356</c:v>
                </c:pt>
                <c:pt idx="875">
                  <c:v>3986.750151005524</c:v>
                </c:pt>
                <c:pt idx="876">
                  <c:v>4009.1729050324043</c:v>
                </c:pt>
                <c:pt idx="877">
                  <c:v>4031.7334709357401</c:v>
                </c:pt>
                <c:pt idx="878">
                  <c:v>4054.4309580630193</c:v>
                </c:pt>
                <c:pt idx="879">
                  <c:v>4077.2644703563155</c:v>
                </c:pt>
                <c:pt idx="880">
                  <c:v>4100.23310638766</c:v>
                </c:pt>
                <c:pt idx="881">
                  <c:v>4123.3359593946316</c:v>
                </c:pt>
                <c:pt idx="882">
                  <c:v>4146.5721173161501</c:v>
                </c:pt>
                <c:pt idx="883">
                  <c:v>4169.9406628284896</c:v>
                </c:pt>
                <c:pt idx="884">
                  <c:v>4193.4406733814849</c:v>
                </c:pt>
                <c:pt idx="885">
                  <c:v>4217.0712212349599</c:v>
                </c:pt>
                <c:pt idx="886">
                  <c:v>4240.8313734953445</c:v>
                </c:pt>
                <c:pt idx="887">
                  <c:v>4264.7201921525148</c:v>
                </c:pt>
                <c:pt idx="888">
                  <c:v>4288.7367341168119</c:v>
                </c:pt>
                <c:pt idx="889">
                  <c:v>4312.8800512562811</c:v>
                </c:pt>
                <c:pt idx="890">
                  <c:v>4337.1491904341046</c:v>
                </c:pt>
                <c:pt idx="891">
                  <c:v>4361.543193546222</c:v>
                </c:pt>
                <c:pt idx="892">
                  <c:v>4386.061097559159</c:v>
                </c:pt>
                <c:pt idx="893">
                  <c:v>4410.7019345480476</c:v>
                </c:pt>
                <c:pt idx="894">
                  <c:v>4435.4647317348335</c:v>
                </c:pt>
                <c:pt idx="895">
                  <c:v>4460.3485115266849</c:v>
                </c:pt>
                <c:pt idx="896">
                  <c:v>4485.3522915545864</c:v>
                </c:pt>
                <c:pt idx="897">
                  <c:v>4510.4750847121122</c:v>
                </c:pt>
                <c:pt idx="898">
                  <c:v>4535.715899194407</c:v>
                </c:pt>
                <c:pt idx="899">
                  <c:v>4561.073738537335</c:v>
                </c:pt>
                <c:pt idx="900">
                  <c:v>4586.5476016568173</c:v>
                </c:pt>
                <c:pt idx="901">
                  <c:v>4612.136482888357</c:v>
                </c:pt>
                <c:pt idx="902">
                  <c:v>4637.8393720267377</c:v>
                </c:pt>
                <c:pt idx="903">
                  <c:v>4663.6552543659063</c:v>
                </c:pt>
                <c:pt idx="904">
                  <c:v>4689.5831107390331</c:v>
                </c:pt>
                <c:pt idx="905">
                  <c:v>4715.621917558743</c:v>
                </c:pt>
                <c:pt idx="906">
                  <c:v>4741.7706468575288</c:v>
                </c:pt>
                <c:pt idx="907">
                  <c:v>4768.0282663283324</c:v>
                </c:pt>
                <c:pt idx="908">
                  <c:v>4794.393739365295</c:v>
                </c:pt>
                <c:pt idx="909">
                  <c:v>4820.8660251046877</c:v>
                </c:pt>
                <c:pt idx="910">
                  <c:v>4847.4440784659982</c:v>
                </c:pt>
                <c:pt idx="911">
                  <c:v>4874.1268501931863</c:v>
                </c:pt>
                <c:pt idx="912">
                  <c:v>4900.9132868961151</c:v>
                </c:pt>
                <c:pt idx="913">
                  <c:v>4927.8023310921271</c:v>
                </c:pt>
                <c:pt idx="914">
                  <c:v>4954.7929212477993</c:v>
                </c:pt>
                <c:pt idx="915">
                  <c:v>4981.8839918208496</c:v>
                </c:pt>
                <c:pt idx="916">
                  <c:v>5009.0744733021966</c:v>
                </c:pt>
                <c:pt idx="917">
                  <c:v>5036.3632922581901</c:v>
                </c:pt>
                <c:pt idx="918">
                  <c:v>5063.7493713729837</c:v>
                </c:pt>
                <c:pt idx="919">
                  <c:v>5091.2316294910652</c:v>
                </c:pt>
                <c:pt idx="920">
                  <c:v>5118.8089816599431</c:v>
                </c:pt>
                <c:pt idx="921">
                  <c:v>5146.4803391729729</c:v>
                </c:pt>
                <c:pt idx="922">
                  <c:v>5174.2446096123413</c:v>
                </c:pt>
                <c:pt idx="923">
                  <c:v>5202.1006968921902</c:v>
                </c:pt>
                <c:pt idx="924">
                  <c:v>5230.0475013018931</c:v>
                </c:pt>
                <c:pt idx="925">
                  <c:v>5258.0839195494627</c:v>
                </c:pt>
                <c:pt idx="926">
                  <c:v>5286.2088448051136</c:v>
                </c:pt>
                <c:pt idx="927">
                  <c:v>5314.4211667449536</c:v>
                </c:pt>
                <c:pt idx="928">
                  <c:v>5342.7197715948205</c:v>
                </c:pt>
                <c:pt idx="929">
                  <c:v>5371.103542174249</c:v>
                </c:pt>
                <c:pt idx="930">
                  <c:v>5399.5713579405783</c:v>
                </c:pt>
                <c:pt idx="931">
                  <c:v>5428.1220950331863</c:v>
                </c:pt>
                <c:pt idx="932">
                  <c:v>5456.7546263178583</c:v>
                </c:pt>
                <c:pt idx="933">
                  <c:v>5485.4678214312871</c:v>
                </c:pt>
                <c:pt idx="934">
                  <c:v>5514.2605468256952</c:v>
                </c:pt>
                <c:pt idx="935">
                  <c:v>5543.1316658135829</c:v>
                </c:pt>
                <c:pt idx="936">
                  <c:v>5572.0800386126093</c:v>
                </c:pt>
                <c:pt idx="937">
                  <c:v>5601.104522390584</c:v>
                </c:pt>
                <c:pt idx="938">
                  <c:v>5630.2039713105842</c:v>
                </c:pt>
                <c:pt idx="939">
                  <c:v>5659.3772365761943</c:v>
                </c:pt>
                <c:pt idx="940">
                  <c:v>5688.623166476852</c:v>
                </c:pt>
                <c:pt idx="941">
                  <c:v>5717.9406064333243</c:v>
                </c:pt>
                <c:pt idx="942">
                  <c:v>5747.3283990432801</c:v>
                </c:pt>
                <c:pt idx="943">
                  <c:v>5776.7853841269871</c:v>
                </c:pt>
                <c:pt idx="944">
                  <c:v>5806.310398773112</c:v>
                </c:pt>
                <c:pt idx="945">
                  <c:v>5835.9022773846336</c:v>
                </c:pt>
                <c:pt idx="946">
                  <c:v>5865.5598517248509</c:v>
                </c:pt>
                <c:pt idx="947">
                  <c:v>5895.2819509635137</c:v>
                </c:pt>
                <c:pt idx="948">
                  <c:v>5925.067401723034</c:v>
                </c:pt>
                <c:pt idx="949">
                  <c:v>5954.9150281248185</c:v>
                </c:pt>
                <c:pt idx="950">
                  <c:v>5984.8236518356825</c:v>
                </c:pt>
                <c:pt idx="951">
                  <c:v>6014.7920921143759</c:v>
                </c:pt>
                <c:pt idx="952">
                  <c:v>6044.8191658581882</c:v>
                </c:pt>
                <c:pt idx="953">
                  <c:v>6074.9036876496639</c:v>
                </c:pt>
                <c:pt idx="954">
                  <c:v>6105.0444698033953</c:v>
                </c:pt>
                <c:pt idx="955">
                  <c:v>6135.240322412913</c:v>
                </c:pt>
                <c:pt idx="956">
                  <c:v>6165.4900533976579</c:v>
                </c:pt>
                <c:pt idx="957">
                  <c:v>6195.7924685500493</c:v>
                </c:pt>
                <c:pt idx="958">
                  <c:v>6226.1463715826203</c:v>
                </c:pt>
                <c:pt idx="959">
                  <c:v>6256.5505641752543</c:v>
                </c:pt>
                <c:pt idx="960">
                  <c:v>6287.0038460224887</c:v>
                </c:pt>
                <c:pt idx="961">
                  <c:v>6317.5050148808996</c:v>
                </c:pt>
                <c:pt idx="962">
                  <c:v>6348.0528666165674</c:v>
                </c:pt>
                <c:pt idx="963">
                  <c:v>6378.6461952526115</c:v>
                </c:pt>
                <c:pt idx="964">
                  <c:v>6409.2837930168025</c:v>
                </c:pt>
                <c:pt idx="965">
                  <c:v>6439.9644503892396</c:v>
                </c:pt>
                <c:pt idx="966">
                  <c:v>6470.6869561501035</c:v>
                </c:pt>
                <c:pt idx="967">
                  <c:v>6501.4500974274724</c:v>
                </c:pt>
                <c:pt idx="968">
                  <c:v>6532.2526597452033</c:v>
                </c:pt>
                <c:pt idx="969">
                  <c:v>6563.0934270708794</c:v>
                </c:pt>
                <c:pt idx="970">
                  <c:v>6593.9711818638134</c:v>
                </c:pt>
                <c:pt idx="971">
                  <c:v>6624.8847051231169</c:v>
                </c:pt>
                <c:pt idx="972">
                  <c:v>6655.8327764358255</c:v>
                </c:pt>
                <c:pt idx="973">
                  <c:v>6686.814174025074</c:v>
                </c:pt>
                <c:pt idx="974">
                  <c:v>6717.8276747983355</c:v>
                </c:pt>
                <c:pt idx="975">
                  <c:v>6748.8720543957024</c:v>
                </c:pt>
                <c:pt idx="976">
                  <c:v>6779.9460872382242</c:v>
                </c:pt>
                <c:pt idx="977">
                  <c:v>6811.0485465762922</c:v>
                </c:pt>
                <c:pt idx="978">
                  <c:v>6842.1782045380678</c:v>
                </c:pt>
                <c:pt idx="979">
                  <c:v>6873.3338321779565</c:v>
                </c:pt>
                <c:pt idx="980">
                  <c:v>6904.514199525127</c:v>
                </c:pt>
                <c:pt idx="981">
                  <c:v>6935.7180756320649</c:v>
                </c:pt>
                <c:pt idx="982">
                  <c:v>6966.9442286231715</c:v>
                </c:pt>
                <c:pt idx="983">
                  <c:v>6998.1914257433946</c:v>
                </c:pt>
                <c:pt idx="984">
                  <c:v>7029.458433406895</c:v>
                </c:pt>
                <c:pt idx="985">
                  <c:v>7060.7440172457482</c:v>
                </c:pt>
                <c:pt idx="986">
                  <c:v>7092.046942158674</c:v>
                </c:pt>
                <c:pt idx="987">
                  <c:v>7123.3659723597966</c:v>
                </c:pt>
                <c:pt idx="988">
                  <c:v>7154.6998714274287</c:v>
                </c:pt>
                <c:pt idx="989">
                  <c:v>7186.0474023528886</c:v>
                </c:pt>
                <c:pt idx="990">
                  <c:v>7217.4073275893306</c:v>
                </c:pt>
                <c:pt idx="991">
                  <c:v>7248.7784091006033</c:v>
                </c:pt>
                <c:pt idx="992">
                  <c:v>7280.1594084101243</c:v>
                </c:pt>
                <c:pt idx="993">
                  <c:v>7311.5490866497739</c:v>
                </c:pt>
                <c:pt idx="994">
                  <c:v>7342.9462046088038</c:v>
                </c:pt>
                <c:pt idx="995">
                  <c:v>7374.3495227827552</c:v>
                </c:pt>
                <c:pt idx="996">
                  <c:v>7405.7578014224</c:v>
                </c:pt>
                <c:pt idx="997">
                  <c:v>7437.1698005826756</c:v>
                </c:pt>
                <c:pt idx="998">
                  <c:v>7468.5842801716417</c:v>
                </c:pt>
                <c:pt idx="999">
                  <c:v>7499.9999999994352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F-4584-B119-E3CC2E63D94B}"/>
            </c:ext>
          </c:extLst>
        </c:ser>
        <c:ser>
          <c:idx val="1"/>
          <c:order val="1"/>
          <c:tx>
            <c:v>pl2</c:v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Feuil1!$V$12:$V$1011</c:f>
              <c:numCache>
                <c:formatCode>General</c:formatCode>
                <c:ptCount val="1000"/>
                <c:pt idx="0">
                  <c:v>-16500.069087003521</c:v>
                </c:pt>
                <c:pt idx="1">
                  <c:v>-16500.276345286642</c:v>
                </c:pt>
                <c:pt idx="2">
                  <c:v>-16500.621766667169</c:v>
                </c:pt>
                <c:pt idx="3">
                  <c:v>-16501.105337508452</c:v>
                </c:pt>
                <c:pt idx="4">
                  <c:v>-16501.727038719939</c:v>
                </c:pt>
                <c:pt idx="5">
                  <c:v>-16502.486845757936</c:v>
                </c:pt>
                <c:pt idx="6">
                  <c:v>-16503.384728626563</c:v>
                </c:pt>
                <c:pt idx="7">
                  <c:v>-16504.42065187894</c:v>
                </c:pt>
                <c:pt idx="8">
                  <c:v>-16505.594574618586</c:v>
                </c:pt>
                <c:pt idx="9">
                  <c:v>-16506.90645050105</c:v>
                </c:pt>
                <c:pt idx="10">
                  <c:v>-16508.356227735712</c:v>
                </c:pt>
                <c:pt idx="11">
                  <c:v>-16509.943849087853</c:v>
                </c:pt>
                <c:pt idx="12">
                  <c:v>-16511.669251880896</c:v>
                </c:pt>
                <c:pt idx="13">
                  <c:v>-16513.532367998894</c:v>
                </c:pt>
                <c:pt idx="14">
                  <c:v>-16515.533123889221</c:v>
                </c:pt>
                <c:pt idx="15">
                  <c:v>-16517.671440565449</c:v>
                </c:pt>
                <c:pt idx="16">
                  <c:v>-16519.947233610503</c:v>
                </c:pt>
                <c:pt idx="17">
                  <c:v>-16522.360413179969</c:v>
                </c:pt>
                <c:pt idx="18">
                  <c:v>-16524.910884005651</c:v>
                </c:pt>
                <c:pt idx="19">
                  <c:v>-16527.598545399327</c:v>
                </c:pt>
                <c:pt idx="20">
                  <c:v>-16530.423291256728</c:v>
                </c:pt>
                <c:pt idx="21">
                  <c:v>-16533.38501006172</c:v>
                </c:pt>
                <c:pt idx="22">
                  <c:v>-16536.483584890721</c:v>
                </c:pt>
                <c:pt idx="23">
                  <c:v>-16539.718893417303</c:v>
                </c:pt>
                <c:pt idx="24">
                  <c:v>-16543.090807917019</c:v>
                </c:pt>
                <c:pt idx="25">
                  <c:v>-16546.599195272462</c:v>
                </c:pt>
                <c:pt idx="26">
                  <c:v>-16550.243916978507</c:v>
                </c:pt>
                <c:pt idx="27">
                  <c:v>-16554.02482914778</c:v>
                </c:pt>
                <c:pt idx="28">
                  <c:v>-16557.941782516347</c:v>
                </c:pt>
                <c:pt idx="29">
                  <c:v>-16561.994622449591</c:v>
                </c:pt>
                <c:pt idx="30">
                  <c:v>-16566.183188948329</c:v>
                </c:pt>
                <c:pt idx="31">
                  <c:v>-16570.507316655137</c:v>
                </c:pt>
                <c:pt idx="32">
                  <c:v>-16574.966834860847</c:v>
                </c:pt>
                <c:pt idx="33">
                  <c:v>-16579.561567511322</c:v>
                </c:pt>
                <c:pt idx="34">
                  <c:v>-16584.291333214383</c:v>
                </c:pt>
                <c:pt idx="35">
                  <c:v>-16589.155945246981</c:v>
                </c:pt>
                <c:pt idx="36">
                  <c:v>-16594.155211562556</c:v>
                </c:pt>
                <c:pt idx="37">
                  <c:v>-16599.288934798642</c:v>
                </c:pt>
                <c:pt idx="38">
                  <c:v>-16604.556912284628</c:v>
                </c:pt>
                <c:pt idx="39">
                  <c:v>-16609.958936049792</c:v>
                </c:pt>
                <c:pt idx="40">
                  <c:v>-16615.494792831476</c:v>
                </c:pt>
                <c:pt idx="41">
                  <c:v>-16621.164264083542</c:v>
                </c:pt>
                <c:pt idx="42">
                  <c:v>-16626.967125984967</c:v>
                </c:pt>
                <c:pt idx="43">
                  <c:v>-16632.903149448699</c:v>
                </c:pt>
                <c:pt idx="44">
                  <c:v>-16638.972100130701</c:v>
                </c:pt>
                <c:pt idx="45">
                  <c:v>-16645.173738439185</c:v>
                </c:pt>
                <c:pt idx="46">
                  <c:v>-16651.507819544095</c:v>
                </c:pt>
                <c:pt idx="47">
                  <c:v>-16657.974093386751</c:v>
                </c:pt>
                <c:pt idx="48">
                  <c:v>-16664.572304689733</c:v>
                </c:pt>
                <c:pt idx="49">
                  <c:v>-16671.302192966963</c:v>
                </c:pt>
                <c:pt idx="50">
                  <c:v>-16678.163492533968</c:v>
                </c:pt>
                <c:pt idx="51">
                  <c:v>-16685.155932518395</c:v>
                </c:pt>
                <c:pt idx="52">
                  <c:v>-16692.279236870683</c:v>
                </c:pt>
                <c:pt idx="53">
                  <c:v>-16699.533124374975</c:v>
                </c:pt>
                <c:pt idx="54">
                  <c:v>-16706.91730866021</c:v>
                </c:pt>
                <c:pt idx="55">
                  <c:v>-16714.431498211441</c:v>
                </c:pt>
                <c:pt idx="56">
                  <c:v>-16722.075396381326</c:v>
                </c:pt>
                <c:pt idx="57">
                  <c:v>-16729.848701401857</c:v>
                </c:pt>
                <c:pt idx="58">
                  <c:v>-16737.751106396263</c:v>
                </c:pt>
                <c:pt idx="59">
                  <c:v>-16745.782299391121</c:v>
                </c:pt>
                <c:pt idx="60">
                  <c:v>-16753.941963328685</c:v>
                </c:pt>
                <c:pt idx="61">
                  <c:v>-16762.229776079395</c:v>
                </c:pt>
                <c:pt idx="62">
                  <c:v>-16770.645410454599</c:v>
                </c:pt>
                <c:pt idx="63">
                  <c:v>-16779.188534219455</c:v>
                </c:pt>
                <c:pt idx="64">
                  <c:v>-16787.858810106067</c:v>
                </c:pt>
                <c:pt idx="65">
                  <c:v>-16796.655895826789</c:v>
                </c:pt>
                <c:pt idx="66">
                  <c:v>-16805.57944408774</c:v>
                </c:pt>
                <c:pt idx="67">
                  <c:v>-16814.629102602514</c:v>
                </c:pt>
                <c:pt idx="68">
                  <c:v>-16823.80451410609</c:v>
                </c:pt>
                <c:pt idx="69">
                  <c:v>-16833.105316368932</c:v>
                </c:pt>
                <c:pt idx="70">
                  <c:v>-16842.53114221129</c:v>
                </c:pt>
                <c:pt idx="71">
                  <c:v>-16852.081619517703</c:v>
                </c:pt>
                <c:pt idx="72">
                  <c:v>-16861.756371251675</c:v>
                </c:pt>
                <c:pt idx="73">
                  <c:v>-16871.555015470578</c:v>
                </c:pt>
                <c:pt idx="74">
                  <c:v>-16881.477165340712</c:v>
                </c:pt>
                <c:pt idx="75">
                  <c:v>-16891.522429152596</c:v>
                </c:pt>
                <c:pt idx="76">
                  <c:v>-16901.690410336407</c:v>
                </c:pt>
                <c:pt idx="77">
                  <c:v>-16911.980707477662</c:v>
                </c:pt>
                <c:pt idx="78">
                  <c:v>-16922.392914333053</c:v>
                </c:pt>
                <c:pt idx="79">
                  <c:v>-16932.926619846476</c:v>
                </c:pt>
                <c:pt idx="80">
                  <c:v>-16943.581408165279</c:v>
                </c:pt>
                <c:pt idx="81">
                  <c:v>-16954.356858656662</c:v>
                </c:pt>
                <c:pt idx="82">
                  <c:v>-16965.252545924286</c:v>
                </c:pt>
                <c:pt idx="83">
                  <c:v>-16976.268039825078</c:v>
                </c:pt>
                <c:pt idx="84">
                  <c:v>-16987.402905486197</c:v>
                </c:pt>
                <c:pt idx="85">
                  <c:v>-16998.656703322216</c:v>
                </c:pt>
                <c:pt idx="86">
                  <c:v>-17010.028989052465</c:v>
                </c:pt>
                <c:pt idx="87">
                  <c:v>-17021.519313718578</c:v>
                </c:pt>
                <c:pt idx="88">
                  <c:v>-17033.127223702209</c:v>
                </c:pt>
                <c:pt idx="89">
                  <c:v>-17044.852260742948</c:v>
                </c:pt>
                <c:pt idx="90">
                  <c:v>-17056.693961956407</c:v>
                </c:pt>
                <c:pt idx="91">
                  <c:v>-17068.651859852504</c:v>
                </c:pt>
                <c:pt idx="92">
                  <c:v>-17080.725482353904</c:v>
                </c:pt>
                <c:pt idx="93">
                  <c:v>-17092.914352814656</c:v>
                </c:pt>
                <c:pt idx="94">
                  <c:v>-17105.217990039037</c:v>
                </c:pt>
                <c:pt idx="95">
                  <c:v>-17117.635908300505</c:v>
                </c:pt>
                <c:pt idx="96">
                  <c:v>-17130.167617360919</c:v>
                </c:pt>
                <c:pt idx="97">
                  <c:v>-17142.812622489859</c:v>
                </c:pt>
                <c:pt idx="98">
                  <c:v>-17155.570424484173</c:v>
                </c:pt>
                <c:pt idx="99">
                  <c:v>-17168.440519687687</c:v>
                </c:pt>
                <c:pt idx="100">
                  <c:v>-17181.422400011077</c:v>
                </c:pt>
                <c:pt idx="101">
                  <c:v>-17194.515552951932</c:v>
                </c:pt>
                <c:pt idx="102">
                  <c:v>-17207.719461615005</c:v>
                </c:pt>
                <c:pt idx="103">
                  <c:v>-17221.03360473258</c:v>
                </c:pt>
                <c:pt idx="104">
                  <c:v>-17234.457456685086</c:v>
                </c:pt>
                <c:pt idx="105">
                  <c:v>-17247.990487521838</c:v>
                </c:pt>
                <c:pt idx="106">
                  <c:v>-17261.632162981943</c:v>
                </c:pt>
                <c:pt idx="107">
                  <c:v>-17275.381944515422</c:v>
                </c:pt>
                <c:pt idx="108">
                  <c:v>-17289.239289304434</c:v>
                </c:pt>
                <c:pt idx="109">
                  <c:v>-17303.20365028474</c:v>
                </c:pt>
                <c:pt idx="110">
                  <c:v>-17317.27447616728</c:v>
                </c:pt>
                <c:pt idx="111">
                  <c:v>-17331.451211459935</c:v>
                </c:pt>
                <c:pt idx="112">
                  <c:v>-17345.733296489478</c:v>
                </c:pt>
                <c:pt idx="113">
                  <c:v>-17360.12016742364</c:v>
                </c:pt>
                <c:pt idx="114">
                  <c:v>-17374.611256293396</c:v>
                </c:pt>
                <c:pt idx="115">
                  <c:v>-17389.205991015366</c:v>
                </c:pt>
                <c:pt idx="116">
                  <c:v>-17403.903795414415</c:v>
                </c:pt>
                <c:pt idx="117">
                  <c:v>-17418.704089246396</c:v>
                </c:pt>
                <c:pt idx="118">
                  <c:v>-17433.606288221046</c:v>
                </c:pt>
                <c:pt idx="119">
                  <c:v>-17448.609804025065</c:v>
                </c:pt>
                <c:pt idx="120">
                  <c:v>-17463.714044345343</c:v>
                </c:pt>
                <c:pt idx="121">
                  <c:v>-17478.91841289233</c:v>
                </c:pt>
                <c:pt idx="122">
                  <c:v>-17494.222309423596</c:v>
                </c:pt>
                <c:pt idx="123">
                  <c:v>-17509.625129767508</c:v>
                </c:pt>
                <c:pt idx="124">
                  <c:v>-17525.126265847088</c:v>
                </c:pt>
                <c:pt idx="125">
                  <c:v>-17540.725105704034</c:v>
                </c:pt>
                <c:pt idx="126">
                  <c:v>-17556.421033522853</c:v>
                </c:pt>
                <c:pt idx="127">
                  <c:v>-17572.213429655189</c:v>
                </c:pt>
                <c:pt idx="128">
                  <c:v>-17588.101670644286</c:v>
                </c:pt>
                <c:pt idx="129">
                  <c:v>-17604.085129249597</c:v>
                </c:pt>
                <c:pt idx="130">
                  <c:v>-17620.163174471541</c:v>
                </c:pt>
                <c:pt idx="131">
                  <c:v>-17636.335171576422</c:v>
                </c:pt>
                <c:pt idx="132">
                  <c:v>-17652.600482121488</c:v>
                </c:pt>
                <c:pt idx="133">
                  <c:v>-17668.958463980125</c:v>
                </c:pt>
                <c:pt idx="134">
                  <c:v>-17685.408471367227</c:v>
                </c:pt>
                <c:pt idx="135">
                  <c:v>-17701.949854864659</c:v>
                </c:pt>
                <c:pt idx="136">
                  <c:v>-17718.581961446933</c:v>
                </c:pt>
                <c:pt idx="137">
                  <c:v>-17735.304134506954</c:v>
                </c:pt>
                <c:pt idx="138">
                  <c:v>-17752.115713881962</c:v>
                </c:pt>
                <c:pt idx="139">
                  <c:v>-17769.016035879595</c:v>
                </c:pt>
                <c:pt idx="140">
                  <c:v>-17786.004433304071</c:v>
                </c:pt>
                <c:pt idx="141">
                  <c:v>-17803.080235482557</c:v>
                </c:pt>
                <c:pt idx="142">
                  <c:v>-17820.242768291617</c:v>
                </c:pt>
                <c:pt idx="143">
                  <c:v>-17837.49135418384</c:v>
                </c:pt>
                <c:pt idx="144">
                  <c:v>-17854.825312214591</c:v>
                </c:pt>
                <c:pt idx="145">
                  <c:v>-17872.243958068892</c:v>
                </c:pt>
                <c:pt idx="146">
                  <c:v>-17889.746604088425</c:v>
                </c:pt>
                <c:pt idx="147">
                  <c:v>-17907.332559298695</c:v>
                </c:pt>
                <c:pt idx="148">
                  <c:v>-17925.001129436303</c:v>
                </c:pt>
                <c:pt idx="149">
                  <c:v>-17942.751616976355</c:v>
                </c:pt>
                <c:pt idx="150">
                  <c:v>-17960.583321159993</c:v>
                </c:pt>
                <c:pt idx="151">
                  <c:v>-17978.495538022074</c:v>
                </c:pt>
                <c:pt idx="152">
                  <c:v>-17996.487560418944</c:v>
                </c:pt>
                <c:pt idx="153">
                  <c:v>-18014.558678056364</c:v>
                </c:pt>
                <c:pt idx="154">
                  <c:v>-18032.708177517554</c:v>
                </c:pt>
                <c:pt idx="155">
                  <c:v>-18050.935342291352</c:v>
                </c:pt>
                <c:pt idx="156">
                  <c:v>-18069.239452800506</c:v>
                </c:pt>
                <c:pt idx="157">
                  <c:v>-18087.61978643007</c:v>
                </c:pt>
                <c:pt idx="158">
                  <c:v>-18106.075617555947</c:v>
                </c:pt>
                <c:pt idx="159">
                  <c:v>-18124.606217573524</c:v>
                </c:pt>
                <c:pt idx="160">
                  <c:v>-18143.210854926441</c:v>
                </c:pt>
                <c:pt idx="161">
                  <c:v>-18161.888795135477</c:v>
                </c:pt>
                <c:pt idx="162">
                  <c:v>-18180.63930082753</c:v>
                </c:pt>
                <c:pt idx="163">
                  <c:v>-18199.461631764741</c:v>
                </c:pt>
                <c:pt idx="164">
                  <c:v>-18218.355044873715</c:v>
                </c:pt>
                <c:pt idx="165">
                  <c:v>-18237.318794274852</c:v>
                </c:pt>
                <c:pt idx="166">
                  <c:v>-18256.352131311796</c:v>
                </c:pt>
                <c:pt idx="167">
                  <c:v>-18275.454304580991</c:v>
                </c:pt>
                <c:pt idx="168">
                  <c:v>-18294.62455996135</c:v>
                </c:pt>
                <c:pt idx="169">
                  <c:v>-18313.862140644011</c:v>
                </c:pt>
                <c:pt idx="170">
                  <c:v>-18333.166287162228</c:v>
                </c:pt>
                <c:pt idx="171">
                  <c:v>-18352.536237421351</c:v>
                </c:pt>
                <c:pt idx="172">
                  <c:v>-18371.971226728911</c:v>
                </c:pt>
                <c:pt idx="173">
                  <c:v>-18391.470487824809</c:v>
                </c:pt>
                <c:pt idx="174">
                  <c:v>-18411.033250911601</c:v>
                </c:pt>
                <c:pt idx="175">
                  <c:v>-18430.658743684904</c:v>
                </c:pt>
                <c:pt idx="176">
                  <c:v>-18450.34619136386</c:v>
                </c:pt>
                <c:pt idx="177">
                  <c:v>-18470.09481672175</c:v>
                </c:pt>
                <c:pt idx="178">
                  <c:v>-18489.903840116658</c:v>
                </c:pt>
                <c:pt idx="179">
                  <c:v>-18509.77247952226</c:v>
                </c:pt>
                <c:pt idx="180">
                  <c:v>-18529.699950558694</c:v>
                </c:pt>
                <c:pt idx="181">
                  <c:v>-18549.685466523522</c:v>
                </c:pt>
                <c:pt idx="182">
                  <c:v>-18569.728238422795</c:v>
                </c:pt>
                <c:pt idx="183">
                  <c:v>-18589.827475002199</c:v>
                </c:pt>
                <c:pt idx="184">
                  <c:v>-18609.982382778286</c:v>
                </c:pt>
                <c:pt idx="185">
                  <c:v>-18630.19216606981</c:v>
                </c:pt>
                <c:pt idx="186">
                  <c:v>-18650.456027029129</c:v>
                </c:pt>
                <c:pt idx="187">
                  <c:v>-18670.773165673712</c:v>
                </c:pt>
                <c:pt idx="188">
                  <c:v>-18691.142779917718</c:v>
                </c:pt>
                <c:pt idx="189">
                  <c:v>-18711.564065603645</c:v>
                </c:pt>
                <c:pt idx="190">
                  <c:v>-18732.03621653411</c:v>
                </c:pt>
                <c:pt idx="191">
                  <c:v>-18752.558424503641</c:v>
                </c:pt>
                <c:pt idx="192">
                  <c:v>-18773.129879330612</c:v>
                </c:pt>
                <c:pt idx="193">
                  <c:v>-18793.749768889211</c:v>
                </c:pt>
                <c:pt idx="194">
                  <c:v>-18814.4172791415</c:v>
                </c:pt>
                <c:pt idx="195">
                  <c:v>-18835.131594169565</c:v>
                </c:pt>
                <c:pt idx="196">
                  <c:v>-18855.891896207722</c:v>
                </c:pt>
                <c:pt idx="197">
                  <c:v>-18876.697365674787</c:v>
                </c:pt>
                <c:pt idx="198">
                  <c:v>-18897.547181206453</c:v>
                </c:pt>
                <c:pt idx="199">
                  <c:v>-18918.440519687705</c:v>
                </c:pt>
                <c:pt idx="200">
                  <c:v>-18939.376556285311</c:v>
                </c:pt>
                <c:pt idx="201">
                  <c:v>-18960.354464480399</c:v>
                </c:pt>
                <c:pt idx="202">
                  <c:v>-18981.373416101069</c:v>
                </c:pt>
                <c:pt idx="203">
                  <c:v>-19002.432581355104</c:v>
                </c:pt>
                <c:pt idx="204">
                  <c:v>-19023.53112886272</c:v>
                </c:pt>
                <c:pt idx="205">
                  <c:v>-19044.668225689384</c:v>
                </c:pt>
                <c:pt idx="206">
                  <c:v>-19065.843037378709</c:v>
                </c:pt>
                <c:pt idx="207">
                  <c:v>-19087.054727985382</c:v>
                </c:pt>
                <c:pt idx="208">
                  <c:v>-19108.302460108185</c:v>
                </c:pt>
                <c:pt idx="209">
                  <c:v>-19129.58539492303</c:v>
                </c:pt>
                <c:pt idx="210">
                  <c:v>-19150.902692216096</c:v>
                </c:pt>
                <c:pt idx="211">
                  <c:v>-19172.253510416987</c:v>
                </c:pt>
                <c:pt idx="212">
                  <c:v>-19193.637006631958</c:v>
                </c:pt>
                <c:pt idx="213">
                  <c:v>-19215.052336677189</c:v>
                </c:pt>
                <c:pt idx="214">
                  <c:v>-19236.498655112126</c:v>
                </c:pt>
                <c:pt idx="215">
                  <c:v>-19257.975115272831</c:v>
                </c:pt>
                <c:pt idx="216">
                  <c:v>-19279.48086930544</c:v>
                </c:pt>
                <c:pt idx="217">
                  <c:v>-19301.015068199598</c:v>
                </c:pt>
                <c:pt idx="218">
                  <c:v>-19322.576861822014</c:v>
                </c:pt>
                <c:pt idx="219">
                  <c:v>-19344.16539894999</c:v>
                </c:pt>
                <c:pt idx="220">
                  <c:v>-19365.779827305043</c:v>
                </c:pt>
                <c:pt idx="221">
                  <c:v>-19387.419293586558</c:v>
                </c:pt>
                <c:pt idx="222">
                  <c:v>-19409.082943505458</c:v>
                </c:pt>
                <c:pt idx="223">
                  <c:v>-19430.769921817933</c:v>
                </c:pt>
                <c:pt idx="224">
                  <c:v>-19452.479372359219</c:v>
                </c:pt>
                <c:pt idx="225">
                  <c:v>-19474.210438077378</c:v>
                </c:pt>
                <c:pt idx="226">
                  <c:v>-19495.962261067143</c:v>
                </c:pt>
                <c:pt idx="227">
                  <c:v>-19517.733982603793</c:v>
                </c:pt>
                <c:pt idx="228">
                  <c:v>-19539.524743177037</c:v>
                </c:pt>
                <c:pt idx="229">
                  <c:v>-19561.333682524961</c:v>
                </c:pt>
                <c:pt idx="230">
                  <c:v>-19583.159939667981</c:v>
                </c:pt>
                <c:pt idx="231">
                  <c:v>-19605.002652942843</c:v>
                </c:pt>
                <c:pt idx="232">
                  <c:v>-19626.860960036618</c:v>
                </c:pt>
                <c:pt idx="233">
                  <c:v>-19648.733998020776</c:v>
                </c:pt>
                <c:pt idx="234">
                  <c:v>-19670.620903385228</c:v>
                </c:pt>
                <c:pt idx="235">
                  <c:v>-19692.520812072427</c:v>
                </c:pt>
                <c:pt idx="236">
                  <c:v>-19714.432859511478</c:v>
                </c:pt>
                <c:pt idx="237">
                  <c:v>-19736.356180652263</c:v>
                </c:pt>
                <c:pt idx="238">
                  <c:v>-19758.28990999961</c:v>
                </c:pt>
                <c:pt idx="239">
                  <c:v>-19780.233181647433</c:v>
                </c:pt>
                <c:pt idx="240">
                  <c:v>-19802.185129312944</c:v>
                </c:pt>
                <c:pt idx="241">
                  <c:v>-19824.144886370836</c:v>
                </c:pt>
                <c:pt idx="242">
                  <c:v>-19846.111585887502</c:v>
                </c:pt>
                <c:pt idx="243">
                  <c:v>-19868.084360655259</c:v>
                </c:pt>
                <c:pt idx="244">
                  <c:v>-19890.062343226582</c:v>
                </c:pt>
                <c:pt idx="245">
                  <c:v>-19912.04466594835</c:v>
                </c:pt>
                <c:pt idx="246">
                  <c:v>-19934.030460996102</c:v>
                </c:pt>
                <c:pt idx="247">
                  <c:v>-19956.018860408298</c:v>
                </c:pt>
                <c:pt idx="248">
                  <c:v>-19978.008996120574</c:v>
                </c:pt>
                <c:pt idx="249">
                  <c:v>-20000.000000000029</c:v>
                </c:pt>
                <c:pt idx="250">
                  <c:v>-20021.991003879488</c:v>
                </c:pt>
                <c:pt idx="251">
                  <c:v>-20043.981139591764</c:v>
                </c:pt>
                <c:pt idx="252">
                  <c:v>-20065.96953900396</c:v>
                </c:pt>
                <c:pt idx="253">
                  <c:v>-20087.955334051712</c:v>
                </c:pt>
                <c:pt idx="254">
                  <c:v>-20109.93765677348</c:v>
                </c:pt>
                <c:pt idx="255">
                  <c:v>-20131.915639344803</c:v>
                </c:pt>
                <c:pt idx="256">
                  <c:v>-20153.88841411256</c:v>
                </c:pt>
                <c:pt idx="257">
                  <c:v>-20175.855113629226</c:v>
                </c:pt>
                <c:pt idx="258">
                  <c:v>-20197.814870687118</c:v>
                </c:pt>
                <c:pt idx="259">
                  <c:v>-20219.766818352629</c:v>
                </c:pt>
                <c:pt idx="260">
                  <c:v>-20241.710090000452</c:v>
                </c:pt>
                <c:pt idx="261">
                  <c:v>-20263.643819347799</c:v>
                </c:pt>
                <c:pt idx="262">
                  <c:v>-20285.567140488583</c:v>
                </c:pt>
                <c:pt idx="263">
                  <c:v>-20307.479187927634</c:v>
                </c:pt>
                <c:pt idx="264">
                  <c:v>-20329.379096614834</c:v>
                </c:pt>
                <c:pt idx="265">
                  <c:v>-20351.266001979286</c:v>
                </c:pt>
                <c:pt idx="266">
                  <c:v>-20373.139039963444</c:v>
                </c:pt>
                <c:pt idx="267">
                  <c:v>-20394.997347057219</c:v>
                </c:pt>
                <c:pt idx="268">
                  <c:v>-20416.840060332077</c:v>
                </c:pt>
                <c:pt idx="269">
                  <c:v>-20438.666317475097</c:v>
                </c:pt>
                <c:pt idx="270">
                  <c:v>-20460.475256823021</c:v>
                </c:pt>
                <c:pt idx="271">
                  <c:v>-20482.266017396269</c:v>
                </c:pt>
                <c:pt idx="272">
                  <c:v>-20504.037738932919</c:v>
                </c:pt>
                <c:pt idx="273">
                  <c:v>-20525.789561922684</c:v>
                </c:pt>
                <c:pt idx="274">
                  <c:v>-20547.520627640843</c:v>
                </c:pt>
                <c:pt idx="275">
                  <c:v>-20569.230078182129</c:v>
                </c:pt>
                <c:pt idx="276">
                  <c:v>-20590.917056494603</c:v>
                </c:pt>
                <c:pt idx="277">
                  <c:v>-20612.580706413501</c:v>
                </c:pt>
                <c:pt idx="278">
                  <c:v>-20634.220172695015</c:v>
                </c:pt>
                <c:pt idx="279">
                  <c:v>-20655.834601050072</c:v>
                </c:pt>
                <c:pt idx="280">
                  <c:v>-20677.423138178048</c:v>
                </c:pt>
                <c:pt idx="281">
                  <c:v>-20698.98493180046</c:v>
                </c:pt>
                <c:pt idx="282">
                  <c:v>-20720.519130694622</c:v>
                </c:pt>
                <c:pt idx="283">
                  <c:v>-20742.024884727227</c:v>
                </c:pt>
                <c:pt idx="284">
                  <c:v>-20763.501344887936</c:v>
                </c:pt>
                <c:pt idx="285">
                  <c:v>-20784.94766332287</c:v>
                </c:pt>
                <c:pt idx="286">
                  <c:v>-20806.362993368104</c:v>
                </c:pt>
                <c:pt idx="287">
                  <c:v>-20827.746489583074</c:v>
                </c:pt>
                <c:pt idx="288">
                  <c:v>-20849.097307783963</c:v>
                </c:pt>
                <c:pt idx="289">
                  <c:v>-20870.414605077029</c:v>
                </c:pt>
                <c:pt idx="290">
                  <c:v>-20891.697539891873</c:v>
                </c:pt>
                <c:pt idx="291">
                  <c:v>-20912.945272014676</c:v>
                </c:pt>
                <c:pt idx="292">
                  <c:v>-20934.156962621353</c:v>
                </c:pt>
                <c:pt idx="293">
                  <c:v>-20955.331774310675</c:v>
                </c:pt>
                <c:pt idx="294">
                  <c:v>-20976.468871137338</c:v>
                </c:pt>
                <c:pt idx="295">
                  <c:v>-20997.567418644954</c:v>
                </c:pt>
                <c:pt idx="296">
                  <c:v>-21018.626583898989</c:v>
                </c:pt>
                <c:pt idx="297">
                  <c:v>-21039.645535519659</c:v>
                </c:pt>
                <c:pt idx="298">
                  <c:v>-21060.623443714747</c:v>
                </c:pt>
                <c:pt idx="299">
                  <c:v>-21081.559480312353</c:v>
                </c:pt>
                <c:pt idx="300">
                  <c:v>-21102.452818793605</c:v>
                </c:pt>
                <c:pt idx="301">
                  <c:v>-21123.302634325271</c:v>
                </c:pt>
                <c:pt idx="302">
                  <c:v>-21144.108103792336</c:v>
                </c:pt>
                <c:pt idx="303">
                  <c:v>-21164.868405830493</c:v>
                </c:pt>
                <c:pt idx="304">
                  <c:v>-21185.582720858558</c:v>
                </c:pt>
                <c:pt idx="305">
                  <c:v>-21206.250231110847</c:v>
                </c:pt>
                <c:pt idx="306">
                  <c:v>-21226.870120669446</c:v>
                </c:pt>
                <c:pt idx="307">
                  <c:v>-21247.441575496417</c:v>
                </c:pt>
                <c:pt idx="308">
                  <c:v>-21267.963783465948</c:v>
                </c:pt>
                <c:pt idx="309">
                  <c:v>-21288.435934396413</c:v>
                </c:pt>
                <c:pt idx="310">
                  <c:v>-21308.85722008234</c:v>
                </c:pt>
                <c:pt idx="311">
                  <c:v>-21329.226834326342</c:v>
                </c:pt>
                <c:pt idx="312">
                  <c:v>-21349.543972970929</c:v>
                </c:pt>
                <c:pt idx="313">
                  <c:v>-21369.807833930248</c:v>
                </c:pt>
                <c:pt idx="314">
                  <c:v>-21390.017617221773</c:v>
                </c:pt>
                <c:pt idx="315">
                  <c:v>-21410.172524997859</c:v>
                </c:pt>
                <c:pt idx="316">
                  <c:v>-21430.27176157726</c:v>
                </c:pt>
                <c:pt idx="317">
                  <c:v>-21450.314533476536</c:v>
                </c:pt>
                <c:pt idx="318">
                  <c:v>-21470.300049441361</c:v>
                </c:pt>
                <c:pt idx="319">
                  <c:v>-21490.227520477794</c:v>
                </c:pt>
                <c:pt idx="320">
                  <c:v>-21510.096159883396</c:v>
                </c:pt>
                <c:pt idx="321">
                  <c:v>-21529.905183278304</c:v>
                </c:pt>
                <c:pt idx="322">
                  <c:v>-21549.653808636194</c:v>
                </c:pt>
                <c:pt idx="323">
                  <c:v>-21569.341256315154</c:v>
                </c:pt>
                <c:pt idx="324">
                  <c:v>-21588.966749088453</c:v>
                </c:pt>
                <c:pt idx="325">
                  <c:v>-21608.529512175246</c:v>
                </c:pt>
                <c:pt idx="326">
                  <c:v>-21628.028773271144</c:v>
                </c:pt>
                <c:pt idx="327">
                  <c:v>-21647.463762578704</c:v>
                </c:pt>
                <c:pt idx="328">
                  <c:v>-21666.833712837826</c:v>
                </c:pt>
                <c:pt idx="329">
                  <c:v>-21686.137859356044</c:v>
                </c:pt>
                <c:pt idx="330">
                  <c:v>-21705.375440038704</c:v>
                </c:pt>
                <c:pt idx="331">
                  <c:v>-21724.545695419059</c:v>
                </c:pt>
                <c:pt idx="332">
                  <c:v>-21743.647868688258</c:v>
                </c:pt>
                <c:pt idx="333">
                  <c:v>-21762.681205725203</c:v>
                </c:pt>
                <c:pt idx="334">
                  <c:v>-21781.644955126339</c:v>
                </c:pt>
                <c:pt idx="335">
                  <c:v>-21800.538368235313</c:v>
                </c:pt>
                <c:pt idx="336">
                  <c:v>-21819.360699172525</c:v>
                </c:pt>
                <c:pt idx="337">
                  <c:v>-21838.111204864574</c:v>
                </c:pt>
                <c:pt idx="338">
                  <c:v>-21856.78914507361</c:v>
                </c:pt>
                <c:pt idx="339">
                  <c:v>-21875.393782426527</c:v>
                </c:pt>
                <c:pt idx="340">
                  <c:v>-21893.924382444107</c:v>
                </c:pt>
                <c:pt idx="341">
                  <c:v>-21912.380213569981</c:v>
                </c:pt>
                <c:pt idx="342">
                  <c:v>-21930.760547199545</c:v>
                </c:pt>
                <c:pt idx="343">
                  <c:v>-21949.064657708699</c:v>
                </c:pt>
                <c:pt idx="344">
                  <c:v>-21967.291822482497</c:v>
                </c:pt>
                <c:pt idx="345">
                  <c:v>-21985.441321943686</c:v>
                </c:pt>
                <c:pt idx="346">
                  <c:v>-22003.512439581107</c:v>
                </c:pt>
                <c:pt idx="347">
                  <c:v>-22021.504461977976</c:v>
                </c:pt>
                <c:pt idx="348">
                  <c:v>-22039.416678840054</c:v>
                </c:pt>
                <c:pt idx="349">
                  <c:v>-22057.248383023696</c:v>
                </c:pt>
                <c:pt idx="350">
                  <c:v>-22074.998870563748</c:v>
                </c:pt>
                <c:pt idx="351">
                  <c:v>-22092.667440701356</c:v>
                </c:pt>
                <c:pt idx="352">
                  <c:v>-22110.253395911626</c:v>
                </c:pt>
                <c:pt idx="353">
                  <c:v>-22127.756041931159</c:v>
                </c:pt>
                <c:pt idx="354">
                  <c:v>-22145.174687785457</c:v>
                </c:pt>
                <c:pt idx="355">
                  <c:v>-22162.508645816211</c:v>
                </c:pt>
                <c:pt idx="356">
                  <c:v>-22179.757231708434</c:v>
                </c:pt>
                <c:pt idx="357">
                  <c:v>-22196.91976451749</c:v>
                </c:pt>
                <c:pt idx="358">
                  <c:v>-22213.995566695976</c:v>
                </c:pt>
                <c:pt idx="359">
                  <c:v>-22230.983964120453</c:v>
                </c:pt>
                <c:pt idx="360">
                  <c:v>-22247.884286118086</c:v>
                </c:pt>
                <c:pt idx="361">
                  <c:v>-22264.695865493093</c:v>
                </c:pt>
                <c:pt idx="362">
                  <c:v>-22281.418038553114</c:v>
                </c:pt>
                <c:pt idx="363">
                  <c:v>-22298.050145135385</c:v>
                </c:pt>
                <c:pt idx="364">
                  <c:v>-22314.59152863282</c:v>
                </c:pt>
                <c:pt idx="365">
                  <c:v>-22331.041536019919</c:v>
                </c:pt>
                <c:pt idx="366">
                  <c:v>-22347.399517878559</c:v>
                </c:pt>
                <c:pt idx="367">
                  <c:v>-22363.664828423625</c:v>
                </c:pt>
                <c:pt idx="368">
                  <c:v>-22379.836825528506</c:v>
                </c:pt>
                <c:pt idx="369">
                  <c:v>-22395.91487075045</c:v>
                </c:pt>
                <c:pt idx="370">
                  <c:v>-22411.898329355758</c:v>
                </c:pt>
                <c:pt idx="371">
                  <c:v>-22427.786570344855</c:v>
                </c:pt>
                <c:pt idx="372">
                  <c:v>-22443.578966477195</c:v>
                </c:pt>
                <c:pt idx="373">
                  <c:v>-22459.27489429601</c:v>
                </c:pt>
                <c:pt idx="374">
                  <c:v>-22474.873734152956</c:v>
                </c:pt>
                <c:pt idx="375">
                  <c:v>-22490.374870232536</c:v>
                </c:pt>
                <c:pt idx="376">
                  <c:v>-22505.777690576448</c:v>
                </c:pt>
                <c:pt idx="377">
                  <c:v>-22521.081587107714</c:v>
                </c:pt>
                <c:pt idx="378">
                  <c:v>-22536.285955654701</c:v>
                </c:pt>
                <c:pt idx="379">
                  <c:v>-22551.390195974978</c:v>
                </c:pt>
                <c:pt idx="380">
                  <c:v>-22566.393711778997</c:v>
                </c:pt>
                <c:pt idx="381">
                  <c:v>-22581.295910753644</c:v>
                </c:pt>
                <c:pt idx="382">
                  <c:v>-22596.096204585625</c:v>
                </c:pt>
                <c:pt idx="383">
                  <c:v>-22610.794008984674</c:v>
                </c:pt>
                <c:pt idx="384">
                  <c:v>-22625.388743706644</c:v>
                </c:pt>
                <c:pt idx="385">
                  <c:v>-22639.8798325764</c:v>
                </c:pt>
                <c:pt idx="386">
                  <c:v>-22654.266703510562</c:v>
                </c:pt>
                <c:pt idx="387">
                  <c:v>-22668.548788540105</c:v>
                </c:pt>
                <c:pt idx="388">
                  <c:v>-22682.72552383276</c:v>
                </c:pt>
                <c:pt idx="389">
                  <c:v>-22696.7963497153</c:v>
                </c:pt>
                <c:pt idx="390">
                  <c:v>-22710.760710695606</c:v>
                </c:pt>
                <c:pt idx="391">
                  <c:v>-22724.618055484618</c:v>
                </c:pt>
                <c:pt idx="392">
                  <c:v>-22738.367837018093</c:v>
                </c:pt>
                <c:pt idx="393">
                  <c:v>-22752.009512478202</c:v>
                </c:pt>
                <c:pt idx="394">
                  <c:v>-22765.54254331495</c:v>
                </c:pt>
                <c:pt idx="395">
                  <c:v>-22778.96639526746</c:v>
                </c:pt>
                <c:pt idx="396">
                  <c:v>-22792.280538385035</c:v>
                </c:pt>
                <c:pt idx="397">
                  <c:v>-22805.484447048104</c:v>
                </c:pt>
                <c:pt idx="398">
                  <c:v>-22818.577599988963</c:v>
                </c:pt>
                <c:pt idx="399">
                  <c:v>-22831.559480312349</c:v>
                </c:pt>
                <c:pt idx="400">
                  <c:v>-22844.429575515864</c:v>
                </c:pt>
                <c:pt idx="401">
                  <c:v>-22857.187377510178</c:v>
                </c:pt>
                <c:pt idx="402">
                  <c:v>-22869.832382639117</c:v>
                </c:pt>
                <c:pt idx="403">
                  <c:v>-22882.364091699528</c:v>
                </c:pt>
                <c:pt idx="404">
                  <c:v>-22894.782009961</c:v>
                </c:pt>
                <c:pt idx="405">
                  <c:v>-22907.085647185377</c:v>
                </c:pt>
                <c:pt idx="406">
                  <c:v>-22919.274517646132</c:v>
                </c:pt>
                <c:pt idx="407">
                  <c:v>-22931.348140147529</c:v>
                </c:pt>
                <c:pt idx="408">
                  <c:v>-22943.306038043625</c:v>
                </c:pt>
                <c:pt idx="409">
                  <c:v>-22955.147739257085</c:v>
                </c:pt>
                <c:pt idx="410">
                  <c:v>-22966.872776297823</c:v>
                </c:pt>
                <c:pt idx="411">
                  <c:v>-22978.480686281455</c:v>
                </c:pt>
                <c:pt idx="412">
                  <c:v>-22989.971010947564</c:v>
                </c:pt>
                <c:pt idx="413">
                  <c:v>-23001.343296677813</c:v>
                </c:pt>
                <c:pt idx="414">
                  <c:v>-23012.597094513832</c:v>
                </c:pt>
                <c:pt idx="415">
                  <c:v>-23023.731960174955</c:v>
                </c:pt>
                <c:pt idx="416">
                  <c:v>-23034.747454075747</c:v>
                </c:pt>
                <c:pt idx="417">
                  <c:v>-23045.643141343371</c:v>
                </c:pt>
                <c:pt idx="418">
                  <c:v>-23056.41859183475</c:v>
                </c:pt>
                <c:pt idx="419">
                  <c:v>-23067.073380153553</c:v>
                </c:pt>
                <c:pt idx="420">
                  <c:v>-23077.607085666976</c:v>
                </c:pt>
                <c:pt idx="421">
                  <c:v>-23088.019292522367</c:v>
                </c:pt>
                <c:pt idx="422">
                  <c:v>-23098.309589663622</c:v>
                </c:pt>
                <c:pt idx="423">
                  <c:v>-23108.477570847434</c:v>
                </c:pt>
                <c:pt idx="424">
                  <c:v>-23118.522834659318</c:v>
                </c:pt>
                <c:pt idx="425">
                  <c:v>-23128.444984529451</c:v>
                </c:pt>
                <c:pt idx="426">
                  <c:v>-23138.243628748354</c:v>
                </c:pt>
                <c:pt idx="427">
                  <c:v>-23147.918380482326</c:v>
                </c:pt>
                <c:pt idx="428">
                  <c:v>-23157.468857788739</c:v>
                </c:pt>
                <c:pt idx="429">
                  <c:v>-23166.894683631097</c:v>
                </c:pt>
                <c:pt idx="430">
                  <c:v>-23176.195485893935</c:v>
                </c:pt>
                <c:pt idx="431">
                  <c:v>-23185.370897397512</c:v>
                </c:pt>
                <c:pt idx="432">
                  <c:v>-23194.420555912286</c:v>
                </c:pt>
                <c:pt idx="433">
                  <c:v>-23203.344104173237</c:v>
                </c:pt>
                <c:pt idx="434">
                  <c:v>-23212.141189893959</c:v>
                </c:pt>
                <c:pt idx="435">
                  <c:v>-23220.811465780571</c:v>
                </c:pt>
                <c:pt idx="436">
                  <c:v>-23229.354589545426</c:v>
                </c:pt>
                <c:pt idx="437">
                  <c:v>-23237.770223920626</c:v>
                </c:pt>
                <c:pt idx="438">
                  <c:v>-23246.05803667134</c:v>
                </c:pt>
                <c:pt idx="439">
                  <c:v>-23254.217700608904</c:v>
                </c:pt>
                <c:pt idx="440">
                  <c:v>-23262.248893603763</c:v>
                </c:pt>
                <c:pt idx="441">
                  <c:v>-23270.151298598164</c:v>
                </c:pt>
                <c:pt idx="442">
                  <c:v>-23277.924603618696</c:v>
                </c:pt>
                <c:pt idx="443">
                  <c:v>-23285.568501788581</c:v>
                </c:pt>
                <c:pt idx="444">
                  <c:v>-23293.082691339812</c:v>
                </c:pt>
                <c:pt idx="445">
                  <c:v>-23300.466875625047</c:v>
                </c:pt>
                <c:pt idx="446">
                  <c:v>-23307.720763129339</c:v>
                </c:pt>
                <c:pt idx="447">
                  <c:v>-23314.844067481627</c:v>
                </c:pt>
                <c:pt idx="448">
                  <c:v>-23321.836507466054</c:v>
                </c:pt>
                <c:pt idx="449">
                  <c:v>-23328.697807033059</c:v>
                </c:pt>
                <c:pt idx="450">
                  <c:v>-23335.427695310285</c:v>
                </c:pt>
                <c:pt idx="451">
                  <c:v>-23342.025906613271</c:v>
                </c:pt>
                <c:pt idx="452">
                  <c:v>-23348.492180455927</c:v>
                </c:pt>
                <c:pt idx="453">
                  <c:v>-23354.826261560836</c:v>
                </c:pt>
                <c:pt idx="454">
                  <c:v>-23361.027899869321</c:v>
                </c:pt>
                <c:pt idx="455">
                  <c:v>-23367.096850551319</c:v>
                </c:pt>
                <c:pt idx="456">
                  <c:v>-23373.032874015051</c:v>
                </c:pt>
                <c:pt idx="457">
                  <c:v>-23378.835735916477</c:v>
                </c:pt>
                <c:pt idx="458">
                  <c:v>-23384.505207168542</c:v>
                </c:pt>
                <c:pt idx="459">
                  <c:v>-23390.041063950226</c:v>
                </c:pt>
                <c:pt idx="460">
                  <c:v>-23395.443087715386</c:v>
                </c:pt>
                <c:pt idx="461">
                  <c:v>-23400.711065201376</c:v>
                </c:pt>
                <c:pt idx="462">
                  <c:v>-23405.844788437458</c:v>
                </c:pt>
                <c:pt idx="463">
                  <c:v>-23410.844054753037</c:v>
                </c:pt>
                <c:pt idx="464">
                  <c:v>-23415.708666785631</c:v>
                </c:pt>
                <c:pt idx="465">
                  <c:v>-23420.438432488692</c:v>
                </c:pt>
                <c:pt idx="466">
                  <c:v>-23425.033165139168</c:v>
                </c:pt>
                <c:pt idx="467">
                  <c:v>-23429.492683344877</c:v>
                </c:pt>
                <c:pt idx="468">
                  <c:v>-23433.816811051682</c:v>
                </c:pt>
                <c:pt idx="469">
                  <c:v>-23438.005377550424</c:v>
                </c:pt>
                <c:pt idx="470">
                  <c:v>-23442.058217483667</c:v>
                </c:pt>
                <c:pt idx="471">
                  <c:v>-23445.975170852231</c:v>
                </c:pt>
                <c:pt idx="472">
                  <c:v>-23449.756083021504</c:v>
                </c:pt>
                <c:pt idx="473">
                  <c:v>-23453.400804727549</c:v>
                </c:pt>
                <c:pt idx="474">
                  <c:v>-23456.909192082992</c:v>
                </c:pt>
                <c:pt idx="475">
                  <c:v>-23460.281106582712</c:v>
                </c:pt>
                <c:pt idx="476">
                  <c:v>-23463.51641510929</c:v>
                </c:pt>
                <c:pt idx="477">
                  <c:v>-23466.614989938291</c:v>
                </c:pt>
                <c:pt idx="478">
                  <c:v>-23469.576708743283</c:v>
                </c:pt>
                <c:pt idx="479">
                  <c:v>-23472.40145460068</c:v>
                </c:pt>
                <c:pt idx="480">
                  <c:v>-23475.089115994357</c:v>
                </c:pt>
                <c:pt idx="481">
                  <c:v>-23477.639586820038</c:v>
                </c:pt>
                <c:pt idx="482">
                  <c:v>-23480.052766389505</c:v>
                </c:pt>
                <c:pt idx="483">
                  <c:v>-23482.328559434558</c:v>
                </c:pt>
                <c:pt idx="484">
                  <c:v>-23484.466876110786</c:v>
                </c:pt>
                <c:pt idx="485">
                  <c:v>-23486.467632001109</c:v>
                </c:pt>
                <c:pt idx="486">
                  <c:v>-23488.330748119111</c:v>
                </c:pt>
                <c:pt idx="487">
                  <c:v>-23490.056150912154</c:v>
                </c:pt>
                <c:pt idx="488">
                  <c:v>-23491.643772264295</c:v>
                </c:pt>
                <c:pt idx="489">
                  <c:v>-23493.093549498954</c:v>
                </c:pt>
                <c:pt idx="490">
                  <c:v>-23494.405425381417</c:v>
                </c:pt>
                <c:pt idx="491">
                  <c:v>-23495.579348121064</c:v>
                </c:pt>
                <c:pt idx="492">
                  <c:v>-23496.615271373441</c:v>
                </c:pt>
                <c:pt idx="493">
                  <c:v>-23497.513154242064</c:v>
                </c:pt>
                <c:pt idx="494">
                  <c:v>-23498.272961280061</c:v>
                </c:pt>
                <c:pt idx="495">
                  <c:v>-23498.894662491552</c:v>
                </c:pt>
                <c:pt idx="496">
                  <c:v>-23499.378233332834</c:v>
                </c:pt>
                <c:pt idx="497">
                  <c:v>-23499.723654713358</c:v>
                </c:pt>
                <c:pt idx="498">
                  <c:v>-23499.930912996482</c:v>
                </c:pt>
                <c:pt idx="499">
                  <c:v>-23500</c:v>
                </c:pt>
                <c:pt idx="500">
                  <c:v>-23499.930912996479</c:v>
                </c:pt>
                <c:pt idx="501">
                  <c:v>-23499.723654713354</c:v>
                </c:pt>
                <c:pt idx="502">
                  <c:v>-23499.378233332831</c:v>
                </c:pt>
                <c:pt idx="503">
                  <c:v>-23498.894662491548</c:v>
                </c:pt>
                <c:pt idx="504">
                  <c:v>-23498.272961280058</c:v>
                </c:pt>
                <c:pt idx="505">
                  <c:v>-23497.51315424206</c:v>
                </c:pt>
                <c:pt idx="506">
                  <c:v>-23496.615271373434</c:v>
                </c:pt>
                <c:pt idx="507">
                  <c:v>-23495.579348121057</c:v>
                </c:pt>
                <c:pt idx="508">
                  <c:v>-23494.40542538141</c:v>
                </c:pt>
                <c:pt idx="509">
                  <c:v>-23493.093549498946</c:v>
                </c:pt>
                <c:pt idx="510">
                  <c:v>-23491.643772264284</c:v>
                </c:pt>
                <c:pt idx="511">
                  <c:v>-23490.056150912143</c:v>
                </c:pt>
                <c:pt idx="512">
                  <c:v>-23488.330748119097</c:v>
                </c:pt>
                <c:pt idx="513">
                  <c:v>-23486.467632001099</c:v>
                </c:pt>
                <c:pt idx="514">
                  <c:v>-23484.466876110771</c:v>
                </c:pt>
                <c:pt idx="515">
                  <c:v>-23482.328559434543</c:v>
                </c:pt>
                <c:pt idx="516">
                  <c:v>-23480.052766389486</c:v>
                </c:pt>
                <c:pt idx="517">
                  <c:v>-23477.63958682002</c:v>
                </c:pt>
                <c:pt idx="518">
                  <c:v>-23475.089115994338</c:v>
                </c:pt>
                <c:pt idx="519">
                  <c:v>-23472.401454600662</c:v>
                </c:pt>
                <c:pt idx="520">
                  <c:v>-23469.576708743261</c:v>
                </c:pt>
                <c:pt idx="521">
                  <c:v>-23466.614989938269</c:v>
                </c:pt>
                <c:pt idx="522">
                  <c:v>-23463.516415109269</c:v>
                </c:pt>
                <c:pt idx="523">
                  <c:v>-23460.281106582686</c:v>
                </c:pt>
                <c:pt idx="524">
                  <c:v>-23456.909192082971</c:v>
                </c:pt>
                <c:pt idx="525">
                  <c:v>-23453.400804727524</c:v>
                </c:pt>
                <c:pt idx="526">
                  <c:v>-23449.756083021479</c:v>
                </c:pt>
                <c:pt idx="527">
                  <c:v>-23445.975170852205</c:v>
                </c:pt>
                <c:pt idx="528">
                  <c:v>-23442.058217483638</c:v>
                </c:pt>
                <c:pt idx="529">
                  <c:v>-23438.005377550395</c:v>
                </c:pt>
                <c:pt idx="530">
                  <c:v>-23433.816811051653</c:v>
                </c:pt>
                <c:pt idx="531">
                  <c:v>-23429.492683344848</c:v>
                </c:pt>
                <c:pt idx="532">
                  <c:v>-23425.033165139135</c:v>
                </c:pt>
                <c:pt idx="533">
                  <c:v>-23420.43843248866</c:v>
                </c:pt>
                <c:pt idx="534">
                  <c:v>-23415.708666785598</c:v>
                </c:pt>
                <c:pt idx="535">
                  <c:v>-23410.844054753001</c:v>
                </c:pt>
                <c:pt idx="536">
                  <c:v>-23405.844788437422</c:v>
                </c:pt>
                <c:pt idx="537">
                  <c:v>-23400.71106520134</c:v>
                </c:pt>
                <c:pt idx="538">
                  <c:v>-23395.44308771535</c:v>
                </c:pt>
                <c:pt idx="539">
                  <c:v>-23390.041063950186</c:v>
                </c:pt>
                <c:pt idx="540">
                  <c:v>-23384.505207168502</c:v>
                </c:pt>
                <c:pt idx="541">
                  <c:v>-23378.835735916437</c:v>
                </c:pt>
                <c:pt idx="542">
                  <c:v>-23373.032874015011</c:v>
                </c:pt>
                <c:pt idx="543">
                  <c:v>-23367.096850551279</c:v>
                </c:pt>
                <c:pt idx="544">
                  <c:v>-23361.027899869277</c:v>
                </c:pt>
                <c:pt idx="545">
                  <c:v>-23354.826261560793</c:v>
                </c:pt>
                <c:pt idx="546">
                  <c:v>-23348.492180455883</c:v>
                </c:pt>
                <c:pt idx="547">
                  <c:v>-23342.025906613224</c:v>
                </c:pt>
                <c:pt idx="548">
                  <c:v>-23335.427695310238</c:v>
                </c:pt>
                <c:pt idx="549">
                  <c:v>-23328.697807033011</c:v>
                </c:pt>
                <c:pt idx="550">
                  <c:v>-23321.836507466003</c:v>
                </c:pt>
                <c:pt idx="551">
                  <c:v>-23314.844067481579</c:v>
                </c:pt>
                <c:pt idx="552">
                  <c:v>-23307.720763129288</c:v>
                </c:pt>
                <c:pt idx="553">
                  <c:v>-23300.466875624996</c:v>
                </c:pt>
                <c:pt idx="554">
                  <c:v>-23293.082691339761</c:v>
                </c:pt>
                <c:pt idx="555">
                  <c:v>-23285.56850178853</c:v>
                </c:pt>
                <c:pt idx="556">
                  <c:v>-23277.924603618641</c:v>
                </c:pt>
                <c:pt idx="557">
                  <c:v>-23270.15129859811</c:v>
                </c:pt>
                <c:pt idx="558">
                  <c:v>-23262.248893603708</c:v>
                </c:pt>
                <c:pt idx="559">
                  <c:v>-23254.217700608846</c:v>
                </c:pt>
                <c:pt idx="560">
                  <c:v>-23246.058036671282</c:v>
                </c:pt>
                <c:pt idx="561">
                  <c:v>-23237.770223920568</c:v>
                </c:pt>
                <c:pt idx="562">
                  <c:v>-23229.354589545368</c:v>
                </c:pt>
                <c:pt idx="563">
                  <c:v>-23220.811465780513</c:v>
                </c:pt>
                <c:pt idx="564">
                  <c:v>-23212.141189893897</c:v>
                </c:pt>
                <c:pt idx="565">
                  <c:v>-23203.344104173175</c:v>
                </c:pt>
                <c:pt idx="566">
                  <c:v>-23194.420555912224</c:v>
                </c:pt>
                <c:pt idx="567">
                  <c:v>-23185.370897397446</c:v>
                </c:pt>
                <c:pt idx="568">
                  <c:v>-23176.19548589387</c:v>
                </c:pt>
                <c:pt idx="569">
                  <c:v>-23166.894683631032</c:v>
                </c:pt>
                <c:pt idx="570">
                  <c:v>-23157.46885778867</c:v>
                </c:pt>
                <c:pt idx="571">
                  <c:v>-23147.918380482261</c:v>
                </c:pt>
                <c:pt idx="572">
                  <c:v>-23138.243628748285</c:v>
                </c:pt>
                <c:pt idx="573">
                  <c:v>-23128.444984529382</c:v>
                </c:pt>
                <c:pt idx="574">
                  <c:v>-23118.522834659245</c:v>
                </c:pt>
                <c:pt idx="575">
                  <c:v>-23108.477570847364</c:v>
                </c:pt>
                <c:pt idx="576">
                  <c:v>-23098.30958966355</c:v>
                </c:pt>
                <c:pt idx="577">
                  <c:v>-23088.019292522295</c:v>
                </c:pt>
                <c:pt idx="578">
                  <c:v>-23077.607085666903</c:v>
                </c:pt>
                <c:pt idx="579">
                  <c:v>-23067.073380153477</c:v>
                </c:pt>
                <c:pt idx="580">
                  <c:v>-23056.418591834677</c:v>
                </c:pt>
                <c:pt idx="581">
                  <c:v>-23045.643141343295</c:v>
                </c:pt>
                <c:pt idx="582">
                  <c:v>-23034.74745407567</c:v>
                </c:pt>
                <c:pt idx="583">
                  <c:v>-23023.731960174875</c:v>
                </c:pt>
                <c:pt idx="584">
                  <c:v>-23012.597094513756</c:v>
                </c:pt>
                <c:pt idx="585">
                  <c:v>-23001.343296677736</c:v>
                </c:pt>
                <c:pt idx="586">
                  <c:v>-22989.971010947484</c:v>
                </c:pt>
                <c:pt idx="587">
                  <c:v>-22978.480686281371</c:v>
                </c:pt>
                <c:pt idx="588">
                  <c:v>-22966.872776297743</c:v>
                </c:pt>
                <c:pt idx="589">
                  <c:v>-22955.147739257001</c:v>
                </c:pt>
                <c:pt idx="590">
                  <c:v>-22943.306038043542</c:v>
                </c:pt>
                <c:pt idx="591">
                  <c:v>-22931.348140147446</c:v>
                </c:pt>
                <c:pt idx="592">
                  <c:v>-22919.274517646048</c:v>
                </c:pt>
                <c:pt idx="593">
                  <c:v>-22907.085647185293</c:v>
                </c:pt>
                <c:pt idx="594">
                  <c:v>-22894.782009960913</c:v>
                </c:pt>
                <c:pt idx="595">
                  <c:v>-22882.364091699441</c:v>
                </c:pt>
                <c:pt idx="596">
                  <c:v>-22869.83238263903</c:v>
                </c:pt>
                <c:pt idx="597">
                  <c:v>-22857.18737751009</c:v>
                </c:pt>
                <c:pt idx="598">
                  <c:v>-22844.429575515773</c:v>
                </c:pt>
                <c:pt idx="599">
                  <c:v>-22831.559480312259</c:v>
                </c:pt>
                <c:pt idx="600">
                  <c:v>-22818.577599988868</c:v>
                </c:pt>
                <c:pt idx="601">
                  <c:v>-22805.484447048009</c:v>
                </c:pt>
                <c:pt idx="602">
                  <c:v>-22792.280538384941</c:v>
                </c:pt>
                <c:pt idx="603">
                  <c:v>-22778.966395267365</c:v>
                </c:pt>
                <c:pt idx="604">
                  <c:v>-22765.542543314856</c:v>
                </c:pt>
                <c:pt idx="605">
                  <c:v>-22752.009512478107</c:v>
                </c:pt>
                <c:pt idx="606">
                  <c:v>-22738.367837017999</c:v>
                </c:pt>
                <c:pt idx="607">
                  <c:v>-22724.61805548452</c:v>
                </c:pt>
                <c:pt idx="608">
                  <c:v>-22710.760710695507</c:v>
                </c:pt>
                <c:pt idx="609">
                  <c:v>-22696.796349715201</c:v>
                </c:pt>
                <c:pt idx="610">
                  <c:v>-22682.725523832662</c:v>
                </c:pt>
                <c:pt idx="611">
                  <c:v>-22668.548788540003</c:v>
                </c:pt>
                <c:pt idx="612">
                  <c:v>-22654.266703510461</c:v>
                </c:pt>
                <c:pt idx="613">
                  <c:v>-22639.879832576298</c:v>
                </c:pt>
                <c:pt idx="614">
                  <c:v>-22625.388743706542</c:v>
                </c:pt>
                <c:pt idx="615">
                  <c:v>-22610.794008984572</c:v>
                </c:pt>
                <c:pt idx="616">
                  <c:v>-22596.096204585519</c:v>
                </c:pt>
                <c:pt idx="617">
                  <c:v>-22581.295910753543</c:v>
                </c:pt>
                <c:pt idx="618">
                  <c:v>-22566.393711778892</c:v>
                </c:pt>
                <c:pt idx="619">
                  <c:v>-22551.390195974873</c:v>
                </c:pt>
                <c:pt idx="620">
                  <c:v>-22536.285955654595</c:v>
                </c:pt>
                <c:pt idx="621">
                  <c:v>-22521.081587107605</c:v>
                </c:pt>
                <c:pt idx="622">
                  <c:v>-22505.777690576339</c:v>
                </c:pt>
                <c:pt idx="623">
                  <c:v>-22490.37487023243</c:v>
                </c:pt>
                <c:pt idx="624">
                  <c:v>-22474.873734152847</c:v>
                </c:pt>
                <c:pt idx="625">
                  <c:v>-22459.274894295901</c:v>
                </c:pt>
                <c:pt idx="626">
                  <c:v>-22443.578966477082</c:v>
                </c:pt>
                <c:pt idx="627">
                  <c:v>-22427.786570344746</c:v>
                </c:pt>
                <c:pt idx="628">
                  <c:v>-22411.898329355645</c:v>
                </c:pt>
                <c:pt idx="629">
                  <c:v>-22395.914870750337</c:v>
                </c:pt>
                <c:pt idx="630">
                  <c:v>-22379.836825528393</c:v>
                </c:pt>
                <c:pt idx="631">
                  <c:v>-22363.664828423509</c:v>
                </c:pt>
                <c:pt idx="632">
                  <c:v>-22347.399517878446</c:v>
                </c:pt>
                <c:pt idx="633">
                  <c:v>-22331.041536019806</c:v>
                </c:pt>
                <c:pt idx="634">
                  <c:v>-22314.591528632704</c:v>
                </c:pt>
                <c:pt idx="635">
                  <c:v>-22298.050145135268</c:v>
                </c:pt>
                <c:pt idx="636">
                  <c:v>-22281.418038552998</c:v>
                </c:pt>
                <c:pt idx="637">
                  <c:v>-22264.69586549298</c:v>
                </c:pt>
                <c:pt idx="638">
                  <c:v>-22247.884286117969</c:v>
                </c:pt>
                <c:pt idx="639">
                  <c:v>-22230.98396412034</c:v>
                </c:pt>
                <c:pt idx="640">
                  <c:v>-22213.995566695863</c:v>
                </c:pt>
                <c:pt idx="641">
                  <c:v>-22196.919764517377</c:v>
                </c:pt>
                <c:pt idx="642">
                  <c:v>-22179.757231708321</c:v>
                </c:pt>
                <c:pt idx="643">
                  <c:v>-22162.508645816099</c:v>
                </c:pt>
                <c:pt idx="644">
                  <c:v>-22145.174687785347</c:v>
                </c:pt>
                <c:pt idx="645">
                  <c:v>-22127.756041931047</c:v>
                </c:pt>
                <c:pt idx="646">
                  <c:v>-22110.253395911517</c:v>
                </c:pt>
                <c:pt idx="647">
                  <c:v>-22092.667440701247</c:v>
                </c:pt>
                <c:pt idx="648">
                  <c:v>-22074.998870563639</c:v>
                </c:pt>
                <c:pt idx="649">
                  <c:v>-22057.248383023587</c:v>
                </c:pt>
                <c:pt idx="650">
                  <c:v>-22039.416678839949</c:v>
                </c:pt>
                <c:pt idx="651">
                  <c:v>-22021.504461977871</c:v>
                </c:pt>
                <c:pt idx="652">
                  <c:v>-22003.512439581002</c:v>
                </c:pt>
                <c:pt idx="653">
                  <c:v>-21985.441321943585</c:v>
                </c:pt>
                <c:pt idx="654">
                  <c:v>-21967.291822482395</c:v>
                </c:pt>
                <c:pt idx="655">
                  <c:v>-21949.064657708597</c:v>
                </c:pt>
                <c:pt idx="656">
                  <c:v>-21930.760547199443</c:v>
                </c:pt>
                <c:pt idx="657">
                  <c:v>-21912.380213569882</c:v>
                </c:pt>
                <c:pt idx="658">
                  <c:v>-21893.924382444005</c:v>
                </c:pt>
                <c:pt idx="659">
                  <c:v>-21875.393782426429</c:v>
                </c:pt>
                <c:pt idx="660">
                  <c:v>-21856.789145073511</c:v>
                </c:pt>
                <c:pt idx="661">
                  <c:v>-21838.111204864479</c:v>
                </c:pt>
                <c:pt idx="662">
                  <c:v>-21819.360699172426</c:v>
                </c:pt>
                <c:pt idx="663">
                  <c:v>-21800.538368235219</c:v>
                </c:pt>
                <c:pt idx="664">
                  <c:v>-21781.644955126245</c:v>
                </c:pt>
                <c:pt idx="665">
                  <c:v>-21762.681205725108</c:v>
                </c:pt>
                <c:pt idx="666">
                  <c:v>-21743.647868688167</c:v>
                </c:pt>
                <c:pt idx="667">
                  <c:v>-21724.545695418969</c:v>
                </c:pt>
                <c:pt idx="668">
                  <c:v>-21705.375440038613</c:v>
                </c:pt>
                <c:pt idx="669">
                  <c:v>-21686.137859355953</c:v>
                </c:pt>
                <c:pt idx="670">
                  <c:v>-21666.833712837739</c:v>
                </c:pt>
                <c:pt idx="671">
                  <c:v>-21647.463762578616</c:v>
                </c:pt>
                <c:pt idx="672">
                  <c:v>-21628.028773271057</c:v>
                </c:pt>
                <c:pt idx="673">
                  <c:v>-21608.529512175162</c:v>
                </c:pt>
                <c:pt idx="674">
                  <c:v>-21588.966749088369</c:v>
                </c:pt>
                <c:pt idx="675">
                  <c:v>-21569.34125631507</c:v>
                </c:pt>
                <c:pt idx="676">
                  <c:v>-21549.653808636114</c:v>
                </c:pt>
                <c:pt idx="677">
                  <c:v>-21529.905183278224</c:v>
                </c:pt>
                <c:pt idx="678">
                  <c:v>-21510.096159883316</c:v>
                </c:pt>
                <c:pt idx="679">
                  <c:v>-21490.227520477718</c:v>
                </c:pt>
                <c:pt idx="680">
                  <c:v>-21470.300049441285</c:v>
                </c:pt>
                <c:pt idx="681">
                  <c:v>-21450.314533476459</c:v>
                </c:pt>
                <c:pt idx="682">
                  <c:v>-21430.271761577187</c:v>
                </c:pt>
                <c:pt idx="683">
                  <c:v>-21410.172524997786</c:v>
                </c:pt>
                <c:pt idx="684">
                  <c:v>-21390.0176172217</c:v>
                </c:pt>
                <c:pt idx="685">
                  <c:v>-21369.807833930176</c:v>
                </c:pt>
                <c:pt idx="686">
                  <c:v>-21349.54397297086</c:v>
                </c:pt>
                <c:pt idx="687">
                  <c:v>-21329.226834326277</c:v>
                </c:pt>
                <c:pt idx="688">
                  <c:v>-21308.857220082275</c:v>
                </c:pt>
                <c:pt idx="689">
                  <c:v>-21288.435934396348</c:v>
                </c:pt>
                <c:pt idx="690">
                  <c:v>-21267.963783465886</c:v>
                </c:pt>
                <c:pt idx="691">
                  <c:v>-21247.441575496352</c:v>
                </c:pt>
                <c:pt idx="692">
                  <c:v>-21226.870120669384</c:v>
                </c:pt>
                <c:pt idx="693">
                  <c:v>-21206.250231110789</c:v>
                </c:pt>
                <c:pt idx="694">
                  <c:v>-21185.5827208585</c:v>
                </c:pt>
                <c:pt idx="695">
                  <c:v>-21164.868405830435</c:v>
                </c:pt>
                <c:pt idx="696">
                  <c:v>-21144.108103792281</c:v>
                </c:pt>
                <c:pt idx="697">
                  <c:v>-21123.302634325217</c:v>
                </c:pt>
                <c:pt idx="698">
                  <c:v>-21102.45281879355</c:v>
                </c:pt>
                <c:pt idx="699">
                  <c:v>-21081.559480312302</c:v>
                </c:pt>
                <c:pt idx="700">
                  <c:v>-21060.623443714696</c:v>
                </c:pt>
                <c:pt idx="701">
                  <c:v>-21039.645535519612</c:v>
                </c:pt>
                <c:pt idx="702">
                  <c:v>-21018.626583898942</c:v>
                </c:pt>
                <c:pt idx="703">
                  <c:v>-20997.567418644907</c:v>
                </c:pt>
                <c:pt idx="704">
                  <c:v>-20976.468871137295</c:v>
                </c:pt>
                <c:pt idx="705">
                  <c:v>-20955.331774310631</c:v>
                </c:pt>
                <c:pt idx="706">
                  <c:v>-20934.15696262131</c:v>
                </c:pt>
                <c:pt idx="707">
                  <c:v>-20912.945272014636</c:v>
                </c:pt>
                <c:pt idx="708">
                  <c:v>-20891.697539891837</c:v>
                </c:pt>
                <c:pt idx="709">
                  <c:v>-20870.414605076992</c:v>
                </c:pt>
                <c:pt idx="710">
                  <c:v>-20849.097307783926</c:v>
                </c:pt>
                <c:pt idx="711">
                  <c:v>-20827.746489583038</c:v>
                </c:pt>
                <c:pt idx="712">
                  <c:v>-20806.362993368071</c:v>
                </c:pt>
                <c:pt idx="713">
                  <c:v>-20784.947663322837</c:v>
                </c:pt>
                <c:pt idx="714">
                  <c:v>-20763.501344887904</c:v>
                </c:pt>
                <c:pt idx="715">
                  <c:v>-20742.024884727198</c:v>
                </c:pt>
                <c:pt idx="716">
                  <c:v>-20720.519130694593</c:v>
                </c:pt>
                <c:pt idx="717">
                  <c:v>-20698.984931800434</c:v>
                </c:pt>
                <c:pt idx="718">
                  <c:v>-20677.423138178023</c:v>
                </c:pt>
                <c:pt idx="719">
                  <c:v>-20655.83460105005</c:v>
                </c:pt>
                <c:pt idx="720">
                  <c:v>-20634.220172694993</c:v>
                </c:pt>
                <c:pt idx="721">
                  <c:v>-20612.580706413482</c:v>
                </c:pt>
                <c:pt idx="722">
                  <c:v>-20590.917056494585</c:v>
                </c:pt>
                <c:pt idx="723">
                  <c:v>-20569.23007818211</c:v>
                </c:pt>
                <c:pt idx="724">
                  <c:v>-20547.520627640828</c:v>
                </c:pt>
                <c:pt idx="725">
                  <c:v>-20525.789561922669</c:v>
                </c:pt>
                <c:pt idx="726">
                  <c:v>-20504.037738932904</c:v>
                </c:pt>
                <c:pt idx="727">
                  <c:v>-20482.266017396258</c:v>
                </c:pt>
                <c:pt idx="728">
                  <c:v>-20460.475256823014</c:v>
                </c:pt>
                <c:pt idx="729">
                  <c:v>-20438.66631747509</c:v>
                </c:pt>
                <c:pt idx="730">
                  <c:v>-20416.84006033207</c:v>
                </c:pt>
                <c:pt idx="731">
                  <c:v>-20394.997347057215</c:v>
                </c:pt>
                <c:pt idx="732">
                  <c:v>-20373.13903996344</c:v>
                </c:pt>
                <c:pt idx="733">
                  <c:v>-20351.266001979282</c:v>
                </c:pt>
                <c:pt idx="734">
                  <c:v>-20329.379096614834</c:v>
                </c:pt>
                <c:pt idx="735">
                  <c:v>-20307.479187927634</c:v>
                </c:pt>
                <c:pt idx="736">
                  <c:v>-20285.567140488587</c:v>
                </c:pt>
                <c:pt idx="737">
                  <c:v>-20263.643819347802</c:v>
                </c:pt>
                <c:pt idx="738">
                  <c:v>-20241.710090000459</c:v>
                </c:pt>
                <c:pt idx="739">
                  <c:v>-20219.766818352637</c:v>
                </c:pt>
                <c:pt idx="740">
                  <c:v>-20197.814870687125</c:v>
                </c:pt>
                <c:pt idx="741">
                  <c:v>-20175.855113629237</c:v>
                </c:pt>
                <c:pt idx="742">
                  <c:v>-20153.888414112571</c:v>
                </c:pt>
                <c:pt idx="743">
                  <c:v>-20131.915639344817</c:v>
                </c:pt>
                <c:pt idx="744">
                  <c:v>-20109.937656773494</c:v>
                </c:pt>
                <c:pt idx="745">
                  <c:v>-20087.95533405173</c:v>
                </c:pt>
                <c:pt idx="746">
                  <c:v>-20065.969539003978</c:v>
                </c:pt>
                <c:pt idx="747">
                  <c:v>-20043.981139591786</c:v>
                </c:pt>
                <c:pt idx="748">
                  <c:v>-20021.99100387951</c:v>
                </c:pt>
                <c:pt idx="749">
                  <c:v>-20000.000000000055</c:v>
                </c:pt>
                <c:pt idx="750">
                  <c:v>-19978.008996120599</c:v>
                </c:pt>
                <c:pt idx="751">
                  <c:v>-19956.018860408323</c:v>
                </c:pt>
                <c:pt idx="752">
                  <c:v>-19934.030460996128</c:v>
                </c:pt>
                <c:pt idx="753">
                  <c:v>-19912.044665948379</c:v>
                </c:pt>
                <c:pt idx="754">
                  <c:v>-19890.062343226611</c:v>
                </c:pt>
                <c:pt idx="755">
                  <c:v>-19868.084360655292</c:v>
                </c:pt>
                <c:pt idx="756">
                  <c:v>-19846.111585887535</c:v>
                </c:pt>
                <c:pt idx="757">
                  <c:v>-19824.144886370872</c:v>
                </c:pt>
                <c:pt idx="758">
                  <c:v>-19802.18512931298</c:v>
                </c:pt>
                <c:pt idx="759">
                  <c:v>-19780.233181647469</c:v>
                </c:pt>
                <c:pt idx="760">
                  <c:v>-19758.289909999647</c:v>
                </c:pt>
                <c:pt idx="761">
                  <c:v>-19736.356180652307</c:v>
                </c:pt>
                <c:pt idx="762">
                  <c:v>-19714.432859511518</c:v>
                </c:pt>
                <c:pt idx="763">
                  <c:v>-19692.520812072471</c:v>
                </c:pt>
                <c:pt idx="764">
                  <c:v>-19670.620903385272</c:v>
                </c:pt>
                <c:pt idx="765">
                  <c:v>-19648.733998020823</c:v>
                </c:pt>
                <c:pt idx="766">
                  <c:v>-19626.860960036665</c:v>
                </c:pt>
                <c:pt idx="767">
                  <c:v>-19605.002652942891</c:v>
                </c:pt>
                <c:pt idx="768">
                  <c:v>-19583.159939668036</c:v>
                </c:pt>
                <c:pt idx="769">
                  <c:v>-19561.333682525015</c:v>
                </c:pt>
                <c:pt idx="770">
                  <c:v>-19539.524743177091</c:v>
                </c:pt>
                <c:pt idx="771">
                  <c:v>-19517.733982603848</c:v>
                </c:pt>
                <c:pt idx="772">
                  <c:v>-19495.962261067201</c:v>
                </c:pt>
                <c:pt idx="773">
                  <c:v>-19474.210438077436</c:v>
                </c:pt>
                <c:pt idx="774">
                  <c:v>-19452.479372359277</c:v>
                </c:pt>
                <c:pt idx="775">
                  <c:v>-19430.769921817995</c:v>
                </c:pt>
                <c:pt idx="776">
                  <c:v>-19409.08294350552</c:v>
                </c:pt>
                <c:pt idx="777">
                  <c:v>-19387.419293586623</c:v>
                </c:pt>
                <c:pt idx="778">
                  <c:v>-19365.779827305112</c:v>
                </c:pt>
                <c:pt idx="779">
                  <c:v>-19344.165398950056</c:v>
                </c:pt>
                <c:pt idx="780">
                  <c:v>-19322.576861822083</c:v>
                </c:pt>
                <c:pt idx="781">
                  <c:v>-19301.015068199671</c:v>
                </c:pt>
                <c:pt idx="782">
                  <c:v>-19279.480869305513</c:v>
                </c:pt>
                <c:pt idx="783">
                  <c:v>-19257.975115272908</c:v>
                </c:pt>
                <c:pt idx="784">
                  <c:v>-19236.498655112198</c:v>
                </c:pt>
                <c:pt idx="785">
                  <c:v>-19215.052336677265</c:v>
                </c:pt>
                <c:pt idx="786">
                  <c:v>-19193.637006632034</c:v>
                </c:pt>
                <c:pt idx="787">
                  <c:v>-19172.253510417067</c:v>
                </c:pt>
                <c:pt idx="788">
                  <c:v>-19150.902692216179</c:v>
                </c:pt>
                <c:pt idx="789">
                  <c:v>-19129.585394923113</c:v>
                </c:pt>
                <c:pt idx="790">
                  <c:v>-19108.302460108269</c:v>
                </c:pt>
                <c:pt idx="791">
                  <c:v>-19087.054727985469</c:v>
                </c:pt>
                <c:pt idx="792">
                  <c:v>-19065.843037378792</c:v>
                </c:pt>
                <c:pt idx="793">
                  <c:v>-19044.668225689471</c:v>
                </c:pt>
                <c:pt idx="794">
                  <c:v>-19023.531128862807</c:v>
                </c:pt>
                <c:pt idx="795">
                  <c:v>-19002.432581355195</c:v>
                </c:pt>
                <c:pt idx="796">
                  <c:v>-18981.37341610116</c:v>
                </c:pt>
                <c:pt idx="797">
                  <c:v>-18960.354464480493</c:v>
                </c:pt>
                <c:pt idx="798">
                  <c:v>-18939.376556285406</c:v>
                </c:pt>
                <c:pt idx="799">
                  <c:v>-18918.4405196878</c:v>
                </c:pt>
                <c:pt idx="800">
                  <c:v>-18897.547181206552</c:v>
                </c:pt>
                <c:pt idx="801">
                  <c:v>-18876.697365674885</c:v>
                </c:pt>
                <c:pt idx="802">
                  <c:v>-18855.891896207821</c:v>
                </c:pt>
                <c:pt idx="803">
                  <c:v>-18835.131594169667</c:v>
                </c:pt>
                <c:pt idx="804">
                  <c:v>-18814.417279141602</c:v>
                </c:pt>
                <c:pt idx="805">
                  <c:v>-18793.749768889313</c:v>
                </c:pt>
                <c:pt idx="806">
                  <c:v>-18773.129879330718</c:v>
                </c:pt>
                <c:pt idx="807">
                  <c:v>-18752.558424503746</c:v>
                </c:pt>
                <c:pt idx="808">
                  <c:v>-18732.036216534216</c:v>
                </c:pt>
                <c:pt idx="809">
                  <c:v>-18711.564065603754</c:v>
                </c:pt>
                <c:pt idx="810">
                  <c:v>-18691.142779917827</c:v>
                </c:pt>
                <c:pt idx="811">
                  <c:v>-18670.773165673825</c:v>
                </c:pt>
                <c:pt idx="812">
                  <c:v>-18650.456027029242</c:v>
                </c:pt>
                <c:pt idx="813">
                  <c:v>-18630.192166069923</c:v>
                </c:pt>
                <c:pt idx="814">
                  <c:v>-18609.982382778398</c:v>
                </c:pt>
                <c:pt idx="815">
                  <c:v>-18589.827475002312</c:v>
                </c:pt>
                <c:pt idx="816">
                  <c:v>-18569.728238422911</c:v>
                </c:pt>
                <c:pt idx="817">
                  <c:v>-18549.685466523639</c:v>
                </c:pt>
                <c:pt idx="818">
                  <c:v>-18529.699950558814</c:v>
                </c:pt>
                <c:pt idx="819">
                  <c:v>-18509.77247952238</c:v>
                </c:pt>
                <c:pt idx="820">
                  <c:v>-18489.903840116778</c:v>
                </c:pt>
                <c:pt idx="821">
                  <c:v>-18470.09481672187</c:v>
                </c:pt>
                <c:pt idx="822">
                  <c:v>-18450.346191363984</c:v>
                </c:pt>
                <c:pt idx="823">
                  <c:v>-18430.658743685024</c:v>
                </c:pt>
                <c:pt idx="824">
                  <c:v>-18411.033250911725</c:v>
                </c:pt>
                <c:pt idx="825">
                  <c:v>-18391.470487824932</c:v>
                </c:pt>
                <c:pt idx="826">
                  <c:v>-18371.971226729038</c:v>
                </c:pt>
                <c:pt idx="827">
                  <c:v>-18352.536237421478</c:v>
                </c:pt>
                <c:pt idx="828">
                  <c:v>-18333.166287162356</c:v>
                </c:pt>
                <c:pt idx="829">
                  <c:v>-18313.862140644138</c:v>
                </c:pt>
                <c:pt idx="830">
                  <c:v>-18294.624559961481</c:v>
                </c:pt>
                <c:pt idx="831">
                  <c:v>-18275.454304581122</c:v>
                </c:pt>
                <c:pt idx="832">
                  <c:v>-18256.352131311927</c:v>
                </c:pt>
                <c:pt idx="833">
                  <c:v>-18237.318794274983</c:v>
                </c:pt>
                <c:pt idx="834">
                  <c:v>-18218.355044873846</c:v>
                </c:pt>
                <c:pt idx="835">
                  <c:v>-18199.461631764872</c:v>
                </c:pt>
                <c:pt idx="836">
                  <c:v>-18180.639300827665</c:v>
                </c:pt>
                <c:pt idx="837">
                  <c:v>-18161.888795135612</c:v>
                </c:pt>
                <c:pt idx="838">
                  <c:v>-18143.210854926579</c:v>
                </c:pt>
                <c:pt idx="839">
                  <c:v>-18124.606217573662</c:v>
                </c:pt>
                <c:pt idx="840">
                  <c:v>-18106.075617556085</c:v>
                </c:pt>
                <c:pt idx="841">
                  <c:v>-18087.619786430208</c:v>
                </c:pt>
                <c:pt idx="842">
                  <c:v>-18069.239452800644</c:v>
                </c:pt>
                <c:pt idx="843">
                  <c:v>-18050.935342291494</c:v>
                </c:pt>
                <c:pt idx="844">
                  <c:v>-18032.708177517696</c:v>
                </c:pt>
                <c:pt idx="845">
                  <c:v>-18014.558678056506</c:v>
                </c:pt>
                <c:pt idx="846">
                  <c:v>-17996.487560419086</c:v>
                </c:pt>
                <c:pt idx="847">
                  <c:v>-17978.495538022216</c:v>
                </c:pt>
                <c:pt idx="848">
                  <c:v>-17960.583321160138</c:v>
                </c:pt>
                <c:pt idx="849">
                  <c:v>-17942.751616976497</c:v>
                </c:pt>
                <c:pt idx="850">
                  <c:v>-17925.001129436449</c:v>
                </c:pt>
                <c:pt idx="851">
                  <c:v>-17907.33255929884</c:v>
                </c:pt>
                <c:pt idx="852">
                  <c:v>-17889.74660408857</c:v>
                </c:pt>
                <c:pt idx="853">
                  <c:v>-17872.243958069037</c:v>
                </c:pt>
                <c:pt idx="854">
                  <c:v>-17854.825312214736</c:v>
                </c:pt>
                <c:pt idx="855">
                  <c:v>-17837.491354183985</c:v>
                </c:pt>
                <c:pt idx="856">
                  <c:v>-17820.242768291762</c:v>
                </c:pt>
                <c:pt idx="857">
                  <c:v>-17803.080235482706</c:v>
                </c:pt>
                <c:pt idx="858">
                  <c:v>-17786.004433304221</c:v>
                </c:pt>
                <c:pt idx="859">
                  <c:v>-17769.016035879744</c:v>
                </c:pt>
                <c:pt idx="860">
                  <c:v>-17752.115713882111</c:v>
                </c:pt>
                <c:pt idx="861">
                  <c:v>-17735.304134507103</c:v>
                </c:pt>
                <c:pt idx="862">
                  <c:v>-17718.581961447082</c:v>
                </c:pt>
                <c:pt idx="863">
                  <c:v>-17701.949854864812</c:v>
                </c:pt>
                <c:pt idx="864">
                  <c:v>-17685.408471367376</c:v>
                </c:pt>
                <c:pt idx="865">
                  <c:v>-17668.958463980278</c:v>
                </c:pt>
                <c:pt idx="866">
                  <c:v>-17652.600482121637</c:v>
                </c:pt>
                <c:pt idx="867">
                  <c:v>-17636.335171576575</c:v>
                </c:pt>
                <c:pt idx="868">
                  <c:v>-17620.163174471691</c:v>
                </c:pt>
                <c:pt idx="869">
                  <c:v>-17604.085129249746</c:v>
                </c:pt>
                <c:pt idx="870">
                  <c:v>-17588.101670644439</c:v>
                </c:pt>
                <c:pt idx="871">
                  <c:v>-17572.213429655341</c:v>
                </c:pt>
                <c:pt idx="872">
                  <c:v>-17556.421033523005</c:v>
                </c:pt>
                <c:pt idx="873">
                  <c:v>-17540.725105704187</c:v>
                </c:pt>
                <c:pt idx="874">
                  <c:v>-17525.126265847241</c:v>
                </c:pt>
                <c:pt idx="875">
                  <c:v>-17509.625129767661</c:v>
                </c:pt>
                <c:pt idx="876">
                  <c:v>-17494.222309423749</c:v>
                </c:pt>
                <c:pt idx="877">
                  <c:v>-17478.918412892486</c:v>
                </c:pt>
                <c:pt idx="878">
                  <c:v>-17463.714044345495</c:v>
                </c:pt>
                <c:pt idx="879">
                  <c:v>-17448.609804025218</c:v>
                </c:pt>
                <c:pt idx="880">
                  <c:v>-17433.606288221199</c:v>
                </c:pt>
                <c:pt idx="881">
                  <c:v>-17418.704089246548</c:v>
                </c:pt>
                <c:pt idx="882">
                  <c:v>-17403.903795414572</c:v>
                </c:pt>
                <c:pt idx="883">
                  <c:v>-17389.205991015522</c:v>
                </c:pt>
                <c:pt idx="884">
                  <c:v>-17374.611256293549</c:v>
                </c:pt>
                <c:pt idx="885">
                  <c:v>-17360.120167423793</c:v>
                </c:pt>
                <c:pt idx="886">
                  <c:v>-17345.73329648963</c:v>
                </c:pt>
                <c:pt idx="887">
                  <c:v>-17331.451211460088</c:v>
                </c:pt>
                <c:pt idx="888">
                  <c:v>-17317.274476167433</c:v>
                </c:pt>
                <c:pt idx="889">
                  <c:v>-17303.203650284893</c:v>
                </c:pt>
                <c:pt idx="890">
                  <c:v>-17289.239289304587</c:v>
                </c:pt>
                <c:pt idx="891">
                  <c:v>-17275.381944515575</c:v>
                </c:pt>
                <c:pt idx="892">
                  <c:v>-17261.632162982096</c:v>
                </c:pt>
                <c:pt idx="893">
                  <c:v>-17247.990487521987</c:v>
                </c:pt>
                <c:pt idx="894">
                  <c:v>-17234.457456685239</c:v>
                </c:pt>
                <c:pt idx="895">
                  <c:v>-17221.033604732729</c:v>
                </c:pt>
                <c:pt idx="896">
                  <c:v>-17207.719461615154</c:v>
                </c:pt>
                <c:pt idx="897">
                  <c:v>-17194.515552952085</c:v>
                </c:pt>
                <c:pt idx="898">
                  <c:v>-17181.422400011226</c:v>
                </c:pt>
                <c:pt idx="899">
                  <c:v>-17168.440519687836</c:v>
                </c:pt>
                <c:pt idx="900">
                  <c:v>-17155.570424484322</c:v>
                </c:pt>
                <c:pt idx="901">
                  <c:v>-17142.812622490008</c:v>
                </c:pt>
                <c:pt idx="902">
                  <c:v>-17130.167617361069</c:v>
                </c:pt>
                <c:pt idx="903">
                  <c:v>-17117.635908300654</c:v>
                </c:pt>
                <c:pt idx="904">
                  <c:v>-17105.217990039182</c:v>
                </c:pt>
                <c:pt idx="905">
                  <c:v>-17092.914352814805</c:v>
                </c:pt>
                <c:pt idx="906">
                  <c:v>-17080.72548235405</c:v>
                </c:pt>
                <c:pt idx="907">
                  <c:v>-17068.651859852653</c:v>
                </c:pt>
                <c:pt idx="908">
                  <c:v>-17056.693961956553</c:v>
                </c:pt>
                <c:pt idx="909">
                  <c:v>-17044.852260743093</c:v>
                </c:pt>
                <c:pt idx="910">
                  <c:v>-17033.127223702355</c:v>
                </c:pt>
                <c:pt idx="911">
                  <c:v>-17021.519313718723</c:v>
                </c:pt>
                <c:pt idx="912">
                  <c:v>-17010.028989052611</c:v>
                </c:pt>
                <c:pt idx="913">
                  <c:v>-16998.656703322362</c:v>
                </c:pt>
                <c:pt idx="914">
                  <c:v>-16987.402905486339</c:v>
                </c:pt>
                <c:pt idx="915">
                  <c:v>-16976.26803982522</c:v>
                </c:pt>
                <c:pt idx="916">
                  <c:v>-16965.252545924424</c:v>
                </c:pt>
                <c:pt idx="917">
                  <c:v>-16954.3568586568</c:v>
                </c:pt>
                <c:pt idx="918">
                  <c:v>-16943.581408165417</c:v>
                </c:pt>
                <c:pt idx="919">
                  <c:v>-16932.926619846614</c:v>
                </c:pt>
                <c:pt idx="920">
                  <c:v>-16922.392914333192</c:v>
                </c:pt>
                <c:pt idx="921">
                  <c:v>-16911.9807074778</c:v>
                </c:pt>
                <c:pt idx="922">
                  <c:v>-16901.690410336541</c:v>
                </c:pt>
                <c:pt idx="923">
                  <c:v>-16891.522429152727</c:v>
                </c:pt>
                <c:pt idx="924">
                  <c:v>-16881.477165340846</c:v>
                </c:pt>
                <c:pt idx="925">
                  <c:v>-16871.555015470709</c:v>
                </c:pt>
                <c:pt idx="926">
                  <c:v>-16861.756371251806</c:v>
                </c:pt>
                <c:pt idx="927">
                  <c:v>-16852.08161951783</c:v>
                </c:pt>
                <c:pt idx="928">
                  <c:v>-16842.531142211417</c:v>
                </c:pt>
                <c:pt idx="929">
                  <c:v>-16833.105316369059</c:v>
                </c:pt>
                <c:pt idx="930">
                  <c:v>-16823.804514106218</c:v>
                </c:pt>
                <c:pt idx="931">
                  <c:v>-16814.629102602641</c:v>
                </c:pt>
                <c:pt idx="932">
                  <c:v>-16805.579444087864</c:v>
                </c:pt>
                <c:pt idx="933">
                  <c:v>-16796.655895826912</c:v>
                </c:pt>
                <c:pt idx="934">
                  <c:v>-16787.858810106187</c:v>
                </c:pt>
                <c:pt idx="935">
                  <c:v>-16779.188534219575</c:v>
                </c:pt>
                <c:pt idx="936">
                  <c:v>-16770.645410454716</c:v>
                </c:pt>
                <c:pt idx="937">
                  <c:v>-16762.229776079515</c:v>
                </c:pt>
                <c:pt idx="938">
                  <c:v>-16753.941963328802</c:v>
                </c:pt>
                <c:pt idx="939">
                  <c:v>-16745.782299391234</c:v>
                </c:pt>
                <c:pt idx="940">
                  <c:v>-16737.751106396376</c:v>
                </c:pt>
                <c:pt idx="941">
                  <c:v>-16729.84870140197</c:v>
                </c:pt>
                <c:pt idx="942">
                  <c:v>-16722.075396381439</c:v>
                </c:pt>
                <c:pt idx="943">
                  <c:v>-16714.43149821155</c:v>
                </c:pt>
                <c:pt idx="944">
                  <c:v>-16706.917308660319</c:v>
                </c:pt>
                <c:pt idx="945">
                  <c:v>-16699.533124375081</c:v>
                </c:pt>
                <c:pt idx="946">
                  <c:v>-16692.279236870789</c:v>
                </c:pt>
                <c:pt idx="947">
                  <c:v>-16685.155932518501</c:v>
                </c:pt>
                <c:pt idx="948">
                  <c:v>-16678.16349253407</c:v>
                </c:pt>
                <c:pt idx="949">
                  <c:v>-16671.302192967065</c:v>
                </c:pt>
                <c:pt idx="950">
                  <c:v>-16664.572304689835</c:v>
                </c:pt>
                <c:pt idx="951">
                  <c:v>-16657.974093386849</c:v>
                </c:pt>
                <c:pt idx="952">
                  <c:v>-16651.507819544189</c:v>
                </c:pt>
                <c:pt idx="953">
                  <c:v>-16645.17373843928</c:v>
                </c:pt>
                <c:pt idx="954">
                  <c:v>-16638.972100130792</c:v>
                </c:pt>
                <c:pt idx="955">
                  <c:v>-16632.90314944879</c:v>
                </c:pt>
                <c:pt idx="956">
                  <c:v>-16626.967125985055</c:v>
                </c:pt>
                <c:pt idx="957">
                  <c:v>-16621.164264083629</c:v>
                </c:pt>
                <c:pt idx="958">
                  <c:v>-16615.494792831563</c:v>
                </c:pt>
                <c:pt idx="959">
                  <c:v>-16609.958936049876</c:v>
                </c:pt>
                <c:pt idx="960">
                  <c:v>-16604.556912284712</c:v>
                </c:pt>
                <c:pt idx="961">
                  <c:v>-16599.288934798722</c:v>
                </c:pt>
                <c:pt idx="962">
                  <c:v>-16594.155211562636</c:v>
                </c:pt>
                <c:pt idx="963">
                  <c:v>-16589.155945247057</c:v>
                </c:pt>
                <c:pt idx="964">
                  <c:v>-16584.29133321446</c:v>
                </c:pt>
                <c:pt idx="965">
                  <c:v>-16579.561567511399</c:v>
                </c:pt>
                <c:pt idx="966">
                  <c:v>-16574.966834860919</c:v>
                </c:pt>
                <c:pt idx="967">
                  <c:v>-16570.507316655207</c:v>
                </c:pt>
                <c:pt idx="968">
                  <c:v>-16566.183188948398</c:v>
                </c:pt>
                <c:pt idx="969">
                  <c:v>-16561.994622449656</c:v>
                </c:pt>
                <c:pt idx="970">
                  <c:v>-16557.941782516409</c:v>
                </c:pt>
                <c:pt idx="971">
                  <c:v>-16554.024829147842</c:v>
                </c:pt>
                <c:pt idx="972">
                  <c:v>-16550.243916978568</c:v>
                </c:pt>
                <c:pt idx="973">
                  <c:v>-16546.59919527252</c:v>
                </c:pt>
                <c:pt idx="974">
                  <c:v>-16543.090807917073</c:v>
                </c:pt>
                <c:pt idx="975">
                  <c:v>-16539.718893417354</c:v>
                </c:pt>
                <c:pt idx="976">
                  <c:v>-16536.483584890775</c:v>
                </c:pt>
                <c:pt idx="977">
                  <c:v>-16533.385010061771</c:v>
                </c:pt>
                <c:pt idx="978">
                  <c:v>-16530.423291256775</c:v>
                </c:pt>
                <c:pt idx="979">
                  <c:v>-16527.598545399374</c:v>
                </c:pt>
                <c:pt idx="980">
                  <c:v>-16524.910884005698</c:v>
                </c:pt>
                <c:pt idx="981">
                  <c:v>-16522.360413180013</c:v>
                </c:pt>
                <c:pt idx="982">
                  <c:v>-16519.947233610543</c:v>
                </c:pt>
                <c:pt idx="983">
                  <c:v>-16517.671440565486</c:v>
                </c:pt>
                <c:pt idx="984">
                  <c:v>-16515.533123889254</c:v>
                </c:pt>
                <c:pt idx="985">
                  <c:v>-16513.532367998931</c:v>
                </c:pt>
                <c:pt idx="986">
                  <c:v>-16511.669251880925</c:v>
                </c:pt>
                <c:pt idx="987">
                  <c:v>-16509.943849087882</c:v>
                </c:pt>
                <c:pt idx="988">
                  <c:v>-16508.356227735738</c:v>
                </c:pt>
                <c:pt idx="989">
                  <c:v>-16506.906450501076</c:v>
                </c:pt>
                <c:pt idx="990">
                  <c:v>-16505.594574618608</c:v>
                </c:pt>
                <c:pt idx="991">
                  <c:v>-16504.420651878958</c:v>
                </c:pt>
                <c:pt idx="992">
                  <c:v>-16503.384728626581</c:v>
                </c:pt>
                <c:pt idx="993">
                  <c:v>-16502.486845757951</c:v>
                </c:pt>
                <c:pt idx="994">
                  <c:v>-16501.727038719953</c:v>
                </c:pt>
                <c:pt idx="995">
                  <c:v>-16501.105337508459</c:v>
                </c:pt>
                <c:pt idx="996">
                  <c:v>-16500.621766667176</c:v>
                </c:pt>
                <c:pt idx="997">
                  <c:v>-16500.276345286649</c:v>
                </c:pt>
                <c:pt idx="998">
                  <c:v>-16500.069087003521</c:v>
                </c:pt>
                <c:pt idx="999">
                  <c:v>-16500</c:v>
                </c:pt>
              </c:numCache>
            </c:numRef>
          </c:xVal>
          <c:yVal>
            <c:numRef>
              <c:f>Feuil1!$W$12:$W$1011</c:f>
              <c:numCache>
                <c:formatCode>General</c:formatCode>
                <c:ptCount val="1000"/>
                <c:pt idx="0">
                  <c:v>10021.991003879457</c:v>
                </c:pt>
                <c:pt idx="1">
                  <c:v>10043.981139591735</c:v>
                </c:pt>
                <c:pt idx="2">
                  <c:v>10065.969539003929</c:v>
                </c:pt>
                <c:pt idx="3">
                  <c:v>10087.955334051681</c:v>
                </c:pt>
                <c:pt idx="4">
                  <c:v>10109.937656773449</c:v>
                </c:pt>
                <c:pt idx="5">
                  <c:v>10131.91563934477</c:v>
                </c:pt>
                <c:pt idx="6">
                  <c:v>10153.888414112527</c:v>
                </c:pt>
                <c:pt idx="7">
                  <c:v>10175.855113629194</c:v>
                </c:pt>
                <c:pt idx="8">
                  <c:v>10197.814870687085</c:v>
                </c:pt>
                <c:pt idx="9">
                  <c:v>10219.766818352597</c:v>
                </c:pt>
                <c:pt idx="10">
                  <c:v>10241.710090000421</c:v>
                </c:pt>
                <c:pt idx="11">
                  <c:v>10263.643819347764</c:v>
                </c:pt>
                <c:pt idx="12">
                  <c:v>10285.567140488551</c:v>
                </c:pt>
                <c:pt idx="13">
                  <c:v>10307.479187927602</c:v>
                </c:pt>
                <c:pt idx="14">
                  <c:v>10329.379096614801</c:v>
                </c:pt>
                <c:pt idx="15">
                  <c:v>10351.266001979253</c:v>
                </c:pt>
                <c:pt idx="16">
                  <c:v>10373.139039963409</c:v>
                </c:pt>
                <c:pt idx="17">
                  <c:v>10394.997347057186</c:v>
                </c:pt>
                <c:pt idx="18">
                  <c:v>10416.840060332044</c:v>
                </c:pt>
                <c:pt idx="19">
                  <c:v>10438.666317475065</c:v>
                </c:pt>
                <c:pt idx="20">
                  <c:v>10460.475256822989</c:v>
                </c:pt>
                <c:pt idx="21">
                  <c:v>10482.266017396234</c:v>
                </c:pt>
                <c:pt idx="22">
                  <c:v>10504.037738932882</c:v>
                </c:pt>
                <c:pt idx="23">
                  <c:v>10525.789561922649</c:v>
                </c:pt>
                <c:pt idx="24">
                  <c:v>10547.520627640808</c:v>
                </c:pt>
                <c:pt idx="25">
                  <c:v>10569.230078182092</c:v>
                </c:pt>
                <c:pt idx="26">
                  <c:v>10590.917056494569</c:v>
                </c:pt>
                <c:pt idx="27">
                  <c:v>10612.580706413466</c:v>
                </c:pt>
                <c:pt idx="28">
                  <c:v>10634.220172694981</c:v>
                </c:pt>
                <c:pt idx="29">
                  <c:v>10655.834601050035</c:v>
                </c:pt>
                <c:pt idx="30">
                  <c:v>10677.42313817801</c:v>
                </c:pt>
                <c:pt idx="31">
                  <c:v>10698.984931800424</c:v>
                </c:pt>
                <c:pt idx="32">
                  <c:v>10720.519130694585</c:v>
                </c:pt>
                <c:pt idx="33">
                  <c:v>10742.024884727191</c:v>
                </c:pt>
                <c:pt idx="34">
                  <c:v>10763.501344887898</c:v>
                </c:pt>
                <c:pt idx="35">
                  <c:v>10784.947663322833</c:v>
                </c:pt>
                <c:pt idx="36">
                  <c:v>10806.362993368068</c:v>
                </c:pt>
                <c:pt idx="37">
                  <c:v>10827.746489583036</c:v>
                </c:pt>
                <c:pt idx="38">
                  <c:v>10849.097307783926</c:v>
                </c:pt>
                <c:pt idx="39">
                  <c:v>10870.414605076992</c:v>
                </c:pt>
                <c:pt idx="40">
                  <c:v>10891.697539891837</c:v>
                </c:pt>
                <c:pt idx="41">
                  <c:v>10912.945272014638</c:v>
                </c:pt>
                <c:pt idx="42">
                  <c:v>10934.156962621315</c:v>
                </c:pt>
                <c:pt idx="43">
                  <c:v>10955.331774310638</c:v>
                </c:pt>
                <c:pt idx="44">
                  <c:v>10976.468871137302</c:v>
                </c:pt>
                <c:pt idx="45">
                  <c:v>10997.567418644916</c:v>
                </c:pt>
                <c:pt idx="46">
                  <c:v>11018.626583898951</c:v>
                </c:pt>
                <c:pt idx="47">
                  <c:v>11039.645535519621</c:v>
                </c:pt>
                <c:pt idx="48">
                  <c:v>11060.623443714709</c:v>
                </c:pt>
                <c:pt idx="49">
                  <c:v>11081.559480312315</c:v>
                </c:pt>
                <c:pt idx="50">
                  <c:v>11102.452818793567</c:v>
                </c:pt>
                <c:pt idx="51">
                  <c:v>11123.302634325233</c:v>
                </c:pt>
                <c:pt idx="52">
                  <c:v>11144.108103792298</c:v>
                </c:pt>
                <c:pt idx="53">
                  <c:v>11164.868405830453</c:v>
                </c:pt>
                <c:pt idx="54">
                  <c:v>11185.58272085852</c:v>
                </c:pt>
                <c:pt idx="55">
                  <c:v>11206.250231110809</c:v>
                </c:pt>
                <c:pt idx="56">
                  <c:v>11226.870120669406</c:v>
                </c:pt>
                <c:pt idx="57">
                  <c:v>11247.441575496377</c:v>
                </c:pt>
                <c:pt idx="58">
                  <c:v>11267.96378346591</c:v>
                </c:pt>
                <c:pt idx="59">
                  <c:v>11288.435934396373</c:v>
                </c:pt>
                <c:pt idx="60">
                  <c:v>11308.857220082302</c:v>
                </c:pt>
                <c:pt idx="61">
                  <c:v>11329.226834326304</c:v>
                </c:pt>
                <c:pt idx="62">
                  <c:v>11349.543972970887</c:v>
                </c:pt>
                <c:pt idx="63">
                  <c:v>11369.807833930208</c:v>
                </c:pt>
                <c:pt idx="64">
                  <c:v>11390.017617221733</c:v>
                </c:pt>
                <c:pt idx="65">
                  <c:v>11410.172524997819</c:v>
                </c:pt>
                <c:pt idx="66">
                  <c:v>11430.271761577222</c:v>
                </c:pt>
                <c:pt idx="67">
                  <c:v>11450.314533476494</c:v>
                </c:pt>
                <c:pt idx="68">
                  <c:v>11470.300049441321</c:v>
                </c:pt>
                <c:pt idx="69">
                  <c:v>11490.227520477754</c:v>
                </c:pt>
                <c:pt idx="70">
                  <c:v>11510.096159883356</c:v>
                </c:pt>
                <c:pt idx="71">
                  <c:v>11529.905183278264</c:v>
                </c:pt>
                <c:pt idx="72">
                  <c:v>11549.653808636154</c:v>
                </c:pt>
                <c:pt idx="73">
                  <c:v>11569.341256315112</c:v>
                </c:pt>
                <c:pt idx="74">
                  <c:v>11588.966749088413</c:v>
                </c:pt>
                <c:pt idx="75">
                  <c:v>11608.529512175208</c:v>
                </c:pt>
                <c:pt idx="76">
                  <c:v>11628.028773271104</c:v>
                </c:pt>
                <c:pt idx="77">
                  <c:v>11647.463762578664</c:v>
                </c:pt>
                <c:pt idx="78">
                  <c:v>11666.833712837786</c:v>
                </c:pt>
                <c:pt idx="79">
                  <c:v>11686.137859356004</c:v>
                </c:pt>
                <c:pt idx="80">
                  <c:v>11705.375440038662</c:v>
                </c:pt>
                <c:pt idx="81">
                  <c:v>11724.545695419019</c:v>
                </c:pt>
                <c:pt idx="82">
                  <c:v>11743.647868688218</c:v>
                </c:pt>
                <c:pt idx="83">
                  <c:v>11762.681205725163</c:v>
                </c:pt>
                <c:pt idx="84">
                  <c:v>11781.644955126299</c:v>
                </c:pt>
                <c:pt idx="85">
                  <c:v>11800.538368235273</c:v>
                </c:pt>
                <c:pt idx="86">
                  <c:v>11819.360699172485</c:v>
                </c:pt>
                <c:pt idx="87">
                  <c:v>11838.111204864535</c:v>
                </c:pt>
                <c:pt idx="88">
                  <c:v>11856.78914507357</c:v>
                </c:pt>
                <c:pt idx="89">
                  <c:v>11875.39378242649</c:v>
                </c:pt>
                <c:pt idx="90">
                  <c:v>11893.924382444067</c:v>
                </c:pt>
                <c:pt idx="91">
                  <c:v>11912.380213569944</c:v>
                </c:pt>
                <c:pt idx="92">
                  <c:v>11930.760547199508</c:v>
                </c:pt>
                <c:pt idx="93">
                  <c:v>11949.064657708659</c:v>
                </c:pt>
                <c:pt idx="94">
                  <c:v>11967.291822482459</c:v>
                </c:pt>
                <c:pt idx="95">
                  <c:v>11985.44132194365</c:v>
                </c:pt>
                <c:pt idx="96">
                  <c:v>12003.512439581071</c:v>
                </c:pt>
                <c:pt idx="97">
                  <c:v>12021.504461977938</c:v>
                </c:pt>
                <c:pt idx="98">
                  <c:v>12039.416678840018</c:v>
                </c:pt>
                <c:pt idx="99">
                  <c:v>12057.24838302366</c:v>
                </c:pt>
                <c:pt idx="100">
                  <c:v>12074.998870563712</c:v>
                </c:pt>
                <c:pt idx="101">
                  <c:v>12092.66744070132</c:v>
                </c:pt>
                <c:pt idx="102">
                  <c:v>12110.25339591159</c:v>
                </c:pt>
                <c:pt idx="103">
                  <c:v>12127.756041931123</c:v>
                </c:pt>
                <c:pt idx="104">
                  <c:v>12145.17468778542</c:v>
                </c:pt>
                <c:pt idx="105">
                  <c:v>12162.508645816173</c:v>
                </c:pt>
                <c:pt idx="106">
                  <c:v>12179.757231708398</c:v>
                </c:pt>
                <c:pt idx="107">
                  <c:v>12196.919764517455</c:v>
                </c:pt>
                <c:pt idx="108">
                  <c:v>12213.995566695939</c:v>
                </c:pt>
                <c:pt idx="109">
                  <c:v>12230.983964120418</c:v>
                </c:pt>
                <c:pt idx="110">
                  <c:v>12247.884286118049</c:v>
                </c:pt>
                <c:pt idx="111">
                  <c:v>12264.69586549306</c:v>
                </c:pt>
                <c:pt idx="112">
                  <c:v>12281.41803855308</c:v>
                </c:pt>
                <c:pt idx="113">
                  <c:v>12298.050145135352</c:v>
                </c:pt>
                <c:pt idx="114">
                  <c:v>12314.591528632785</c:v>
                </c:pt>
                <c:pt idx="115">
                  <c:v>12331.041536019886</c:v>
                </c:pt>
                <c:pt idx="116">
                  <c:v>12347.399517878524</c:v>
                </c:pt>
                <c:pt idx="117">
                  <c:v>12363.664828423591</c:v>
                </c:pt>
                <c:pt idx="118">
                  <c:v>12379.836825528473</c:v>
                </c:pt>
                <c:pt idx="119">
                  <c:v>12395.914870750416</c:v>
                </c:pt>
                <c:pt idx="120">
                  <c:v>12411.898329355725</c:v>
                </c:pt>
                <c:pt idx="121">
                  <c:v>12427.786570344822</c:v>
                </c:pt>
                <c:pt idx="122">
                  <c:v>12443.57896647716</c:v>
                </c:pt>
                <c:pt idx="123">
                  <c:v>12459.274894295977</c:v>
                </c:pt>
                <c:pt idx="124">
                  <c:v>12474.873734152921</c:v>
                </c:pt>
                <c:pt idx="125">
                  <c:v>12490.374870232505</c:v>
                </c:pt>
                <c:pt idx="126">
                  <c:v>12505.777690576415</c:v>
                </c:pt>
                <c:pt idx="127">
                  <c:v>12521.081587107681</c:v>
                </c:pt>
                <c:pt idx="128">
                  <c:v>12536.285955654668</c:v>
                </c:pt>
                <c:pt idx="129">
                  <c:v>12551.390195974946</c:v>
                </c:pt>
                <c:pt idx="130">
                  <c:v>12566.393711778966</c:v>
                </c:pt>
                <c:pt idx="131">
                  <c:v>12581.295910753615</c:v>
                </c:pt>
                <c:pt idx="132">
                  <c:v>12596.096204585594</c:v>
                </c:pt>
                <c:pt idx="133">
                  <c:v>12610.794008984643</c:v>
                </c:pt>
                <c:pt idx="134">
                  <c:v>12625.388743706615</c:v>
                </c:pt>
                <c:pt idx="135">
                  <c:v>12639.879832576371</c:v>
                </c:pt>
                <c:pt idx="136">
                  <c:v>12654.266703510533</c:v>
                </c:pt>
                <c:pt idx="137">
                  <c:v>12668.548788540074</c:v>
                </c:pt>
                <c:pt idx="138">
                  <c:v>12682.725523832731</c:v>
                </c:pt>
                <c:pt idx="139">
                  <c:v>12696.79634971527</c:v>
                </c:pt>
                <c:pt idx="140">
                  <c:v>12710.760710695575</c:v>
                </c:pt>
                <c:pt idx="141">
                  <c:v>12724.618055484589</c:v>
                </c:pt>
                <c:pt idx="142">
                  <c:v>12738.367837018066</c:v>
                </c:pt>
                <c:pt idx="143">
                  <c:v>12752.009512478173</c:v>
                </c:pt>
                <c:pt idx="144">
                  <c:v>12765.542543314923</c:v>
                </c:pt>
                <c:pt idx="145">
                  <c:v>12778.966395267431</c:v>
                </c:pt>
                <c:pt idx="146">
                  <c:v>12792.280538385006</c:v>
                </c:pt>
                <c:pt idx="147">
                  <c:v>12805.484447048075</c:v>
                </c:pt>
                <c:pt idx="148">
                  <c:v>12818.577599988934</c:v>
                </c:pt>
                <c:pt idx="149">
                  <c:v>12831.559480312324</c:v>
                </c:pt>
                <c:pt idx="150">
                  <c:v>12844.429575515836</c:v>
                </c:pt>
                <c:pt idx="151">
                  <c:v>12857.187377510152</c:v>
                </c:pt>
                <c:pt idx="152">
                  <c:v>12869.832382639092</c:v>
                </c:pt>
                <c:pt idx="153">
                  <c:v>12882.364091699503</c:v>
                </c:pt>
                <c:pt idx="154">
                  <c:v>12894.782009960974</c:v>
                </c:pt>
                <c:pt idx="155">
                  <c:v>12907.085647185351</c:v>
                </c:pt>
                <c:pt idx="156">
                  <c:v>12919.274517646107</c:v>
                </c:pt>
                <c:pt idx="157">
                  <c:v>12931.348140147504</c:v>
                </c:pt>
                <c:pt idx="158">
                  <c:v>12943.3060380436</c:v>
                </c:pt>
                <c:pt idx="159">
                  <c:v>12955.14773925706</c:v>
                </c:pt>
                <c:pt idx="160">
                  <c:v>12966.8727762978</c:v>
                </c:pt>
                <c:pt idx="161">
                  <c:v>12978.480686281429</c:v>
                </c:pt>
                <c:pt idx="162">
                  <c:v>12989.971010947542</c:v>
                </c:pt>
                <c:pt idx="163">
                  <c:v>13001.343296677791</c:v>
                </c:pt>
                <c:pt idx="164">
                  <c:v>13012.597094513811</c:v>
                </c:pt>
                <c:pt idx="165">
                  <c:v>13023.731960174931</c:v>
                </c:pt>
                <c:pt idx="166">
                  <c:v>13034.747454075723</c:v>
                </c:pt>
                <c:pt idx="167">
                  <c:v>13045.643141343347</c:v>
                </c:pt>
                <c:pt idx="168">
                  <c:v>13056.418591834728</c:v>
                </c:pt>
                <c:pt idx="169">
                  <c:v>13067.07338015353</c:v>
                </c:pt>
                <c:pt idx="170">
                  <c:v>13077.607085666954</c:v>
                </c:pt>
                <c:pt idx="171">
                  <c:v>13088.019292522344</c:v>
                </c:pt>
                <c:pt idx="172">
                  <c:v>13098.3095896636</c:v>
                </c:pt>
                <c:pt idx="173">
                  <c:v>13108.477570847414</c:v>
                </c:pt>
                <c:pt idx="174">
                  <c:v>13118.522834659296</c:v>
                </c:pt>
                <c:pt idx="175">
                  <c:v>13128.444984529431</c:v>
                </c:pt>
                <c:pt idx="176">
                  <c:v>13138.243628748332</c:v>
                </c:pt>
                <c:pt idx="177">
                  <c:v>13147.918380482306</c:v>
                </c:pt>
                <c:pt idx="178">
                  <c:v>13157.468857788717</c:v>
                </c:pt>
                <c:pt idx="179">
                  <c:v>13166.894683631075</c:v>
                </c:pt>
                <c:pt idx="180">
                  <c:v>13176.195485893917</c:v>
                </c:pt>
                <c:pt idx="181">
                  <c:v>13185.370897397494</c:v>
                </c:pt>
                <c:pt idx="182">
                  <c:v>13194.420555912267</c:v>
                </c:pt>
                <c:pt idx="183">
                  <c:v>13203.344104173219</c:v>
                </c:pt>
                <c:pt idx="184">
                  <c:v>13212.14118989394</c:v>
                </c:pt>
                <c:pt idx="185">
                  <c:v>13220.811465780553</c:v>
                </c:pt>
                <c:pt idx="186">
                  <c:v>13229.35458954541</c:v>
                </c:pt>
                <c:pt idx="187">
                  <c:v>13237.77022392061</c:v>
                </c:pt>
                <c:pt idx="188">
                  <c:v>13246.058036671322</c:v>
                </c:pt>
                <c:pt idx="189">
                  <c:v>13254.217700608888</c:v>
                </c:pt>
                <c:pt idx="190">
                  <c:v>13262.248893603746</c:v>
                </c:pt>
                <c:pt idx="191">
                  <c:v>13270.15129859815</c:v>
                </c:pt>
                <c:pt idx="192">
                  <c:v>13277.924603618681</c:v>
                </c:pt>
                <c:pt idx="193">
                  <c:v>13285.568501788566</c:v>
                </c:pt>
                <c:pt idx="194">
                  <c:v>13293.082691339796</c:v>
                </c:pt>
                <c:pt idx="195">
                  <c:v>13300.466875625032</c:v>
                </c:pt>
                <c:pt idx="196">
                  <c:v>13307.720763129324</c:v>
                </c:pt>
                <c:pt idx="197">
                  <c:v>13314.844067481612</c:v>
                </c:pt>
                <c:pt idx="198">
                  <c:v>13321.836507466038</c:v>
                </c:pt>
                <c:pt idx="199">
                  <c:v>13328.697807033044</c:v>
                </c:pt>
                <c:pt idx="200">
                  <c:v>13335.427695310273</c:v>
                </c:pt>
                <c:pt idx="201">
                  <c:v>13342.025906613257</c:v>
                </c:pt>
                <c:pt idx="202">
                  <c:v>13348.492180455913</c:v>
                </c:pt>
                <c:pt idx="203">
                  <c:v>13354.826261560822</c:v>
                </c:pt>
                <c:pt idx="204">
                  <c:v>13361.027899869307</c:v>
                </c:pt>
                <c:pt idx="205">
                  <c:v>13367.096850551306</c:v>
                </c:pt>
                <c:pt idx="206">
                  <c:v>13373.03287401504</c:v>
                </c:pt>
                <c:pt idx="207">
                  <c:v>13378.835735916466</c:v>
                </c:pt>
                <c:pt idx="208">
                  <c:v>13384.505207168528</c:v>
                </c:pt>
                <c:pt idx="209">
                  <c:v>13390.041063950215</c:v>
                </c:pt>
                <c:pt idx="210">
                  <c:v>13395.443087715375</c:v>
                </c:pt>
                <c:pt idx="211">
                  <c:v>13400.711065201365</c:v>
                </c:pt>
                <c:pt idx="212">
                  <c:v>13405.844788437449</c:v>
                </c:pt>
                <c:pt idx="213">
                  <c:v>13410.844054753026</c:v>
                </c:pt>
                <c:pt idx="214">
                  <c:v>13415.70866678562</c:v>
                </c:pt>
                <c:pt idx="215">
                  <c:v>13420.438432488681</c:v>
                </c:pt>
                <c:pt idx="216">
                  <c:v>13425.033165139157</c:v>
                </c:pt>
                <c:pt idx="217">
                  <c:v>13429.49268334487</c:v>
                </c:pt>
                <c:pt idx="218">
                  <c:v>13433.816811051674</c:v>
                </c:pt>
                <c:pt idx="219">
                  <c:v>13438.005377550415</c:v>
                </c:pt>
                <c:pt idx="220">
                  <c:v>13442.058217483658</c:v>
                </c:pt>
                <c:pt idx="221">
                  <c:v>13445.975170852224</c:v>
                </c:pt>
                <c:pt idx="222">
                  <c:v>13449.756083021497</c:v>
                </c:pt>
                <c:pt idx="223">
                  <c:v>13453.400804727542</c:v>
                </c:pt>
                <c:pt idx="224">
                  <c:v>13456.909192082985</c:v>
                </c:pt>
                <c:pt idx="225">
                  <c:v>13460.281106582703</c:v>
                </c:pt>
                <c:pt idx="226">
                  <c:v>13463.516415109283</c:v>
                </c:pt>
                <c:pt idx="227">
                  <c:v>13466.614989938284</c:v>
                </c:pt>
                <c:pt idx="228">
                  <c:v>13469.576708743276</c:v>
                </c:pt>
                <c:pt idx="229">
                  <c:v>13472.401454600677</c:v>
                </c:pt>
                <c:pt idx="230">
                  <c:v>13475.089115994351</c:v>
                </c:pt>
                <c:pt idx="231">
                  <c:v>13477.639586820032</c:v>
                </c:pt>
                <c:pt idx="232">
                  <c:v>13480.052766389499</c:v>
                </c:pt>
                <c:pt idx="233">
                  <c:v>13482.328559434554</c:v>
                </c:pt>
                <c:pt idx="234">
                  <c:v>13484.466876110782</c:v>
                </c:pt>
                <c:pt idx="235">
                  <c:v>13486.467632001106</c:v>
                </c:pt>
                <c:pt idx="236">
                  <c:v>13488.330748119108</c:v>
                </c:pt>
                <c:pt idx="237">
                  <c:v>13490.056150912151</c:v>
                </c:pt>
                <c:pt idx="238">
                  <c:v>13491.643772264291</c:v>
                </c:pt>
                <c:pt idx="239">
                  <c:v>13493.093549498954</c:v>
                </c:pt>
                <c:pt idx="240">
                  <c:v>13494.405425381414</c:v>
                </c:pt>
                <c:pt idx="241">
                  <c:v>13495.579348121062</c:v>
                </c:pt>
                <c:pt idx="242">
                  <c:v>13496.615271373437</c:v>
                </c:pt>
                <c:pt idx="243">
                  <c:v>13497.513154242064</c:v>
                </c:pt>
                <c:pt idx="244">
                  <c:v>13498.272961280061</c:v>
                </c:pt>
                <c:pt idx="245">
                  <c:v>13498.894662491552</c:v>
                </c:pt>
                <c:pt idx="246">
                  <c:v>13499.378233332833</c:v>
                </c:pt>
                <c:pt idx="247">
                  <c:v>13499.723654713356</c:v>
                </c:pt>
                <c:pt idx="248">
                  <c:v>13499.93091299648</c:v>
                </c:pt>
                <c:pt idx="249">
                  <c:v>13500</c:v>
                </c:pt>
                <c:pt idx="250">
                  <c:v>13499.93091299648</c:v>
                </c:pt>
                <c:pt idx="251">
                  <c:v>13499.723654713356</c:v>
                </c:pt>
                <c:pt idx="252">
                  <c:v>13499.378233332831</c:v>
                </c:pt>
                <c:pt idx="253">
                  <c:v>13498.894662491548</c:v>
                </c:pt>
                <c:pt idx="254">
                  <c:v>13498.272961280059</c:v>
                </c:pt>
                <c:pt idx="255">
                  <c:v>13497.51315424206</c:v>
                </c:pt>
                <c:pt idx="256">
                  <c:v>13496.615271373435</c:v>
                </c:pt>
                <c:pt idx="257">
                  <c:v>13495.57934812106</c:v>
                </c:pt>
                <c:pt idx="258">
                  <c:v>13494.40542538141</c:v>
                </c:pt>
                <c:pt idx="259">
                  <c:v>13493.093549498948</c:v>
                </c:pt>
                <c:pt idx="260">
                  <c:v>13491.643772264286</c:v>
                </c:pt>
                <c:pt idx="261">
                  <c:v>13490.056150912147</c:v>
                </c:pt>
                <c:pt idx="262">
                  <c:v>13488.330748119102</c:v>
                </c:pt>
                <c:pt idx="263">
                  <c:v>13486.4676320011</c:v>
                </c:pt>
                <c:pt idx="264">
                  <c:v>13484.466876110777</c:v>
                </c:pt>
                <c:pt idx="265">
                  <c:v>13482.328559434547</c:v>
                </c:pt>
                <c:pt idx="266">
                  <c:v>13480.052766389492</c:v>
                </c:pt>
                <c:pt idx="267">
                  <c:v>13477.639586820025</c:v>
                </c:pt>
                <c:pt idx="268">
                  <c:v>13475.089115994344</c:v>
                </c:pt>
                <c:pt idx="269">
                  <c:v>13472.401454600667</c:v>
                </c:pt>
                <c:pt idx="270">
                  <c:v>13469.576708743269</c:v>
                </c:pt>
                <c:pt idx="271">
                  <c:v>13466.614989938274</c:v>
                </c:pt>
                <c:pt idx="272">
                  <c:v>13463.516415109272</c:v>
                </c:pt>
                <c:pt idx="273">
                  <c:v>13460.281106582694</c:v>
                </c:pt>
                <c:pt idx="274">
                  <c:v>13456.909192082976</c:v>
                </c:pt>
                <c:pt idx="275">
                  <c:v>13453.400804727533</c:v>
                </c:pt>
                <c:pt idx="276">
                  <c:v>13449.756083021486</c:v>
                </c:pt>
                <c:pt idx="277">
                  <c:v>13445.975170852213</c:v>
                </c:pt>
                <c:pt idx="278">
                  <c:v>13442.058217483647</c:v>
                </c:pt>
                <c:pt idx="279">
                  <c:v>13438.005377550404</c:v>
                </c:pt>
                <c:pt idx="280">
                  <c:v>13433.816811051662</c:v>
                </c:pt>
                <c:pt idx="281">
                  <c:v>13429.492683344857</c:v>
                </c:pt>
                <c:pt idx="282">
                  <c:v>13425.033165139144</c:v>
                </c:pt>
                <c:pt idx="283">
                  <c:v>13420.438432488671</c:v>
                </c:pt>
                <c:pt idx="284">
                  <c:v>13415.708666785607</c:v>
                </c:pt>
                <c:pt idx="285">
                  <c:v>13410.844054753012</c:v>
                </c:pt>
                <c:pt idx="286">
                  <c:v>13405.844788437435</c:v>
                </c:pt>
                <c:pt idx="287">
                  <c:v>13400.711065201351</c:v>
                </c:pt>
                <c:pt idx="288">
                  <c:v>13395.443087715361</c:v>
                </c:pt>
                <c:pt idx="289">
                  <c:v>13390.041063950199</c:v>
                </c:pt>
                <c:pt idx="290">
                  <c:v>13384.505207168513</c:v>
                </c:pt>
                <c:pt idx="291">
                  <c:v>13378.835735916447</c:v>
                </c:pt>
                <c:pt idx="292">
                  <c:v>13373.032874015023</c:v>
                </c:pt>
                <c:pt idx="293">
                  <c:v>13367.09685055129</c:v>
                </c:pt>
                <c:pt idx="294">
                  <c:v>13361.02789986929</c:v>
                </c:pt>
                <c:pt idx="295">
                  <c:v>13354.826261560804</c:v>
                </c:pt>
                <c:pt idx="296">
                  <c:v>13348.492180455894</c:v>
                </c:pt>
                <c:pt idx="297">
                  <c:v>13342.025906613238</c:v>
                </c:pt>
                <c:pt idx="298">
                  <c:v>13335.427695310253</c:v>
                </c:pt>
                <c:pt idx="299">
                  <c:v>13328.697807033026</c:v>
                </c:pt>
                <c:pt idx="300">
                  <c:v>13321.836507466018</c:v>
                </c:pt>
                <c:pt idx="301">
                  <c:v>13314.844067481592</c:v>
                </c:pt>
                <c:pt idx="302">
                  <c:v>13307.720763129304</c:v>
                </c:pt>
                <c:pt idx="303">
                  <c:v>13300.466875625012</c:v>
                </c:pt>
                <c:pt idx="304">
                  <c:v>13293.082691339776</c:v>
                </c:pt>
                <c:pt idx="305">
                  <c:v>13285.568501788544</c:v>
                </c:pt>
                <c:pt idx="306">
                  <c:v>13277.92460361866</c:v>
                </c:pt>
                <c:pt idx="307">
                  <c:v>13270.151298598128</c:v>
                </c:pt>
                <c:pt idx="308">
                  <c:v>13262.248893603723</c:v>
                </c:pt>
                <c:pt idx="309">
                  <c:v>13254.217700608864</c:v>
                </c:pt>
                <c:pt idx="310">
                  <c:v>13246.058036671298</c:v>
                </c:pt>
                <c:pt idx="311">
                  <c:v>13237.770223920586</c:v>
                </c:pt>
                <c:pt idx="312">
                  <c:v>13229.354589545386</c:v>
                </c:pt>
                <c:pt idx="313">
                  <c:v>13220.811465780529</c:v>
                </c:pt>
                <c:pt idx="314">
                  <c:v>13212.141189893917</c:v>
                </c:pt>
                <c:pt idx="315">
                  <c:v>13203.344104173195</c:v>
                </c:pt>
                <c:pt idx="316">
                  <c:v>13194.420555912242</c:v>
                </c:pt>
                <c:pt idx="317">
                  <c:v>13185.370897397466</c:v>
                </c:pt>
                <c:pt idx="318">
                  <c:v>13176.195485893892</c:v>
                </c:pt>
                <c:pt idx="319">
                  <c:v>13166.89468363105</c:v>
                </c:pt>
                <c:pt idx="320">
                  <c:v>13157.468857788692</c:v>
                </c:pt>
                <c:pt idx="321">
                  <c:v>13147.918380482279</c:v>
                </c:pt>
                <c:pt idx="322">
                  <c:v>13138.243628748305</c:v>
                </c:pt>
                <c:pt idx="323">
                  <c:v>13128.444984529404</c:v>
                </c:pt>
                <c:pt idx="324">
                  <c:v>13118.522834659267</c:v>
                </c:pt>
                <c:pt idx="325">
                  <c:v>13108.477570847384</c:v>
                </c:pt>
                <c:pt idx="326">
                  <c:v>13098.309589663571</c:v>
                </c:pt>
                <c:pt idx="327">
                  <c:v>13088.019292522315</c:v>
                </c:pt>
                <c:pt idx="328">
                  <c:v>13077.607085666925</c:v>
                </c:pt>
                <c:pt idx="329">
                  <c:v>13067.073380153501</c:v>
                </c:pt>
                <c:pt idx="330">
                  <c:v>13056.418591834699</c:v>
                </c:pt>
                <c:pt idx="331">
                  <c:v>13045.643141343317</c:v>
                </c:pt>
                <c:pt idx="332">
                  <c:v>13034.747454075692</c:v>
                </c:pt>
                <c:pt idx="333">
                  <c:v>13023.7319601749</c:v>
                </c:pt>
                <c:pt idx="334">
                  <c:v>13012.59709451378</c:v>
                </c:pt>
                <c:pt idx="335">
                  <c:v>13001.343296677758</c:v>
                </c:pt>
                <c:pt idx="336">
                  <c:v>12989.971010947509</c:v>
                </c:pt>
                <c:pt idx="337">
                  <c:v>12978.480686281397</c:v>
                </c:pt>
                <c:pt idx="338">
                  <c:v>12966.872776297765</c:v>
                </c:pt>
                <c:pt idx="339">
                  <c:v>12955.147739257027</c:v>
                </c:pt>
                <c:pt idx="340">
                  <c:v>12943.306038043565</c:v>
                </c:pt>
                <c:pt idx="341">
                  <c:v>12931.348140147469</c:v>
                </c:pt>
                <c:pt idx="342">
                  <c:v>12919.274517646072</c:v>
                </c:pt>
                <c:pt idx="343">
                  <c:v>12907.085647185317</c:v>
                </c:pt>
                <c:pt idx="344">
                  <c:v>12894.78200996094</c:v>
                </c:pt>
                <c:pt idx="345">
                  <c:v>12882.364091699468</c:v>
                </c:pt>
                <c:pt idx="346">
                  <c:v>12869.832382639055</c:v>
                </c:pt>
                <c:pt idx="347">
                  <c:v>12857.187377510116</c:v>
                </c:pt>
                <c:pt idx="348">
                  <c:v>12844.4295755158</c:v>
                </c:pt>
                <c:pt idx="349">
                  <c:v>12831.559480312288</c:v>
                </c:pt>
                <c:pt idx="350">
                  <c:v>12818.577599988897</c:v>
                </c:pt>
                <c:pt idx="351">
                  <c:v>12805.484447048038</c:v>
                </c:pt>
                <c:pt idx="352">
                  <c:v>12792.280538384968</c:v>
                </c:pt>
                <c:pt idx="353">
                  <c:v>12778.966395267393</c:v>
                </c:pt>
                <c:pt idx="354">
                  <c:v>12765.542543314885</c:v>
                </c:pt>
                <c:pt idx="355">
                  <c:v>12752.009512478135</c:v>
                </c:pt>
                <c:pt idx="356">
                  <c:v>12738.367837018028</c:v>
                </c:pt>
                <c:pt idx="357">
                  <c:v>12724.61805548455</c:v>
                </c:pt>
                <c:pt idx="358">
                  <c:v>12710.760710695537</c:v>
                </c:pt>
                <c:pt idx="359">
                  <c:v>12696.79634971523</c:v>
                </c:pt>
                <c:pt idx="360">
                  <c:v>12682.725523832691</c:v>
                </c:pt>
                <c:pt idx="361">
                  <c:v>12668.548788540034</c:v>
                </c:pt>
                <c:pt idx="362">
                  <c:v>12654.266703510493</c:v>
                </c:pt>
                <c:pt idx="363">
                  <c:v>12639.879832576329</c:v>
                </c:pt>
                <c:pt idx="364">
                  <c:v>12625.388743706575</c:v>
                </c:pt>
                <c:pt idx="365">
                  <c:v>12610.794008984602</c:v>
                </c:pt>
                <c:pt idx="366">
                  <c:v>12596.096204585552</c:v>
                </c:pt>
                <c:pt idx="367">
                  <c:v>12581.295910753573</c:v>
                </c:pt>
                <c:pt idx="368">
                  <c:v>12566.393711778925</c:v>
                </c:pt>
                <c:pt idx="369">
                  <c:v>12551.390195974904</c:v>
                </c:pt>
                <c:pt idx="370">
                  <c:v>12536.285955654626</c:v>
                </c:pt>
                <c:pt idx="371">
                  <c:v>12521.081587107637</c:v>
                </c:pt>
                <c:pt idx="372">
                  <c:v>12505.777690576371</c:v>
                </c:pt>
                <c:pt idx="373">
                  <c:v>12490.374870232461</c:v>
                </c:pt>
                <c:pt idx="374">
                  <c:v>12474.873734152878</c:v>
                </c:pt>
                <c:pt idx="375">
                  <c:v>12459.274894295933</c:v>
                </c:pt>
                <c:pt idx="376">
                  <c:v>12443.578966477115</c:v>
                </c:pt>
                <c:pt idx="377">
                  <c:v>12427.786570344779</c:v>
                </c:pt>
                <c:pt idx="378">
                  <c:v>12411.898329355679</c:v>
                </c:pt>
                <c:pt idx="379">
                  <c:v>12395.91487075037</c:v>
                </c:pt>
                <c:pt idx="380">
                  <c:v>12379.836825528426</c:v>
                </c:pt>
                <c:pt idx="381">
                  <c:v>12363.664828423545</c:v>
                </c:pt>
                <c:pt idx="382">
                  <c:v>12347.399517878479</c:v>
                </c:pt>
                <c:pt idx="383">
                  <c:v>12331.041536019839</c:v>
                </c:pt>
                <c:pt idx="384">
                  <c:v>12314.59152863274</c:v>
                </c:pt>
                <c:pt idx="385">
                  <c:v>12298.050145135305</c:v>
                </c:pt>
                <c:pt idx="386">
                  <c:v>12281.418038553033</c:v>
                </c:pt>
                <c:pt idx="387">
                  <c:v>12264.695865493013</c:v>
                </c:pt>
                <c:pt idx="388">
                  <c:v>12247.884286118002</c:v>
                </c:pt>
                <c:pt idx="389">
                  <c:v>12230.983964120371</c:v>
                </c:pt>
                <c:pt idx="390">
                  <c:v>12213.995566695892</c:v>
                </c:pt>
                <c:pt idx="391">
                  <c:v>12196.919764517406</c:v>
                </c:pt>
                <c:pt idx="392">
                  <c:v>12179.757231708349</c:v>
                </c:pt>
                <c:pt idx="393">
                  <c:v>12162.508645816124</c:v>
                </c:pt>
                <c:pt idx="394">
                  <c:v>12145.174687785373</c:v>
                </c:pt>
                <c:pt idx="395">
                  <c:v>12127.756041931072</c:v>
                </c:pt>
                <c:pt idx="396">
                  <c:v>12110.253395911541</c:v>
                </c:pt>
                <c:pt idx="397">
                  <c:v>12092.667440701269</c:v>
                </c:pt>
                <c:pt idx="398">
                  <c:v>12074.998870563661</c:v>
                </c:pt>
                <c:pt idx="399">
                  <c:v>12057.248383023609</c:v>
                </c:pt>
                <c:pt idx="400">
                  <c:v>12039.416678839969</c:v>
                </c:pt>
                <c:pt idx="401">
                  <c:v>12021.504461977889</c:v>
                </c:pt>
                <c:pt idx="402">
                  <c:v>12003.51243958102</c:v>
                </c:pt>
                <c:pt idx="403">
                  <c:v>11985.441321943599</c:v>
                </c:pt>
                <c:pt idx="404">
                  <c:v>11967.291822482408</c:v>
                </c:pt>
                <c:pt idx="405">
                  <c:v>11949.064657708608</c:v>
                </c:pt>
                <c:pt idx="406">
                  <c:v>11930.760547199456</c:v>
                </c:pt>
                <c:pt idx="407">
                  <c:v>11912.380213569892</c:v>
                </c:pt>
                <c:pt idx="408">
                  <c:v>11893.924382444015</c:v>
                </c:pt>
                <c:pt idx="409">
                  <c:v>11875.393782426438</c:v>
                </c:pt>
                <c:pt idx="410">
                  <c:v>11856.789145073517</c:v>
                </c:pt>
                <c:pt idx="411">
                  <c:v>11838.111204864483</c:v>
                </c:pt>
                <c:pt idx="412">
                  <c:v>11819.36069917243</c:v>
                </c:pt>
                <c:pt idx="413">
                  <c:v>11800.53836823522</c:v>
                </c:pt>
                <c:pt idx="414">
                  <c:v>11781.644955126247</c:v>
                </c:pt>
                <c:pt idx="415">
                  <c:v>11762.68120572511</c:v>
                </c:pt>
                <c:pt idx="416">
                  <c:v>11743.647868688164</c:v>
                </c:pt>
                <c:pt idx="417">
                  <c:v>11724.545695418967</c:v>
                </c:pt>
                <c:pt idx="418">
                  <c:v>11705.37544003861</c:v>
                </c:pt>
                <c:pt idx="419">
                  <c:v>11686.137859355949</c:v>
                </c:pt>
                <c:pt idx="420">
                  <c:v>11666.833712837732</c:v>
                </c:pt>
                <c:pt idx="421">
                  <c:v>11647.463762578609</c:v>
                </c:pt>
                <c:pt idx="422">
                  <c:v>11628.028773271049</c:v>
                </c:pt>
                <c:pt idx="423">
                  <c:v>11608.529512175151</c:v>
                </c:pt>
                <c:pt idx="424">
                  <c:v>11588.966749088357</c:v>
                </c:pt>
                <c:pt idx="425">
                  <c:v>11569.341256315056</c:v>
                </c:pt>
                <c:pt idx="426">
                  <c:v>11549.653808636098</c:v>
                </c:pt>
                <c:pt idx="427">
                  <c:v>11529.905183278208</c:v>
                </c:pt>
                <c:pt idx="428">
                  <c:v>11510.096159883298</c:v>
                </c:pt>
                <c:pt idx="429">
                  <c:v>11490.227520477696</c:v>
                </c:pt>
                <c:pt idx="430">
                  <c:v>11470.300049441263</c:v>
                </c:pt>
                <c:pt idx="431">
                  <c:v>11450.314533476436</c:v>
                </c:pt>
                <c:pt idx="432">
                  <c:v>11430.271761577162</c:v>
                </c:pt>
                <c:pt idx="433">
                  <c:v>11410.172524997761</c:v>
                </c:pt>
                <c:pt idx="434">
                  <c:v>11390.017617221672</c:v>
                </c:pt>
                <c:pt idx="435">
                  <c:v>11369.807833930148</c:v>
                </c:pt>
                <c:pt idx="436">
                  <c:v>11349.543972970827</c:v>
                </c:pt>
                <c:pt idx="437">
                  <c:v>11329.226834326244</c:v>
                </c:pt>
                <c:pt idx="438">
                  <c:v>11308.85722008224</c:v>
                </c:pt>
                <c:pt idx="439">
                  <c:v>11288.435934396311</c:v>
                </c:pt>
                <c:pt idx="440">
                  <c:v>11267.963783465848</c:v>
                </c:pt>
                <c:pt idx="441">
                  <c:v>11247.441575496316</c:v>
                </c:pt>
                <c:pt idx="442">
                  <c:v>11226.870120669344</c:v>
                </c:pt>
                <c:pt idx="443">
                  <c:v>11206.250231110747</c:v>
                </c:pt>
                <c:pt idx="444">
                  <c:v>11185.582720858456</c:v>
                </c:pt>
                <c:pt idx="445">
                  <c:v>11164.86840583039</c:v>
                </c:pt>
                <c:pt idx="446">
                  <c:v>11144.108103792234</c:v>
                </c:pt>
                <c:pt idx="447">
                  <c:v>11123.302634325169</c:v>
                </c:pt>
                <c:pt idx="448">
                  <c:v>11102.452818793503</c:v>
                </c:pt>
                <c:pt idx="449">
                  <c:v>11081.559480312251</c:v>
                </c:pt>
                <c:pt idx="450">
                  <c:v>11060.623443714643</c:v>
                </c:pt>
                <c:pt idx="451">
                  <c:v>11039.645535519558</c:v>
                </c:pt>
                <c:pt idx="452">
                  <c:v>11018.626583898886</c:v>
                </c:pt>
                <c:pt idx="453">
                  <c:v>10997.56741864485</c:v>
                </c:pt>
                <c:pt idx="454">
                  <c:v>10976.468871137236</c:v>
                </c:pt>
                <c:pt idx="455">
                  <c:v>10955.331774310573</c:v>
                </c:pt>
                <c:pt idx="456">
                  <c:v>10934.156962621248</c:v>
                </c:pt>
                <c:pt idx="457">
                  <c:v>10912.945272014573</c:v>
                </c:pt>
                <c:pt idx="458">
                  <c:v>10891.697539891769</c:v>
                </c:pt>
                <c:pt idx="459">
                  <c:v>10870.414605076923</c:v>
                </c:pt>
                <c:pt idx="460">
                  <c:v>10849.097307783857</c:v>
                </c:pt>
                <c:pt idx="461">
                  <c:v>10827.746489582969</c:v>
                </c:pt>
                <c:pt idx="462">
                  <c:v>10806.362993367999</c:v>
                </c:pt>
                <c:pt idx="463">
                  <c:v>10784.947663322766</c:v>
                </c:pt>
                <c:pt idx="464">
                  <c:v>10763.501344887829</c:v>
                </c:pt>
                <c:pt idx="465">
                  <c:v>10742.024884727121</c:v>
                </c:pt>
                <c:pt idx="466">
                  <c:v>10720.519130694514</c:v>
                </c:pt>
                <c:pt idx="467">
                  <c:v>10698.984931800354</c:v>
                </c:pt>
                <c:pt idx="468">
                  <c:v>10677.423138177941</c:v>
                </c:pt>
                <c:pt idx="469">
                  <c:v>10655.834601049966</c:v>
                </c:pt>
                <c:pt idx="470">
                  <c:v>10634.22017269491</c:v>
                </c:pt>
                <c:pt idx="471">
                  <c:v>10612.580706413395</c:v>
                </c:pt>
                <c:pt idx="472">
                  <c:v>10590.917056494498</c:v>
                </c:pt>
                <c:pt idx="473">
                  <c:v>10569.230078182021</c:v>
                </c:pt>
                <c:pt idx="474">
                  <c:v>10547.520627640737</c:v>
                </c:pt>
                <c:pt idx="475">
                  <c:v>10525.789561922578</c:v>
                </c:pt>
                <c:pt idx="476">
                  <c:v>10504.03773893281</c:v>
                </c:pt>
                <c:pt idx="477">
                  <c:v>10482.266017396161</c:v>
                </c:pt>
                <c:pt idx="478">
                  <c:v>10460.475256822916</c:v>
                </c:pt>
                <c:pt idx="479">
                  <c:v>10438.666317474992</c:v>
                </c:pt>
                <c:pt idx="480">
                  <c:v>10416.840060331971</c:v>
                </c:pt>
                <c:pt idx="481">
                  <c:v>10394.997347057113</c:v>
                </c:pt>
                <c:pt idx="482">
                  <c:v>10373.139039963336</c:v>
                </c:pt>
                <c:pt idx="483">
                  <c:v>10351.266001979178</c:v>
                </c:pt>
                <c:pt idx="484">
                  <c:v>10329.379096614726</c:v>
                </c:pt>
                <c:pt idx="485">
                  <c:v>10307.479187927527</c:v>
                </c:pt>
                <c:pt idx="486">
                  <c:v>10285.567140488476</c:v>
                </c:pt>
                <c:pt idx="487">
                  <c:v>10263.64381934769</c:v>
                </c:pt>
                <c:pt idx="488">
                  <c:v>10241.710090000346</c:v>
                </c:pt>
                <c:pt idx="489">
                  <c:v>10219.766818352522</c:v>
                </c:pt>
                <c:pt idx="490">
                  <c:v>10197.814870687011</c:v>
                </c:pt>
                <c:pt idx="491">
                  <c:v>10175.855113629117</c:v>
                </c:pt>
                <c:pt idx="492">
                  <c:v>10153.888414112451</c:v>
                </c:pt>
                <c:pt idx="493">
                  <c:v>10131.915639344696</c:v>
                </c:pt>
                <c:pt idx="494">
                  <c:v>10109.937656773373</c:v>
                </c:pt>
                <c:pt idx="495">
                  <c:v>10087.955334051605</c:v>
                </c:pt>
                <c:pt idx="496">
                  <c:v>10065.969539003852</c:v>
                </c:pt>
                <c:pt idx="497">
                  <c:v>10043.981139591657</c:v>
                </c:pt>
                <c:pt idx="498">
                  <c:v>10021.991003879379</c:v>
                </c:pt>
                <c:pt idx="499">
                  <c:v>9999.9999999999236</c:v>
                </c:pt>
                <c:pt idx="500">
                  <c:v>9978.0089961204667</c:v>
                </c:pt>
                <c:pt idx="501">
                  <c:v>9956.0188604081886</c:v>
                </c:pt>
                <c:pt idx="502">
                  <c:v>9934.0304609959931</c:v>
                </c:pt>
                <c:pt idx="503">
                  <c:v>9912.0446659482404</c:v>
                </c:pt>
                <c:pt idx="504">
                  <c:v>9890.0623432264729</c:v>
                </c:pt>
                <c:pt idx="505">
                  <c:v>9868.0843606551516</c:v>
                </c:pt>
                <c:pt idx="506">
                  <c:v>9846.1115858873945</c:v>
                </c:pt>
                <c:pt idx="507">
                  <c:v>9824.1448863707283</c:v>
                </c:pt>
                <c:pt idx="508">
                  <c:v>9802.1851293128348</c:v>
                </c:pt>
                <c:pt idx="509">
                  <c:v>9780.2331816473234</c:v>
                </c:pt>
                <c:pt idx="510">
                  <c:v>9758.2899099995011</c:v>
                </c:pt>
                <c:pt idx="511">
                  <c:v>9736.3561806521557</c:v>
                </c:pt>
                <c:pt idx="512">
                  <c:v>9714.4328595113693</c:v>
                </c:pt>
                <c:pt idx="513">
                  <c:v>9692.52081207232</c:v>
                </c:pt>
                <c:pt idx="514">
                  <c:v>9670.620903385121</c:v>
                </c:pt>
                <c:pt idx="515">
                  <c:v>9648.7339980206689</c:v>
                </c:pt>
                <c:pt idx="516">
                  <c:v>9626.8609600365107</c:v>
                </c:pt>
                <c:pt idx="517">
                  <c:v>9605.0026529427341</c:v>
                </c:pt>
                <c:pt idx="518">
                  <c:v>9583.1599396678757</c:v>
                </c:pt>
                <c:pt idx="519">
                  <c:v>9561.3336825248552</c:v>
                </c:pt>
                <c:pt idx="520">
                  <c:v>9539.5247431769312</c:v>
                </c:pt>
                <c:pt idx="521">
                  <c:v>9517.7339826036859</c:v>
                </c:pt>
                <c:pt idx="522">
                  <c:v>9495.9622610670376</c:v>
                </c:pt>
                <c:pt idx="523">
                  <c:v>9474.2104380772689</c:v>
                </c:pt>
                <c:pt idx="524">
                  <c:v>9452.4793723591101</c:v>
                </c:pt>
                <c:pt idx="525">
                  <c:v>9430.7699218178259</c:v>
                </c:pt>
                <c:pt idx="526">
                  <c:v>9409.0829435053511</c:v>
                </c:pt>
                <c:pt idx="527">
                  <c:v>9387.4192935864521</c:v>
                </c:pt>
                <c:pt idx="528">
                  <c:v>9365.7798273049375</c:v>
                </c:pt>
                <c:pt idx="529">
                  <c:v>9344.1653989498827</c:v>
                </c:pt>
                <c:pt idx="530">
                  <c:v>9322.5768618219081</c:v>
                </c:pt>
                <c:pt idx="531">
                  <c:v>9301.0150681994946</c:v>
                </c:pt>
                <c:pt idx="532">
                  <c:v>9279.4808693053346</c:v>
                </c:pt>
                <c:pt idx="533">
                  <c:v>9257.9751152727276</c:v>
                </c:pt>
                <c:pt idx="534">
                  <c:v>9236.4986551120201</c:v>
                </c:pt>
                <c:pt idx="535">
                  <c:v>9215.0523366770831</c:v>
                </c:pt>
                <c:pt idx="536">
                  <c:v>9193.6370066318505</c:v>
                </c:pt>
                <c:pt idx="537">
                  <c:v>9172.2535104168819</c:v>
                </c:pt>
                <c:pt idx="538">
                  <c:v>9150.9026922159919</c:v>
                </c:pt>
                <c:pt idx="539">
                  <c:v>9129.5853949229258</c:v>
                </c:pt>
                <c:pt idx="540">
                  <c:v>9108.3024601080797</c:v>
                </c:pt>
                <c:pt idx="541">
                  <c:v>9087.0547279852781</c:v>
                </c:pt>
                <c:pt idx="542">
                  <c:v>9065.8430373786032</c:v>
                </c:pt>
                <c:pt idx="543">
                  <c:v>9044.66822568928</c:v>
                </c:pt>
                <c:pt idx="544">
                  <c:v>9023.5311288626144</c:v>
                </c:pt>
                <c:pt idx="545">
                  <c:v>9002.4325813550022</c:v>
                </c:pt>
                <c:pt idx="546">
                  <c:v>8981.373416100967</c:v>
                </c:pt>
                <c:pt idx="547">
                  <c:v>8960.3544644802951</c:v>
                </c:pt>
                <c:pt idx="548">
                  <c:v>8939.3765562852095</c:v>
                </c:pt>
                <c:pt idx="549">
                  <c:v>8918.4405196876014</c:v>
                </c:pt>
                <c:pt idx="550">
                  <c:v>8897.5471812063515</c:v>
                </c:pt>
                <c:pt idx="551">
                  <c:v>8876.697365674685</c:v>
                </c:pt>
                <c:pt idx="552">
                  <c:v>8855.8918962076186</c:v>
                </c:pt>
                <c:pt idx="553">
                  <c:v>8835.1315941694647</c:v>
                </c:pt>
                <c:pt idx="554">
                  <c:v>8814.4172791413985</c:v>
                </c:pt>
                <c:pt idx="555">
                  <c:v>8793.7497688891071</c:v>
                </c:pt>
                <c:pt idx="556">
                  <c:v>8773.1298793305104</c:v>
                </c:pt>
                <c:pt idx="557">
                  <c:v>8752.5584245035407</c:v>
                </c:pt>
                <c:pt idx="558">
                  <c:v>8732.0362165340084</c:v>
                </c:pt>
                <c:pt idx="559">
                  <c:v>8711.5640656035448</c:v>
                </c:pt>
                <c:pt idx="560">
                  <c:v>8691.1427799176163</c:v>
                </c:pt>
                <c:pt idx="561">
                  <c:v>8670.7731656736141</c:v>
                </c:pt>
                <c:pt idx="562">
                  <c:v>8650.4560270290294</c:v>
                </c:pt>
                <c:pt idx="563">
                  <c:v>8630.1921660697099</c:v>
                </c:pt>
                <c:pt idx="564">
                  <c:v>8609.9823827781856</c:v>
                </c:pt>
                <c:pt idx="565">
                  <c:v>8589.8274750020992</c:v>
                </c:pt>
                <c:pt idx="566">
                  <c:v>8569.7282384226964</c:v>
                </c:pt>
                <c:pt idx="567">
                  <c:v>8549.6854665234241</c:v>
                </c:pt>
                <c:pt idx="568">
                  <c:v>8529.6999505585954</c:v>
                </c:pt>
                <c:pt idx="569">
                  <c:v>8509.7724795221638</c:v>
                </c:pt>
                <c:pt idx="570">
                  <c:v>8489.9038401165617</c:v>
                </c:pt>
                <c:pt idx="571">
                  <c:v>8470.0948167216538</c:v>
                </c:pt>
                <c:pt idx="572">
                  <c:v>8450.3461913637639</c:v>
                </c:pt>
                <c:pt idx="573">
                  <c:v>8430.6587436848058</c:v>
                </c:pt>
                <c:pt idx="574">
                  <c:v>8411.0332509115051</c:v>
                </c:pt>
                <c:pt idx="575">
                  <c:v>8391.4704878247103</c:v>
                </c:pt>
                <c:pt idx="576">
                  <c:v>8371.9712267288141</c:v>
                </c:pt>
                <c:pt idx="577">
                  <c:v>8352.5362374212546</c:v>
                </c:pt>
                <c:pt idx="578">
                  <c:v>8333.166287162132</c:v>
                </c:pt>
                <c:pt idx="579">
                  <c:v>8313.8621406439161</c:v>
                </c:pt>
                <c:pt idx="580">
                  <c:v>8294.6245599612557</c:v>
                </c:pt>
                <c:pt idx="581">
                  <c:v>8275.4543045808987</c:v>
                </c:pt>
                <c:pt idx="582">
                  <c:v>8256.3521313117017</c:v>
                </c:pt>
                <c:pt idx="583">
                  <c:v>8237.3187942747572</c:v>
                </c:pt>
                <c:pt idx="584">
                  <c:v>8218.3550448736205</c:v>
                </c:pt>
                <c:pt idx="585">
                  <c:v>8199.4616317646469</c:v>
                </c:pt>
                <c:pt idx="586">
                  <c:v>8180.6393008274372</c:v>
                </c:pt>
                <c:pt idx="587">
                  <c:v>8161.8887951353854</c:v>
                </c:pt>
                <c:pt idx="588">
                  <c:v>8143.2108549263512</c:v>
                </c:pt>
                <c:pt idx="589">
                  <c:v>8124.6062175734323</c:v>
                </c:pt>
                <c:pt idx="590">
                  <c:v>8106.0756175558554</c:v>
                </c:pt>
                <c:pt idx="591">
                  <c:v>8087.6197864299793</c:v>
                </c:pt>
                <c:pt idx="592">
                  <c:v>8069.2394528004152</c:v>
                </c:pt>
                <c:pt idx="593">
                  <c:v>8050.9353422912636</c:v>
                </c:pt>
                <c:pt idx="594">
                  <c:v>8032.7081775174647</c:v>
                </c:pt>
                <c:pt idx="595">
                  <c:v>8014.5586780562744</c:v>
                </c:pt>
                <c:pt idx="596">
                  <c:v>7996.4875604188537</c:v>
                </c:pt>
                <c:pt idx="597">
                  <c:v>7978.4955380219853</c:v>
                </c:pt>
                <c:pt idx="598">
                  <c:v>7960.5833211599056</c:v>
                </c:pt>
                <c:pt idx="599">
                  <c:v>7942.7516169762666</c:v>
                </c:pt>
                <c:pt idx="600">
                  <c:v>7925.0011294362157</c:v>
                </c:pt>
                <c:pt idx="601">
                  <c:v>7907.3325592986066</c:v>
                </c:pt>
                <c:pt idx="602">
                  <c:v>7889.7466040883373</c:v>
                </c:pt>
                <c:pt idx="603">
                  <c:v>7872.2439580688042</c:v>
                </c:pt>
                <c:pt idx="604">
                  <c:v>7854.8253122145052</c:v>
                </c:pt>
                <c:pt idx="605">
                  <c:v>7837.4913541837541</c:v>
                </c:pt>
                <c:pt idx="606">
                  <c:v>7820.2427682915304</c:v>
                </c:pt>
                <c:pt idx="607">
                  <c:v>7803.0802354824727</c:v>
                </c:pt>
                <c:pt idx="608">
                  <c:v>7786.0044333039887</c:v>
                </c:pt>
                <c:pt idx="609">
                  <c:v>7769.016035879511</c:v>
                </c:pt>
                <c:pt idx="610">
                  <c:v>7752.1157138818799</c:v>
                </c:pt>
                <c:pt idx="611">
                  <c:v>7735.3041345068705</c:v>
                </c:pt>
                <c:pt idx="612">
                  <c:v>7718.5819614468501</c:v>
                </c:pt>
                <c:pt idx="613">
                  <c:v>7701.9498548645788</c:v>
                </c:pt>
                <c:pt idx="614">
                  <c:v>7685.4084713671446</c:v>
                </c:pt>
                <c:pt idx="615">
                  <c:v>7668.9584639800451</c:v>
                </c:pt>
                <c:pt idx="616">
                  <c:v>7652.6004821214065</c:v>
                </c:pt>
                <c:pt idx="617">
                  <c:v>7636.335171576342</c:v>
                </c:pt>
                <c:pt idx="618">
                  <c:v>7620.1631744714596</c:v>
                </c:pt>
                <c:pt idx="619">
                  <c:v>7604.0851292495172</c:v>
                </c:pt>
                <c:pt idx="620">
                  <c:v>7588.1016706442078</c:v>
                </c:pt>
                <c:pt idx="621">
                  <c:v>7572.2134296551103</c:v>
                </c:pt>
                <c:pt idx="622">
                  <c:v>7556.4210335227745</c:v>
                </c:pt>
                <c:pt idx="623">
                  <c:v>7540.7251057039557</c:v>
                </c:pt>
                <c:pt idx="624">
                  <c:v>7525.1262658470132</c:v>
                </c:pt>
                <c:pt idx="625">
                  <c:v>7509.6251297674307</c:v>
                </c:pt>
                <c:pt idx="626">
                  <c:v>7494.2223094235205</c:v>
                </c:pt>
                <c:pt idx="627">
                  <c:v>7478.9184128922552</c:v>
                </c:pt>
                <c:pt idx="628">
                  <c:v>7463.7140443452672</c:v>
                </c:pt>
                <c:pt idx="629">
                  <c:v>7448.6098040249908</c:v>
                </c:pt>
                <c:pt idx="630">
                  <c:v>7433.6062882209717</c:v>
                </c:pt>
                <c:pt idx="631">
                  <c:v>7418.7040892463228</c:v>
                </c:pt>
                <c:pt idx="632">
                  <c:v>7403.9037954143441</c:v>
                </c:pt>
                <c:pt idx="633">
                  <c:v>7389.2059910152948</c:v>
                </c:pt>
                <c:pt idx="634">
                  <c:v>7374.611256293324</c:v>
                </c:pt>
                <c:pt idx="635">
                  <c:v>7360.120167423569</c:v>
                </c:pt>
                <c:pt idx="636">
                  <c:v>7345.7332964894076</c:v>
                </c:pt>
                <c:pt idx="637">
                  <c:v>7331.4512114598674</c:v>
                </c:pt>
                <c:pt idx="638">
                  <c:v>7317.274476167212</c:v>
                </c:pt>
                <c:pt idx="639">
                  <c:v>7303.2036502846759</c:v>
                </c:pt>
                <c:pt idx="640">
                  <c:v>7289.2392893043707</c:v>
                </c:pt>
                <c:pt idx="641">
                  <c:v>7275.3819445153586</c:v>
                </c:pt>
                <c:pt idx="642">
                  <c:v>7261.6321629818831</c:v>
                </c:pt>
                <c:pt idx="643">
                  <c:v>7247.990487521778</c:v>
                </c:pt>
                <c:pt idx="644">
                  <c:v>7234.4574566850279</c:v>
                </c:pt>
                <c:pt idx="645">
                  <c:v>7221.0336047325218</c:v>
                </c:pt>
                <c:pt idx="646">
                  <c:v>7207.7194616149482</c:v>
                </c:pt>
                <c:pt idx="647">
                  <c:v>7194.5155529518806</c:v>
                </c:pt>
                <c:pt idx="648">
                  <c:v>7181.4224000110225</c:v>
                </c:pt>
                <c:pt idx="649">
                  <c:v>7168.4405196876351</c:v>
                </c:pt>
                <c:pt idx="650">
                  <c:v>7155.5704244841236</c:v>
                </c:pt>
                <c:pt idx="651">
                  <c:v>7142.8126224898097</c:v>
                </c:pt>
                <c:pt idx="652">
                  <c:v>7130.1676173608721</c:v>
                </c:pt>
                <c:pt idx="653">
                  <c:v>7117.63590830046</c:v>
                </c:pt>
                <c:pt idx="654">
                  <c:v>7105.217990038991</c:v>
                </c:pt>
                <c:pt idx="655">
                  <c:v>7092.9143528146142</c:v>
                </c:pt>
                <c:pt idx="656">
                  <c:v>7080.7254823538606</c:v>
                </c:pt>
                <c:pt idx="657">
                  <c:v>7068.6518598524644</c:v>
                </c:pt>
                <c:pt idx="658">
                  <c:v>7056.69396195637</c:v>
                </c:pt>
                <c:pt idx="659">
                  <c:v>7044.8522607429095</c:v>
                </c:pt>
                <c:pt idx="660">
                  <c:v>7033.1272237021731</c:v>
                </c:pt>
                <c:pt idx="661">
                  <c:v>7021.5193137185433</c:v>
                </c:pt>
                <c:pt idx="662">
                  <c:v>7010.0289890524327</c:v>
                </c:pt>
                <c:pt idx="663">
                  <c:v>6998.6567033221836</c:v>
                </c:pt>
                <c:pt idx="664">
                  <c:v>6987.4029054861658</c:v>
                </c:pt>
                <c:pt idx="665">
                  <c:v>6976.268039825045</c:v>
                </c:pt>
                <c:pt idx="666">
                  <c:v>6965.2525459242552</c:v>
                </c:pt>
                <c:pt idx="667">
                  <c:v>6954.3568586566307</c:v>
                </c:pt>
                <c:pt idx="668">
                  <c:v>6943.5814081652516</c:v>
                </c:pt>
                <c:pt idx="669">
                  <c:v>6932.9266198464502</c:v>
                </c:pt>
                <c:pt idx="670">
                  <c:v>6922.392914333027</c:v>
                </c:pt>
                <c:pt idx="671">
                  <c:v>6911.9807074776381</c:v>
                </c:pt>
                <c:pt idx="672">
                  <c:v>6901.6904103363831</c:v>
                </c:pt>
                <c:pt idx="673">
                  <c:v>6891.522429152571</c:v>
                </c:pt>
                <c:pt idx="674">
                  <c:v>6881.4771653406897</c:v>
                </c:pt>
                <c:pt idx="675">
                  <c:v>6871.5550154705552</c:v>
                </c:pt>
                <c:pt idx="676">
                  <c:v>6861.7563712516539</c:v>
                </c:pt>
                <c:pt idx="677">
                  <c:v>6852.0816195176812</c:v>
                </c:pt>
                <c:pt idx="678">
                  <c:v>6842.5311422112718</c:v>
                </c:pt>
                <c:pt idx="679">
                  <c:v>6833.1053163689139</c:v>
                </c:pt>
                <c:pt idx="680">
                  <c:v>6823.8045141060738</c:v>
                </c:pt>
                <c:pt idx="681">
                  <c:v>6814.6291026024992</c:v>
                </c:pt>
                <c:pt idx="682">
                  <c:v>6805.5794440877244</c:v>
                </c:pt>
                <c:pt idx="683">
                  <c:v>6796.6558958267742</c:v>
                </c:pt>
                <c:pt idx="684">
                  <c:v>6787.8588101060523</c:v>
                </c:pt>
                <c:pt idx="685">
                  <c:v>6779.18853421944</c:v>
                </c:pt>
                <c:pt idx="686">
                  <c:v>6770.6454104545855</c:v>
                </c:pt>
                <c:pt idx="687">
                  <c:v>6762.2297760793845</c:v>
                </c:pt>
                <c:pt idx="688">
                  <c:v>6753.9419633286743</c:v>
                </c:pt>
                <c:pt idx="689">
                  <c:v>6745.7822993911095</c:v>
                </c:pt>
                <c:pt idx="690">
                  <c:v>6737.751106396252</c:v>
                </c:pt>
                <c:pt idx="691">
                  <c:v>6729.8487014018483</c:v>
                </c:pt>
                <c:pt idx="692">
                  <c:v>6722.0753963813186</c:v>
                </c:pt>
                <c:pt idx="693">
                  <c:v>6714.431498211432</c:v>
                </c:pt>
                <c:pt idx="694">
                  <c:v>6706.9173086602041</c:v>
                </c:pt>
                <c:pt idx="695">
                  <c:v>6699.5331243749679</c:v>
                </c:pt>
                <c:pt idx="696">
                  <c:v>6692.2792368706769</c:v>
                </c:pt>
                <c:pt idx="697">
                  <c:v>6685.1559325183898</c:v>
                </c:pt>
                <c:pt idx="698">
                  <c:v>6678.163492533964</c:v>
                </c:pt>
                <c:pt idx="699">
                  <c:v>6671.3021929669576</c:v>
                </c:pt>
                <c:pt idx="700">
                  <c:v>6664.5723046897301</c:v>
                </c:pt>
                <c:pt idx="701">
                  <c:v>6657.9740933867461</c:v>
                </c:pt>
                <c:pt idx="702">
                  <c:v>6651.5078195440901</c:v>
                </c:pt>
                <c:pt idx="703">
                  <c:v>6645.1737384391818</c:v>
                </c:pt>
                <c:pt idx="704">
                  <c:v>6638.9721001306971</c:v>
                </c:pt>
                <c:pt idx="705">
                  <c:v>6632.9031494486971</c:v>
                </c:pt>
                <c:pt idx="706">
                  <c:v>6626.9671259849638</c:v>
                </c:pt>
                <c:pt idx="707">
                  <c:v>6621.1642640835398</c:v>
                </c:pt>
                <c:pt idx="708">
                  <c:v>6615.4947928314768</c:v>
                </c:pt>
                <c:pt idx="709">
                  <c:v>6609.9589360497903</c:v>
                </c:pt>
                <c:pt idx="710">
                  <c:v>6604.55691228463</c:v>
                </c:pt>
                <c:pt idx="711">
                  <c:v>6599.288934798642</c:v>
                </c:pt>
                <c:pt idx="712">
                  <c:v>6594.1552115625582</c:v>
                </c:pt>
                <c:pt idx="713">
                  <c:v>6589.155945246981</c:v>
                </c:pt>
                <c:pt idx="714">
                  <c:v>6584.2913332143853</c:v>
                </c:pt>
                <c:pt idx="715">
                  <c:v>6579.561567511324</c:v>
                </c:pt>
                <c:pt idx="716">
                  <c:v>6574.9668348608493</c:v>
                </c:pt>
                <c:pt idx="717">
                  <c:v>6570.5073166551374</c:v>
                </c:pt>
                <c:pt idx="718">
                  <c:v>6566.1831889483328</c:v>
                </c:pt>
                <c:pt idx="719">
                  <c:v>6561.9946224495916</c:v>
                </c:pt>
                <c:pt idx="720">
                  <c:v>6557.9417825163491</c:v>
                </c:pt>
                <c:pt idx="721">
                  <c:v>6554.0248291477837</c:v>
                </c:pt>
                <c:pt idx="722">
                  <c:v>6550.2439169785093</c:v>
                </c:pt>
                <c:pt idx="723">
                  <c:v>6546.5991952724644</c:v>
                </c:pt>
                <c:pt idx="724">
                  <c:v>6543.0908079170204</c:v>
                </c:pt>
                <c:pt idx="725">
                  <c:v>6539.7188934173046</c:v>
                </c:pt>
                <c:pt idx="726">
                  <c:v>6536.4835848907242</c:v>
                </c:pt>
                <c:pt idx="727">
                  <c:v>6533.3850100617237</c:v>
                </c:pt>
                <c:pt idx="728">
                  <c:v>6530.4232912567304</c:v>
                </c:pt>
                <c:pt idx="729">
                  <c:v>6527.5985453993308</c:v>
                </c:pt>
                <c:pt idx="730">
                  <c:v>6524.910884005656</c:v>
                </c:pt>
                <c:pt idx="731">
                  <c:v>6522.3604131799739</c:v>
                </c:pt>
                <c:pt idx="732">
                  <c:v>6519.9472336105073</c:v>
                </c:pt>
                <c:pt idx="733">
                  <c:v>6517.6714405654529</c:v>
                </c:pt>
                <c:pt idx="734">
                  <c:v>6515.5331238892231</c:v>
                </c:pt>
                <c:pt idx="735">
                  <c:v>6513.5323679988996</c:v>
                </c:pt>
                <c:pt idx="736">
                  <c:v>6511.6692518808977</c:v>
                </c:pt>
                <c:pt idx="737">
                  <c:v>6509.9438490878538</c:v>
                </c:pt>
                <c:pt idx="738">
                  <c:v>6508.3562277357141</c:v>
                </c:pt>
                <c:pt idx="739">
                  <c:v>6506.9064505010519</c:v>
                </c:pt>
                <c:pt idx="740">
                  <c:v>6505.5945746185898</c:v>
                </c:pt>
                <c:pt idx="741">
                  <c:v>6504.4206518789406</c:v>
                </c:pt>
                <c:pt idx="742">
                  <c:v>6503.3847286265654</c:v>
                </c:pt>
                <c:pt idx="743">
                  <c:v>6502.4868457579396</c:v>
                </c:pt>
                <c:pt idx="744">
                  <c:v>6501.7270387199405</c:v>
                </c:pt>
                <c:pt idx="745">
                  <c:v>6501.1053375084512</c:v>
                </c:pt>
                <c:pt idx="746">
                  <c:v>6500.6217666671691</c:v>
                </c:pt>
                <c:pt idx="747">
                  <c:v>6500.2763452866438</c:v>
                </c:pt>
                <c:pt idx="748">
                  <c:v>6500.0690870035205</c:v>
                </c:pt>
                <c:pt idx="749">
                  <c:v>6500</c:v>
                </c:pt>
                <c:pt idx="750">
                  <c:v>6500.0690870035196</c:v>
                </c:pt>
                <c:pt idx="751">
                  <c:v>6500.2763452866429</c:v>
                </c:pt>
                <c:pt idx="752">
                  <c:v>6500.6217666671673</c:v>
                </c:pt>
                <c:pt idx="753">
                  <c:v>6501.1053375084484</c:v>
                </c:pt>
                <c:pt idx="754">
                  <c:v>6501.7270387199378</c:v>
                </c:pt>
                <c:pt idx="755">
                  <c:v>6502.486845757936</c:v>
                </c:pt>
                <c:pt idx="756">
                  <c:v>6503.3847286265609</c:v>
                </c:pt>
                <c:pt idx="757">
                  <c:v>6504.420651878936</c:v>
                </c:pt>
                <c:pt idx="758">
                  <c:v>6505.5945746185835</c:v>
                </c:pt>
                <c:pt idx="759">
                  <c:v>6506.9064505010447</c:v>
                </c:pt>
                <c:pt idx="760">
                  <c:v>6508.3562277357069</c:v>
                </c:pt>
                <c:pt idx="761">
                  <c:v>6509.9438490878456</c:v>
                </c:pt>
                <c:pt idx="762">
                  <c:v>6511.6692518808895</c:v>
                </c:pt>
                <c:pt idx="763">
                  <c:v>6513.5323679988905</c:v>
                </c:pt>
                <c:pt idx="764">
                  <c:v>6515.5331238892131</c:v>
                </c:pt>
                <c:pt idx="765">
                  <c:v>6517.671440565442</c:v>
                </c:pt>
                <c:pt idx="766">
                  <c:v>6519.9472336104955</c:v>
                </c:pt>
                <c:pt idx="767">
                  <c:v>6522.3604131799621</c:v>
                </c:pt>
                <c:pt idx="768">
                  <c:v>6524.9108840056433</c:v>
                </c:pt>
                <c:pt idx="769">
                  <c:v>6527.5985453993171</c:v>
                </c:pt>
                <c:pt idx="770">
                  <c:v>6530.4232912567159</c:v>
                </c:pt>
                <c:pt idx="771">
                  <c:v>6533.3850100617092</c:v>
                </c:pt>
                <c:pt idx="772">
                  <c:v>6536.4835848907096</c:v>
                </c:pt>
                <c:pt idx="773">
                  <c:v>6539.7188934172882</c:v>
                </c:pt>
                <c:pt idx="774">
                  <c:v>6543.090807917004</c:v>
                </c:pt>
                <c:pt idx="775">
                  <c:v>6546.5991952724471</c:v>
                </c:pt>
                <c:pt idx="776">
                  <c:v>6550.2439169784921</c:v>
                </c:pt>
                <c:pt idx="777">
                  <c:v>6554.0248291477656</c:v>
                </c:pt>
                <c:pt idx="778">
                  <c:v>6557.9417825163291</c:v>
                </c:pt>
                <c:pt idx="779">
                  <c:v>6561.9946224495725</c:v>
                </c:pt>
                <c:pt idx="780">
                  <c:v>6566.1831889483119</c:v>
                </c:pt>
                <c:pt idx="781">
                  <c:v>6570.5073166551165</c:v>
                </c:pt>
                <c:pt idx="782">
                  <c:v>6574.9668348608266</c:v>
                </c:pt>
                <c:pt idx="783">
                  <c:v>6579.5615675113022</c:v>
                </c:pt>
                <c:pt idx="784">
                  <c:v>6584.2913332143617</c:v>
                </c:pt>
                <c:pt idx="785">
                  <c:v>6589.1559452469573</c:v>
                </c:pt>
                <c:pt idx="786">
                  <c:v>6594.1552115625327</c:v>
                </c:pt>
                <c:pt idx="787">
                  <c:v>6599.2889347986165</c:v>
                </c:pt>
                <c:pt idx="788">
                  <c:v>6604.5569122846036</c:v>
                </c:pt>
                <c:pt idx="789">
                  <c:v>6609.9589360497639</c:v>
                </c:pt>
                <c:pt idx="790">
                  <c:v>6615.4947928314496</c:v>
                </c:pt>
                <c:pt idx="791">
                  <c:v>6621.1642640835125</c:v>
                </c:pt>
                <c:pt idx="792">
                  <c:v>6626.9671259849365</c:v>
                </c:pt>
                <c:pt idx="793">
                  <c:v>6632.903149448668</c:v>
                </c:pt>
                <c:pt idx="794">
                  <c:v>6638.9721001306671</c:v>
                </c:pt>
                <c:pt idx="795">
                  <c:v>6645.1737384391508</c:v>
                </c:pt>
                <c:pt idx="796">
                  <c:v>6651.5078195440583</c:v>
                </c:pt>
                <c:pt idx="797">
                  <c:v>6657.9740933867142</c:v>
                </c:pt>
                <c:pt idx="798">
                  <c:v>6664.5723046896974</c:v>
                </c:pt>
                <c:pt idx="799">
                  <c:v>6671.3021929669248</c:v>
                </c:pt>
                <c:pt idx="800">
                  <c:v>6678.1634925339295</c:v>
                </c:pt>
                <c:pt idx="801">
                  <c:v>6685.1559325183553</c:v>
                </c:pt>
                <c:pt idx="802">
                  <c:v>6692.2792368706414</c:v>
                </c:pt>
                <c:pt idx="803">
                  <c:v>6699.5331243749315</c:v>
                </c:pt>
                <c:pt idx="804">
                  <c:v>6706.9173086601677</c:v>
                </c:pt>
                <c:pt idx="805">
                  <c:v>6714.4314982113956</c:v>
                </c:pt>
                <c:pt idx="806">
                  <c:v>6722.0753963812804</c:v>
                </c:pt>
                <c:pt idx="807">
                  <c:v>6729.8487014018101</c:v>
                </c:pt>
                <c:pt idx="808">
                  <c:v>6737.7511063962129</c:v>
                </c:pt>
                <c:pt idx="809">
                  <c:v>6745.7822993910704</c:v>
                </c:pt>
                <c:pt idx="810">
                  <c:v>6753.9419633286343</c:v>
                </c:pt>
                <c:pt idx="811">
                  <c:v>6762.2297760793444</c:v>
                </c:pt>
                <c:pt idx="812">
                  <c:v>6770.6454104545446</c:v>
                </c:pt>
                <c:pt idx="813">
                  <c:v>6779.1885342193982</c:v>
                </c:pt>
                <c:pt idx="814">
                  <c:v>6787.8588101060086</c:v>
                </c:pt>
                <c:pt idx="815">
                  <c:v>6796.6558958267306</c:v>
                </c:pt>
                <c:pt idx="816">
                  <c:v>6805.5794440876807</c:v>
                </c:pt>
                <c:pt idx="817">
                  <c:v>6814.6291026024537</c:v>
                </c:pt>
                <c:pt idx="818">
                  <c:v>6823.8045141060284</c:v>
                </c:pt>
                <c:pt idx="819">
                  <c:v>6833.1053163688684</c:v>
                </c:pt>
                <c:pt idx="820">
                  <c:v>6842.5311422112245</c:v>
                </c:pt>
                <c:pt idx="821">
                  <c:v>6852.0816195176349</c:v>
                </c:pt>
                <c:pt idx="822">
                  <c:v>6861.7563712516057</c:v>
                </c:pt>
                <c:pt idx="823">
                  <c:v>6871.555015470507</c:v>
                </c:pt>
                <c:pt idx="824">
                  <c:v>6881.4771653406415</c:v>
                </c:pt>
                <c:pt idx="825">
                  <c:v>6891.522429152521</c:v>
                </c:pt>
                <c:pt idx="826">
                  <c:v>6901.6904103363322</c:v>
                </c:pt>
                <c:pt idx="827">
                  <c:v>6911.9807074775881</c:v>
                </c:pt>
                <c:pt idx="828">
                  <c:v>6922.3929143329769</c:v>
                </c:pt>
                <c:pt idx="829">
                  <c:v>6932.9266198463993</c:v>
                </c:pt>
                <c:pt idx="830">
                  <c:v>6943.5814081651988</c:v>
                </c:pt>
                <c:pt idx="831">
                  <c:v>6954.356858656578</c:v>
                </c:pt>
                <c:pt idx="832">
                  <c:v>6965.2525459242015</c:v>
                </c:pt>
                <c:pt idx="833">
                  <c:v>6976.2680398249913</c:v>
                </c:pt>
                <c:pt idx="834">
                  <c:v>6987.4029054861112</c:v>
                </c:pt>
                <c:pt idx="835">
                  <c:v>6998.656703322129</c:v>
                </c:pt>
                <c:pt idx="836">
                  <c:v>7010.0289890523773</c:v>
                </c:pt>
                <c:pt idx="837">
                  <c:v>7021.519313718487</c:v>
                </c:pt>
                <c:pt idx="838">
                  <c:v>7033.1272237021158</c:v>
                </c:pt>
                <c:pt idx="839">
                  <c:v>7044.8522607428531</c:v>
                </c:pt>
                <c:pt idx="840">
                  <c:v>7056.6939619563118</c:v>
                </c:pt>
                <c:pt idx="841">
                  <c:v>7068.6518598524053</c:v>
                </c:pt>
                <c:pt idx="842">
                  <c:v>7080.7254823538005</c:v>
                </c:pt>
                <c:pt idx="843">
                  <c:v>7092.9143528145541</c:v>
                </c:pt>
                <c:pt idx="844">
                  <c:v>7105.217990038931</c:v>
                </c:pt>
                <c:pt idx="845">
                  <c:v>7117.635908300399</c:v>
                </c:pt>
                <c:pt idx="846">
                  <c:v>7130.1676173608103</c:v>
                </c:pt>
                <c:pt idx="847">
                  <c:v>7142.8126224897478</c:v>
                </c:pt>
                <c:pt idx="848">
                  <c:v>7155.5704244840617</c:v>
                </c:pt>
                <c:pt idx="849">
                  <c:v>7168.4405196875723</c:v>
                </c:pt>
                <c:pt idx="850">
                  <c:v>7181.4224000109589</c:v>
                </c:pt>
                <c:pt idx="851">
                  <c:v>7194.5155529518161</c:v>
                </c:pt>
                <c:pt idx="852">
                  <c:v>7207.7194616148845</c:v>
                </c:pt>
                <c:pt idx="853">
                  <c:v>7221.0336047324572</c:v>
                </c:pt>
                <c:pt idx="854">
                  <c:v>7234.4574566849624</c:v>
                </c:pt>
                <c:pt idx="855">
                  <c:v>7247.9904875217107</c:v>
                </c:pt>
                <c:pt idx="856">
                  <c:v>7261.6321629818167</c:v>
                </c:pt>
                <c:pt idx="857">
                  <c:v>7275.3819445152913</c:v>
                </c:pt>
                <c:pt idx="858">
                  <c:v>7289.2392893043034</c:v>
                </c:pt>
                <c:pt idx="859">
                  <c:v>7303.2036502846076</c:v>
                </c:pt>
                <c:pt idx="860">
                  <c:v>7317.2744761671438</c:v>
                </c:pt>
                <c:pt idx="861">
                  <c:v>7331.4512114597983</c:v>
                </c:pt>
                <c:pt idx="862">
                  <c:v>7345.7332964893376</c:v>
                </c:pt>
                <c:pt idx="863">
                  <c:v>7360.1201674234999</c:v>
                </c:pt>
                <c:pt idx="864">
                  <c:v>7374.6112562932522</c:v>
                </c:pt>
                <c:pt idx="865">
                  <c:v>7389.2059910152211</c:v>
                </c:pt>
                <c:pt idx="866">
                  <c:v>7403.9037954142696</c:v>
                </c:pt>
                <c:pt idx="867">
                  <c:v>7418.7040892462464</c:v>
                </c:pt>
                <c:pt idx="868">
                  <c:v>7433.6062882208935</c:v>
                </c:pt>
                <c:pt idx="869">
                  <c:v>7448.6098040249108</c:v>
                </c:pt>
                <c:pt idx="870">
                  <c:v>7463.7140443451863</c:v>
                </c:pt>
                <c:pt idx="871">
                  <c:v>7478.9184128921734</c:v>
                </c:pt>
                <c:pt idx="872">
                  <c:v>7494.2223094234359</c:v>
                </c:pt>
                <c:pt idx="873">
                  <c:v>7509.6251297673443</c:v>
                </c:pt>
                <c:pt idx="874">
                  <c:v>7525.126265846925</c:v>
                </c:pt>
                <c:pt idx="875">
                  <c:v>7540.7251057038666</c:v>
                </c:pt>
                <c:pt idx="876">
                  <c:v>7556.4210335226835</c:v>
                </c:pt>
                <c:pt idx="877">
                  <c:v>7572.2134296550175</c:v>
                </c:pt>
                <c:pt idx="878">
                  <c:v>7588.1016706441133</c:v>
                </c:pt>
                <c:pt idx="879">
                  <c:v>7604.0851292494208</c:v>
                </c:pt>
                <c:pt idx="880">
                  <c:v>7620.1631744713623</c:v>
                </c:pt>
                <c:pt idx="881">
                  <c:v>7636.3351715762419</c:v>
                </c:pt>
                <c:pt idx="882">
                  <c:v>7652.6004821213046</c:v>
                </c:pt>
                <c:pt idx="883">
                  <c:v>7668.9584639799432</c:v>
                </c:pt>
                <c:pt idx="884">
                  <c:v>7685.40847136704</c:v>
                </c:pt>
                <c:pt idx="885">
                  <c:v>7701.9498548644715</c:v>
                </c:pt>
                <c:pt idx="886">
                  <c:v>7718.5819614467418</c:v>
                </c:pt>
                <c:pt idx="887">
                  <c:v>7735.3041345067604</c:v>
                </c:pt>
                <c:pt idx="888">
                  <c:v>7752.115713881768</c:v>
                </c:pt>
                <c:pt idx="889">
                  <c:v>7769.0160358793964</c:v>
                </c:pt>
                <c:pt idx="890">
                  <c:v>7786.0044333038732</c:v>
                </c:pt>
                <c:pt idx="891">
                  <c:v>7803.0802354823554</c:v>
                </c:pt>
                <c:pt idx="892">
                  <c:v>7820.2427682914113</c:v>
                </c:pt>
                <c:pt idx="893">
                  <c:v>7837.4913541836322</c:v>
                </c:pt>
                <c:pt idx="894">
                  <c:v>7854.8253122143833</c:v>
                </c:pt>
                <c:pt idx="895">
                  <c:v>7872.2439580686805</c:v>
                </c:pt>
                <c:pt idx="896">
                  <c:v>7889.74660408821</c:v>
                </c:pt>
                <c:pt idx="897">
                  <c:v>7907.3325592984784</c:v>
                </c:pt>
                <c:pt idx="898">
                  <c:v>7925.0011294360847</c:v>
                </c:pt>
                <c:pt idx="899">
                  <c:v>7942.7516169761348</c:v>
                </c:pt>
                <c:pt idx="900">
                  <c:v>7960.5833211597719</c:v>
                </c:pt>
                <c:pt idx="901">
                  <c:v>7978.4955380218498</c:v>
                </c:pt>
                <c:pt idx="902">
                  <c:v>7996.4875604187164</c:v>
                </c:pt>
                <c:pt idx="903">
                  <c:v>8014.5586780561343</c:v>
                </c:pt>
                <c:pt idx="904">
                  <c:v>8032.7081775173228</c:v>
                </c:pt>
                <c:pt idx="905">
                  <c:v>8050.9353422911208</c:v>
                </c:pt>
                <c:pt idx="906">
                  <c:v>8069.2394528002696</c:v>
                </c:pt>
                <c:pt idx="907">
                  <c:v>8087.6197864298319</c:v>
                </c:pt>
                <c:pt idx="908">
                  <c:v>8106.0756175557071</c:v>
                </c:pt>
                <c:pt idx="909">
                  <c:v>8124.6062175732814</c:v>
                </c:pt>
                <c:pt idx="910">
                  <c:v>8143.2108549261993</c:v>
                </c:pt>
                <c:pt idx="911">
                  <c:v>8161.8887951352308</c:v>
                </c:pt>
                <c:pt idx="912">
                  <c:v>8180.6393008272807</c:v>
                </c:pt>
                <c:pt idx="913">
                  <c:v>8199.4616317644886</c:v>
                </c:pt>
                <c:pt idx="914">
                  <c:v>8218.3550448734604</c:v>
                </c:pt>
                <c:pt idx="915">
                  <c:v>8237.3187942745953</c:v>
                </c:pt>
                <c:pt idx="916">
                  <c:v>8256.352131311538</c:v>
                </c:pt>
                <c:pt idx="917">
                  <c:v>8275.4543045807332</c:v>
                </c:pt>
                <c:pt idx="918">
                  <c:v>8294.6245599610884</c:v>
                </c:pt>
                <c:pt idx="919">
                  <c:v>8313.8621406437451</c:v>
                </c:pt>
                <c:pt idx="920">
                  <c:v>8333.166287161961</c:v>
                </c:pt>
                <c:pt idx="921">
                  <c:v>8352.5362374210818</c:v>
                </c:pt>
                <c:pt idx="922">
                  <c:v>8371.9712267286395</c:v>
                </c:pt>
                <c:pt idx="923">
                  <c:v>8391.4704878245338</c:v>
                </c:pt>
                <c:pt idx="924">
                  <c:v>8411.033250911325</c:v>
                </c:pt>
                <c:pt idx="925">
                  <c:v>8430.6587436846239</c:v>
                </c:pt>
                <c:pt idx="926">
                  <c:v>8450.3461913635801</c:v>
                </c:pt>
                <c:pt idx="927">
                  <c:v>8470.0948167214683</c:v>
                </c:pt>
                <c:pt idx="928">
                  <c:v>8489.9038401163743</c:v>
                </c:pt>
                <c:pt idx="929">
                  <c:v>8509.7724795219747</c:v>
                </c:pt>
                <c:pt idx="930">
                  <c:v>8529.6999505584045</c:v>
                </c:pt>
                <c:pt idx="931">
                  <c:v>8549.6854665232295</c:v>
                </c:pt>
                <c:pt idx="932">
                  <c:v>8569.7282384225</c:v>
                </c:pt>
                <c:pt idx="933">
                  <c:v>8589.8274750019009</c:v>
                </c:pt>
                <c:pt idx="934">
                  <c:v>8609.9823827779855</c:v>
                </c:pt>
                <c:pt idx="935">
                  <c:v>8630.1921660695079</c:v>
                </c:pt>
                <c:pt idx="936">
                  <c:v>8650.4560270288275</c:v>
                </c:pt>
                <c:pt idx="937">
                  <c:v>8670.7731656734086</c:v>
                </c:pt>
                <c:pt idx="938">
                  <c:v>8691.1427799174089</c:v>
                </c:pt>
                <c:pt idx="939">
                  <c:v>8711.5640656033356</c:v>
                </c:pt>
                <c:pt idx="940">
                  <c:v>8732.0362165337974</c:v>
                </c:pt>
                <c:pt idx="941">
                  <c:v>8752.5584245033278</c:v>
                </c:pt>
                <c:pt idx="942">
                  <c:v>8773.1298793302958</c:v>
                </c:pt>
                <c:pt idx="943">
                  <c:v>8793.7497688888907</c:v>
                </c:pt>
                <c:pt idx="944">
                  <c:v>8814.4172791411784</c:v>
                </c:pt>
                <c:pt idx="945">
                  <c:v>8835.1315941692428</c:v>
                </c:pt>
                <c:pt idx="946">
                  <c:v>8855.8918962073967</c:v>
                </c:pt>
                <c:pt idx="947">
                  <c:v>8876.6973656744594</c:v>
                </c:pt>
                <c:pt idx="948">
                  <c:v>8897.5471812061242</c:v>
                </c:pt>
                <c:pt idx="949">
                  <c:v>8918.4405196873722</c:v>
                </c:pt>
                <c:pt idx="950">
                  <c:v>8939.3765562849785</c:v>
                </c:pt>
                <c:pt idx="951">
                  <c:v>8960.3544644800622</c:v>
                </c:pt>
                <c:pt idx="952">
                  <c:v>8981.3734161007324</c:v>
                </c:pt>
                <c:pt idx="953">
                  <c:v>9002.4325813547639</c:v>
                </c:pt>
                <c:pt idx="954">
                  <c:v>9023.5311288623761</c:v>
                </c:pt>
                <c:pt idx="955">
                  <c:v>9044.6682256890381</c:v>
                </c:pt>
                <c:pt idx="956">
                  <c:v>9065.8430373783613</c:v>
                </c:pt>
                <c:pt idx="957">
                  <c:v>9087.0547279850343</c:v>
                </c:pt>
                <c:pt idx="958">
                  <c:v>9108.3024601078341</c:v>
                </c:pt>
                <c:pt idx="959">
                  <c:v>9129.5853949226785</c:v>
                </c:pt>
                <c:pt idx="960">
                  <c:v>9150.9026922157427</c:v>
                </c:pt>
                <c:pt idx="961">
                  <c:v>9172.2535104166291</c:v>
                </c:pt>
                <c:pt idx="962">
                  <c:v>9193.6370066315976</c:v>
                </c:pt>
                <c:pt idx="963">
                  <c:v>9215.0523366768284</c:v>
                </c:pt>
                <c:pt idx="964">
                  <c:v>9236.4986551117618</c:v>
                </c:pt>
                <c:pt idx="965">
                  <c:v>9257.9751152724675</c:v>
                </c:pt>
                <c:pt idx="966">
                  <c:v>9279.4808693050727</c:v>
                </c:pt>
                <c:pt idx="967">
                  <c:v>9301.0150681992309</c:v>
                </c:pt>
                <c:pt idx="968">
                  <c:v>9322.5768618216425</c:v>
                </c:pt>
                <c:pt idx="969">
                  <c:v>9344.1653989496153</c:v>
                </c:pt>
                <c:pt idx="970">
                  <c:v>9365.7798273046683</c:v>
                </c:pt>
                <c:pt idx="971">
                  <c:v>9387.4192935861829</c:v>
                </c:pt>
                <c:pt idx="972">
                  <c:v>9409.0829435050782</c:v>
                </c:pt>
                <c:pt idx="973">
                  <c:v>9430.7699218175512</c:v>
                </c:pt>
                <c:pt idx="974">
                  <c:v>9452.4793723588355</c:v>
                </c:pt>
                <c:pt idx="975">
                  <c:v>9474.2104380769924</c:v>
                </c:pt>
                <c:pt idx="976">
                  <c:v>9495.9622610667575</c:v>
                </c:pt>
                <c:pt idx="977">
                  <c:v>9517.733982603404</c:v>
                </c:pt>
                <c:pt idx="978">
                  <c:v>9539.5247431766475</c:v>
                </c:pt>
                <c:pt idx="979">
                  <c:v>9561.3336825245697</c:v>
                </c:pt>
                <c:pt idx="980">
                  <c:v>9583.1599396675883</c:v>
                </c:pt>
                <c:pt idx="981">
                  <c:v>9605.0026529424449</c:v>
                </c:pt>
                <c:pt idx="982">
                  <c:v>9626.8609600362197</c:v>
                </c:pt>
                <c:pt idx="983">
                  <c:v>9648.733998020376</c:v>
                </c:pt>
                <c:pt idx="984">
                  <c:v>9670.6209033848263</c:v>
                </c:pt>
                <c:pt idx="985">
                  <c:v>9692.5208120720235</c:v>
                </c:pt>
                <c:pt idx="986">
                  <c:v>9714.4328595110728</c:v>
                </c:pt>
                <c:pt idx="987">
                  <c:v>9736.3561806518574</c:v>
                </c:pt>
                <c:pt idx="988">
                  <c:v>9758.2899099991992</c:v>
                </c:pt>
                <c:pt idx="989">
                  <c:v>9780.2331816470214</c:v>
                </c:pt>
                <c:pt idx="990">
                  <c:v>9802.185129312531</c:v>
                </c:pt>
                <c:pt idx="991">
                  <c:v>9824.1448863704227</c:v>
                </c:pt>
                <c:pt idx="992">
                  <c:v>9846.1115858870871</c:v>
                </c:pt>
                <c:pt idx="993">
                  <c:v>9868.0843606548424</c:v>
                </c:pt>
                <c:pt idx="994">
                  <c:v>9890.0623432261618</c:v>
                </c:pt>
                <c:pt idx="995">
                  <c:v>9912.0446659479294</c:v>
                </c:pt>
                <c:pt idx="996">
                  <c:v>9934.0304609956802</c:v>
                </c:pt>
                <c:pt idx="997">
                  <c:v>9956.0188604078721</c:v>
                </c:pt>
                <c:pt idx="998">
                  <c:v>9978.0089961201502</c:v>
                </c:pt>
                <c:pt idx="999">
                  <c:v>9999.9999999996035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3F-4584-B119-E3CC2E63D94B}"/>
            </c:ext>
          </c:extLst>
        </c:ser>
        <c:ser>
          <c:idx val="2"/>
          <c:order val="2"/>
          <c:tx>
            <c:v>pl3</c:v>
          </c:tx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Feuil1!$AB$12:$AB$1011</c:f>
              <c:numCache>
                <c:formatCode>General</c:formatCode>
                <c:ptCount val="1000"/>
                <c:pt idx="0">
                  <c:v>-9.8695719314491726E-2</c:v>
                </c:pt>
                <c:pt idx="1">
                  <c:v>-0.39477898091899988</c:v>
                </c:pt>
                <c:pt idx="2">
                  <c:v>-0.88823809595487546</c:v>
                </c:pt>
                <c:pt idx="3">
                  <c:v>-1.5790535835003539</c:v>
                </c:pt>
                <c:pt idx="4">
                  <c:v>-2.4671981713418063</c:v>
                </c:pt>
                <c:pt idx="5">
                  <c:v>-3.5526367970542196</c:v>
                </c:pt>
                <c:pt idx="6">
                  <c:v>-4.8353266093763523</c:v>
                </c:pt>
                <c:pt idx="7">
                  <c:v>-6.3152169699123988</c:v>
                </c:pt>
                <c:pt idx="8">
                  <c:v>-7.9922494551246928</c:v>
                </c:pt>
                <c:pt idx="9">
                  <c:v>-9.8663578586420044</c:v>
                </c:pt>
                <c:pt idx="10">
                  <c:v>-11.937468193873428</c:v>
                </c:pt>
                <c:pt idx="11">
                  <c:v>-14.20549869693059</c:v>
                </c:pt>
                <c:pt idx="12">
                  <c:v>-16.670359829850895</c:v>
                </c:pt>
                <c:pt idx="13">
                  <c:v>-19.331954284137282</c:v>
                </c:pt>
                <c:pt idx="14">
                  <c:v>-22.19017698459993</c:v>
                </c:pt>
                <c:pt idx="15">
                  <c:v>-25.244915093499003</c:v>
                </c:pt>
                <c:pt idx="16">
                  <c:v>-28.496048015005726</c:v>
                </c:pt>
                <c:pt idx="17">
                  <c:v>-31.943447399958131</c:v>
                </c:pt>
                <c:pt idx="18">
                  <c:v>-35.586977150931489</c:v>
                </c:pt>
                <c:pt idx="19">
                  <c:v>-39.426493427610694</c:v>
                </c:pt>
                <c:pt idx="20">
                  <c:v>-43.461844652467335</c:v>
                </c:pt>
                <c:pt idx="21">
                  <c:v>-47.692871516744162</c:v>
                </c:pt>
                <c:pt idx="22">
                  <c:v>-52.119406986745162</c:v>
                </c:pt>
                <c:pt idx="23">
                  <c:v>-56.741276310429384</c:v>
                </c:pt>
                <c:pt idx="24">
                  <c:v>-61.558297024311287</c:v>
                </c:pt>
                <c:pt idx="25">
                  <c:v>-66.57027896065938</c:v>
                </c:pt>
                <c:pt idx="26">
                  <c:v>-71.777024255009565</c:v>
                </c:pt>
                <c:pt idx="27">
                  <c:v>-77.178327353973145</c:v>
                </c:pt>
                <c:pt idx="28">
                  <c:v>-82.77397502335134</c:v>
                </c:pt>
                <c:pt idx="29">
                  <c:v>-88.563746356556294</c:v>
                </c:pt>
                <c:pt idx="30">
                  <c:v>-94.547412783329492</c:v>
                </c:pt>
                <c:pt idx="31">
                  <c:v>-100.72473807876577</c:v>
                </c:pt>
                <c:pt idx="32">
                  <c:v>-107.09547837263926</c:v>
                </c:pt>
                <c:pt idx="33">
                  <c:v>-113.65938215903225</c:v>
                </c:pt>
                <c:pt idx="34">
                  <c:v>-120.41619030626316</c:v>
                </c:pt>
                <c:pt idx="35">
                  <c:v>-127.36563606711479</c:v>
                </c:pt>
                <c:pt idx="36">
                  <c:v>-134.50744508936714</c:v>
                </c:pt>
                <c:pt idx="37">
                  <c:v>-141.84133542663039</c:v>
                </c:pt>
                <c:pt idx="38">
                  <c:v>-149.3670175494708</c:v>
                </c:pt>
                <c:pt idx="39">
                  <c:v>-157.08419435684482</c:v>
                </c:pt>
                <c:pt idx="40">
                  <c:v>-164.99256118782432</c:v>
                </c:pt>
                <c:pt idx="41">
                  <c:v>-173.09180583363104</c:v>
                </c:pt>
                <c:pt idx="42">
                  <c:v>-181.38160854995112</c:v>
                </c:pt>
                <c:pt idx="43">
                  <c:v>-189.86164206957073</c:v>
                </c:pt>
                <c:pt idx="44">
                  <c:v>-198.53157161528452</c:v>
                </c:pt>
                <c:pt idx="45">
                  <c:v>-207.39105491312057</c:v>
                </c:pt>
                <c:pt idx="46">
                  <c:v>-216.43974220584732</c:v>
                </c:pt>
                <c:pt idx="47">
                  <c:v>-225.67727626678516</c:v>
                </c:pt>
                <c:pt idx="48">
                  <c:v>-235.10329241390536</c:v>
                </c:pt>
                <c:pt idx="49">
                  <c:v>-244.71741852423202</c:v>
                </c:pt>
                <c:pt idx="50">
                  <c:v>-254.51927504852665</c:v>
                </c:pt>
                <c:pt idx="51">
                  <c:v>-264.50847502627857</c:v>
                </c:pt>
                <c:pt idx="52">
                  <c:v>-274.68462410097618</c:v>
                </c:pt>
                <c:pt idx="53">
                  <c:v>-285.0473205356775</c:v>
                </c:pt>
                <c:pt idx="54">
                  <c:v>-295.5961552288727</c:v>
                </c:pt>
                <c:pt idx="55">
                  <c:v>-306.33071173062945</c:v>
                </c:pt>
                <c:pt idx="56">
                  <c:v>-317.25056625903835</c:v>
                </c:pt>
                <c:pt idx="57">
                  <c:v>-328.35528771693953</c:v>
                </c:pt>
                <c:pt idx="58">
                  <c:v>-339.64443770894559</c:v>
                </c:pt>
                <c:pt idx="59">
                  <c:v>-351.11757055874295</c:v>
                </c:pt>
                <c:pt idx="60">
                  <c:v>-362.77423332669332</c:v>
                </c:pt>
                <c:pt idx="61">
                  <c:v>-374.61396582770976</c:v>
                </c:pt>
                <c:pt idx="62">
                  <c:v>-386.63630064942572</c:v>
                </c:pt>
                <c:pt idx="63">
                  <c:v>-398.84076317064773</c:v>
                </c:pt>
                <c:pt idx="64">
                  <c:v>-411.22687158009467</c:v>
                </c:pt>
                <c:pt idx="65">
                  <c:v>-423.79413689541161</c:v>
                </c:pt>
                <c:pt idx="66">
                  <c:v>-436.54206298248573</c:v>
                </c:pt>
                <c:pt idx="67">
                  <c:v>-449.47014657502132</c:v>
                </c:pt>
                <c:pt idx="68">
                  <c:v>-462.57787729441498</c:v>
                </c:pt>
                <c:pt idx="69">
                  <c:v>-475.86473766990184</c:v>
                </c:pt>
                <c:pt idx="70">
                  <c:v>-489.33020315898557</c:v>
                </c:pt>
                <c:pt idx="71">
                  <c:v>-502.97374216814478</c:v>
                </c:pt>
                <c:pt idx="72">
                  <c:v>-516.79481607382058</c:v>
                </c:pt>
                <c:pt idx="73">
                  <c:v>-530.79287924368055</c:v>
                </c:pt>
                <c:pt idx="74">
                  <c:v>-544.96737905816008</c:v>
                </c:pt>
                <c:pt idx="75">
                  <c:v>-559.31775593227667</c:v>
                </c:pt>
                <c:pt idx="76">
                  <c:v>-573.84344333772333</c:v>
                </c:pt>
                <c:pt idx="77">
                  <c:v>-588.54386782523306</c:v>
                </c:pt>
                <c:pt idx="78">
                  <c:v>-603.41844904721802</c:v>
                </c:pt>
                <c:pt idx="79">
                  <c:v>-618.46659978068237</c:v>
                </c:pt>
                <c:pt idx="80">
                  <c:v>-633.687725950399</c:v>
                </c:pt>
                <c:pt idx="81">
                  <c:v>-649.0812266523717</c:v>
                </c:pt>
                <c:pt idx="82">
                  <c:v>-664.64649417755027</c:v>
                </c:pt>
                <c:pt idx="83">
                  <c:v>-680.38291403582389</c:v>
                </c:pt>
                <c:pt idx="84">
                  <c:v>-696.28986498028189</c:v>
                </c:pt>
                <c:pt idx="85">
                  <c:v>-712.36671903173919</c:v>
                </c:pt>
                <c:pt idx="86">
                  <c:v>-728.61284150352458</c:v>
                </c:pt>
                <c:pt idx="87">
                  <c:v>-745.02759102654181</c:v>
                </c:pt>
                <c:pt idx="88">
                  <c:v>-761.61031957458454</c:v>
                </c:pt>
                <c:pt idx="89">
                  <c:v>-778.36037248992579</c:v>
                </c:pt>
                <c:pt idx="90">
                  <c:v>-795.27708850915587</c:v>
                </c:pt>
                <c:pt idx="91">
                  <c:v>-812.35979978929299</c:v>
                </c:pt>
                <c:pt idx="92">
                  <c:v>-829.60783193414591</c:v>
                </c:pt>
                <c:pt idx="93">
                  <c:v>-847.02050402093846</c:v>
                </c:pt>
                <c:pt idx="94">
                  <c:v>-864.59712862719334</c:v>
                </c:pt>
                <c:pt idx="95">
                  <c:v>-882.33701185786504</c:v>
                </c:pt>
                <c:pt idx="96">
                  <c:v>-900.23945337274108</c:v>
                </c:pt>
                <c:pt idx="97">
                  <c:v>-918.30374641408253</c:v>
                </c:pt>
                <c:pt idx="98">
                  <c:v>-936.52917783453313</c:v>
                </c:pt>
                <c:pt idx="99">
                  <c:v>-954.91502812526551</c:v>
                </c:pt>
                <c:pt idx="100">
                  <c:v>-973.46057144439328</c:v>
                </c:pt>
                <c:pt idx="101">
                  <c:v>-992.16507564562016</c:v>
                </c:pt>
                <c:pt idx="102">
                  <c:v>-1011.0278023071482</c:v>
                </c:pt>
                <c:pt idx="103">
                  <c:v>-1030.0480067608269</c:v>
                </c:pt>
                <c:pt idx="104">
                  <c:v>-1049.224938121552</c:v>
                </c:pt>
                <c:pt idx="105">
                  <c:v>-1068.5578393169094</c:v>
                </c:pt>
                <c:pt idx="106">
                  <c:v>-1088.0459471170634</c:v>
                </c:pt>
                <c:pt idx="107">
                  <c:v>-1107.6884921648871</c:v>
                </c:pt>
                <c:pt idx="108">
                  <c:v>-1127.4846990063352</c:v>
                </c:pt>
                <c:pt idx="109">
                  <c:v>-1147.4337861210588</c:v>
                </c:pt>
                <c:pt idx="110">
                  <c:v>-1167.5349659532558</c:v>
                </c:pt>
                <c:pt idx="111">
                  <c:v>-1187.7874449427659</c:v>
                </c:pt>
                <c:pt idx="112">
                  <c:v>-1208.1904235563961</c:v>
                </c:pt>
                <c:pt idx="113">
                  <c:v>-1228.7430963194865</c:v>
                </c:pt>
                <c:pt idx="114">
                  <c:v>-1249.444651847708</c:v>
                </c:pt>
                <c:pt idx="115">
                  <c:v>-1270.2942728790954</c:v>
                </c:pt>
                <c:pt idx="116">
                  <c:v>-1291.2911363063099</c:v>
                </c:pt>
                <c:pt idx="117">
                  <c:v>-1312.4344132091369</c:v>
                </c:pt>
                <c:pt idx="118">
                  <c:v>-1333.7232688872064</c:v>
                </c:pt>
                <c:pt idx="119">
                  <c:v>-1355.1568628929494</c:v>
                </c:pt>
                <c:pt idx="120">
                  <c:v>-1376.7343490647736</c:v>
                </c:pt>
                <c:pt idx="121">
                  <c:v>-1398.4548755604733</c:v>
                </c:pt>
                <c:pt idx="122">
                  <c:v>-1420.3175848908518</c:v>
                </c:pt>
                <c:pt idx="123">
                  <c:v>-1442.3216139535812</c:v>
                </c:pt>
                <c:pt idx="124">
                  <c:v>-1464.4660940672707</c:v>
                </c:pt>
                <c:pt idx="125">
                  <c:v>-1486.7501510057623</c:v>
                </c:pt>
                <c:pt idx="126">
                  <c:v>-1509.1729050326453</c:v>
                </c:pt>
                <c:pt idx="127">
                  <c:v>-1531.7334709359843</c:v>
                </c:pt>
                <c:pt idx="128">
                  <c:v>-1554.4309580632671</c:v>
                </c:pt>
                <c:pt idx="129">
                  <c:v>-1577.2644703565657</c:v>
                </c:pt>
                <c:pt idx="130">
                  <c:v>-1600.2331063879137</c:v>
                </c:pt>
                <c:pt idx="131">
                  <c:v>-1623.3359593948876</c:v>
                </c:pt>
                <c:pt idx="132">
                  <c:v>-1646.5721173164097</c:v>
                </c:pt>
                <c:pt idx="133">
                  <c:v>-1669.940662828752</c:v>
                </c:pt>
                <c:pt idx="134">
                  <c:v>-1693.4406733817514</c:v>
                </c:pt>
                <c:pt idx="135">
                  <c:v>-1717.0712212352287</c:v>
                </c:pt>
                <c:pt idx="136">
                  <c:v>-1740.8313734956173</c:v>
                </c:pt>
                <c:pt idx="137">
                  <c:v>-1764.7201921527899</c:v>
                </c:pt>
                <c:pt idx="138">
                  <c:v>-1788.7367341170898</c:v>
                </c:pt>
                <c:pt idx="139">
                  <c:v>-1812.8800512565635</c:v>
                </c:pt>
                <c:pt idx="140">
                  <c:v>-1837.1491904343902</c:v>
                </c:pt>
                <c:pt idx="141">
                  <c:v>-1861.5431935465099</c:v>
                </c:pt>
                <c:pt idx="142">
                  <c:v>-1886.06109755945</c:v>
                </c:pt>
                <c:pt idx="143">
                  <c:v>-1910.7019345483413</c:v>
                </c:pt>
                <c:pt idx="144">
                  <c:v>-1935.464731735131</c:v>
                </c:pt>
                <c:pt idx="145">
                  <c:v>-1960.3485115269864</c:v>
                </c:pt>
                <c:pt idx="146">
                  <c:v>-1985.3522915548906</c:v>
                </c:pt>
                <c:pt idx="147">
                  <c:v>-2010.4750847124196</c:v>
                </c:pt>
                <c:pt idx="148">
                  <c:v>-2035.7158991947181</c:v>
                </c:pt>
                <c:pt idx="149">
                  <c:v>-2061.0737385376492</c:v>
                </c:pt>
                <c:pt idx="150">
                  <c:v>-2086.5476016571342</c:v>
                </c:pt>
                <c:pt idx="151">
                  <c:v>-2112.1364828886772</c:v>
                </c:pt>
                <c:pt idx="152">
                  <c:v>-2137.839372027061</c:v>
                </c:pt>
                <c:pt idx="153">
                  <c:v>-2163.6552543662333</c:v>
                </c:pt>
                <c:pt idx="154">
                  <c:v>-2189.5831107393633</c:v>
                </c:pt>
                <c:pt idx="155">
                  <c:v>-2215.6219175590763</c:v>
                </c:pt>
                <c:pt idx="156">
                  <c:v>-2241.7706468578658</c:v>
                </c:pt>
                <c:pt idx="157">
                  <c:v>-2268.0282663286716</c:v>
                </c:pt>
                <c:pt idx="158">
                  <c:v>-2294.3937393656383</c:v>
                </c:pt>
                <c:pt idx="159">
                  <c:v>-2320.8660251050337</c:v>
                </c:pt>
                <c:pt idx="160">
                  <c:v>-2347.444078466347</c:v>
                </c:pt>
                <c:pt idx="161">
                  <c:v>-2374.1268501935392</c:v>
                </c:pt>
                <c:pt idx="162">
                  <c:v>-2400.9132868964707</c:v>
                </c:pt>
                <c:pt idx="163">
                  <c:v>-2427.8023310924864</c:v>
                </c:pt>
                <c:pt idx="164">
                  <c:v>-2454.7929212481622</c:v>
                </c:pt>
                <c:pt idx="165">
                  <c:v>-2481.8839918212147</c:v>
                </c:pt>
                <c:pt idx="166">
                  <c:v>-2509.0744733025649</c:v>
                </c:pt>
                <c:pt idx="167">
                  <c:v>-2536.3632922585616</c:v>
                </c:pt>
                <c:pt idx="168">
                  <c:v>-2563.7493713733579</c:v>
                </c:pt>
                <c:pt idx="169">
                  <c:v>-2591.2316294914435</c:v>
                </c:pt>
                <c:pt idx="170">
                  <c:v>-2618.8089816603247</c:v>
                </c:pt>
                <c:pt idx="171">
                  <c:v>-2646.4803391733581</c:v>
                </c:pt>
                <c:pt idx="172">
                  <c:v>-2674.2446096127292</c:v>
                </c:pt>
                <c:pt idx="173">
                  <c:v>-2702.1006968925822</c:v>
                </c:pt>
                <c:pt idx="174">
                  <c:v>-2730.0475013022874</c:v>
                </c:pt>
                <c:pt idx="175">
                  <c:v>-2758.0839195498606</c:v>
                </c:pt>
                <c:pt idx="176">
                  <c:v>-2786.2088448055147</c:v>
                </c:pt>
                <c:pt idx="177">
                  <c:v>-2814.4211667453583</c:v>
                </c:pt>
                <c:pt idx="178">
                  <c:v>-2842.7197715952279</c:v>
                </c:pt>
                <c:pt idx="179">
                  <c:v>-2871.1035421746597</c:v>
                </c:pt>
                <c:pt idx="180">
                  <c:v>-2899.5713579409921</c:v>
                </c:pt>
                <c:pt idx="181">
                  <c:v>-2928.1220950336033</c:v>
                </c:pt>
                <c:pt idx="182">
                  <c:v>-2956.7546263182785</c:v>
                </c:pt>
                <c:pt idx="183">
                  <c:v>-2985.4678214317109</c:v>
                </c:pt>
                <c:pt idx="184">
                  <c:v>-3014.2605468261218</c:v>
                </c:pt>
                <c:pt idx="185">
                  <c:v>-3043.1316658140131</c:v>
                </c:pt>
                <c:pt idx="186">
                  <c:v>-3072.0800386130422</c:v>
                </c:pt>
                <c:pt idx="187">
                  <c:v>-3101.1045223910201</c:v>
                </c:pt>
                <c:pt idx="188">
                  <c:v>-3130.2039713110239</c:v>
                </c:pt>
                <c:pt idx="189">
                  <c:v>-3159.3772365766363</c:v>
                </c:pt>
                <c:pt idx="190">
                  <c:v>-3188.6231664772981</c:v>
                </c:pt>
                <c:pt idx="191">
                  <c:v>-3217.9406064337736</c:v>
                </c:pt>
                <c:pt idx="192">
                  <c:v>-3247.3283990437321</c:v>
                </c:pt>
                <c:pt idx="193">
                  <c:v>-3276.7853841274423</c:v>
                </c:pt>
                <c:pt idx="194">
                  <c:v>-3306.3103987735713</c:v>
                </c:pt>
                <c:pt idx="195">
                  <c:v>-3335.9022773850947</c:v>
                </c:pt>
                <c:pt idx="196">
                  <c:v>-3365.5598517253161</c:v>
                </c:pt>
                <c:pt idx="197">
                  <c:v>-3395.2819509639812</c:v>
                </c:pt>
                <c:pt idx="198">
                  <c:v>-3425.0674017235051</c:v>
                </c:pt>
                <c:pt idx="199">
                  <c:v>-3454.9150281252923</c:v>
                </c:pt>
                <c:pt idx="200">
                  <c:v>-3484.82365183616</c:v>
                </c:pt>
                <c:pt idx="201">
                  <c:v>-3514.7920921148552</c:v>
                </c:pt>
                <c:pt idx="202">
                  <c:v>-3544.8191658586711</c:v>
                </c:pt>
                <c:pt idx="203">
                  <c:v>-3574.90368765015</c:v>
                </c:pt>
                <c:pt idx="204">
                  <c:v>-3605.0444698038846</c:v>
                </c:pt>
                <c:pt idx="205">
                  <c:v>-3635.240322413405</c:v>
                </c:pt>
                <c:pt idx="206">
                  <c:v>-3665.4900533981536</c:v>
                </c:pt>
                <c:pt idx="207">
                  <c:v>-3695.7924685505473</c:v>
                </c:pt>
                <c:pt idx="208">
                  <c:v>-3726.1463715831214</c:v>
                </c:pt>
                <c:pt idx="209">
                  <c:v>-3756.5505641757586</c:v>
                </c:pt>
                <c:pt idx="210">
                  <c:v>-3787.0038460229953</c:v>
                </c:pt>
                <c:pt idx="211">
                  <c:v>-3817.5050148814098</c:v>
                </c:pt>
                <c:pt idx="212">
                  <c:v>-3848.0528666170803</c:v>
                </c:pt>
                <c:pt idx="213">
                  <c:v>-3878.6461952531276</c:v>
                </c:pt>
                <c:pt idx="214">
                  <c:v>-3909.2837930173209</c:v>
                </c:pt>
                <c:pt idx="215">
                  <c:v>-3939.9644503897612</c:v>
                </c:pt>
                <c:pt idx="216">
                  <c:v>-3970.6869561506282</c:v>
                </c:pt>
                <c:pt idx="217">
                  <c:v>-4001.4500974279999</c:v>
                </c:pt>
                <c:pt idx="218">
                  <c:v>-4032.252659745734</c:v>
                </c:pt>
                <c:pt idx="219">
                  <c:v>-4063.0934270714124</c:v>
                </c:pt>
                <c:pt idx="220">
                  <c:v>-4093.9711818643491</c:v>
                </c:pt>
                <c:pt idx="221">
                  <c:v>-4124.8847051236562</c:v>
                </c:pt>
                <c:pt idx="222">
                  <c:v>-4155.8327764363667</c:v>
                </c:pt>
                <c:pt idx="223">
                  <c:v>-4186.8141740256187</c:v>
                </c:pt>
                <c:pt idx="224">
                  <c:v>-4217.827674798883</c:v>
                </c:pt>
                <c:pt idx="225">
                  <c:v>-4248.8720543962518</c:v>
                </c:pt>
                <c:pt idx="226">
                  <c:v>-4279.9460872387772</c:v>
                </c:pt>
                <c:pt idx="227">
                  <c:v>-4311.0485465768479</c:v>
                </c:pt>
                <c:pt idx="228">
                  <c:v>-4342.1782045386253</c:v>
                </c:pt>
                <c:pt idx="229">
                  <c:v>-4373.3338321785177</c:v>
                </c:pt>
                <c:pt idx="230">
                  <c:v>-4404.5141995256899</c:v>
                </c:pt>
                <c:pt idx="231">
                  <c:v>-4435.7180756326306</c:v>
                </c:pt>
                <c:pt idx="232">
                  <c:v>-4466.9442286237399</c:v>
                </c:pt>
                <c:pt idx="233">
                  <c:v>-4498.1914257439648</c:v>
                </c:pt>
                <c:pt idx="234">
                  <c:v>-4529.458433407468</c:v>
                </c:pt>
                <c:pt idx="235">
                  <c:v>-4560.7440172463248</c:v>
                </c:pt>
                <c:pt idx="236">
                  <c:v>-4592.0469421592525</c:v>
                </c:pt>
                <c:pt idx="237">
                  <c:v>-4623.3659723603769</c:v>
                </c:pt>
                <c:pt idx="238">
                  <c:v>-4654.6998714280126</c:v>
                </c:pt>
                <c:pt idx="239">
                  <c:v>-4686.0474023534744</c:v>
                </c:pt>
                <c:pt idx="240">
                  <c:v>-4717.4073275899191</c:v>
                </c:pt>
                <c:pt idx="241">
                  <c:v>-4748.7784091011945</c:v>
                </c:pt>
                <c:pt idx="242">
                  <c:v>-4780.1594084107173</c:v>
                </c:pt>
                <c:pt idx="243">
                  <c:v>-4811.5490866503696</c:v>
                </c:pt>
                <c:pt idx="244">
                  <c:v>-4842.9462046094013</c:v>
                </c:pt>
                <c:pt idx="245">
                  <c:v>-4874.3495227833555</c:v>
                </c:pt>
                <c:pt idx="246">
                  <c:v>-4905.7578014230021</c:v>
                </c:pt>
                <c:pt idx="247">
                  <c:v>-4937.1698005832804</c:v>
                </c:pt>
                <c:pt idx="248">
                  <c:v>-4968.5842801722492</c:v>
                </c:pt>
                <c:pt idx="249">
                  <c:v>-5000.0000000000437</c:v>
                </c:pt>
                <c:pt idx="250">
                  <c:v>-5031.415719827839</c:v>
                </c:pt>
                <c:pt idx="251">
                  <c:v>-5062.8301994168078</c:v>
                </c:pt>
                <c:pt idx="252">
                  <c:v>-5094.2421985770861</c:v>
                </c:pt>
                <c:pt idx="253">
                  <c:v>-5125.6504772167327</c:v>
                </c:pt>
                <c:pt idx="254">
                  <c:v>-5157.0537953906869</c:v>
                </c:pt>
                <c:pt idx="255">
                  <c:v>-5188.4509133497186</c:v>
                </c:pt>
                <c:pt idx="256">
                  <c:v>-5219.8405915893709</c:v>
                </c:pt>
                <c:pt idx="257">
                  <c:v>-5251.2215908988937</c:v>
                </c:pt>
                <c:pt idx="258">
                  <c:v>-5282.5926724101691</c:v>
                </c:pt>
                <c:pt idx="259">
                  <c:v>-5313.9525976466139</c:v>
                </c:pt>
                <c:pt idx="260">
                  <c:v>-5345.3001285720757</c:v>
                </c:pt>
                <c:pt idx="261">
                  <c:v>-5376.6340276397104</c:v>
                </c:pt>
                <c:pt idx="262">
                  <c:v>-5407.9530578408348</c:v>
                </c:pt>
                <c:pt idx="263">
                  <c:v>-5439.2559827537634</c:v>
                </c:pt>
                <c:pt idx="264">
                  <c:v>-5470.5415665926193</c:v>
                </c:pt>
                <c:pt idx="265">
                  <c:v>-5501.8085742561225</c:v>
                </c:pt>
                <c:pt idx="266">
                  <c:v>-5533.0557713763483</c:v>
                </c:pt>
                <c:pt idx="267">
                  <c:v>-5564.2819243674567</c:v>
                </c:pt>
                <c:pt idx="268">
                  <c:v>-5595.4858004743974</c:v>
                </c:pt>
                <c:pt idx="269">
                  <c:v>-5626.6661678215705</c:v>
                </c:pt>
                <c:pt idx="270">
                  <c:v>-5657.821795461462</c:v>
                </c:pt>
                <c:pt idx="271">
                  <c:v>-5688.9514534232394</c:v>
                </c:pt>
                <c:pt idx="272">
                  <c:v>-5720.0539127613101</c:v>
                </c:pt>
                <c:pt idx="273">
                  <c:v>-5751.1279456038355</c:v>
                </c:pt>
                <c:pt idx="274">
                  <c:v>-5782.1723252012043</c:v>
                </c:pt>
                <c:pt idx="275">
                  <c:v>-5813.1858259744686</c:v>
                </c:pt>
                <c:pt idx="276">
                  <c:v>-5844.1672235637197</c:v>
                </c:pt>
                <c:pt idx="277">
                  <c:v>-5875.1152948764311</c:v>
                </c:pt>
                <c:pt idx="278">
                  <c:v>-5906.0288181357373</c:v>
                </c:pt>
                <c:pt idx="279">
                  <c:v>-5936.906572928674</c:v>
                </c:pt>
                <c:pt idx="280">
                  <c:v>-5967.7473402543528</c:v>
                </c:pt>
                <c:pt idx="281">
                  <c:v>-5998.5499025720865</c:v>
                </c:pt>
                <c:pt idx="282">
                  <c:v>-6029.3130438494582</c:v>
                </c:pt>
                <c:pt idx="283">
                  <c:v>-6060.0355496103257</c:v>
                </c:pt>
                <c:pt idx="284">
                  <c:v>-6090.7162069827646</c:v>
                </c:pt>
                <c:pt idx="285">
                  <c:v>-6121.3538047469583</c:v>
                </c:pt>
                <c:pt idx="286">
                  <c:v>-6151.9471333830052</c:v>
                </c:pt>
                <c:pt idx="287">
                  <c:v>-6182.4949851186757</c:v>
                </c:pt>
                <c:pt idx="288">
                  <c:v>-6212.9961539770902</c:v>
                </c:pt>
                <c:pt idx="289">
                  <c:v>-6243.4494358243264</c:v>
                </c:pt>
                <c:pt idx="290">
                  <c:v>-6273.8536284169641</c:v>
                </c:pt>
                <c:pt idx="291">
                  <c:v>-6304.2075314495378</c:v>
                </c:pt>
                <c:pt idx="292">
                  <c:v>-6334.509946601931</c:v>
                </c:pt>
                <c:pt idx="293">
                  <c:v>-6364.7596775866805</c:v>
                </c:pt>
                <c:pt idx="294">
                  <c:v>-6394.9555301962</c:v>
                </c:pt>
                <c:pt idx="295">
                  <c:v>-6425.096312349935</c:v>
                </c:pt>
                <c:pt idx="296">
                  <c:v>-6455.1808341414135</c:v>
                </c:pt>
                <c:pt idx="297">
                  <c:v>-6485.2079078852285</c:v>
                </c:pt>
                <c:pt idx="298">
                  <c:v>-6515.1763481639246</c:v>
                </c:pt>
                <c:pt idx="299">
                  <c:v>-6545.0849718747913</c:v>
                </c:pt>
                <c:pt idx="300">
                  <c:v>-6574.9325982765786</c:v>
                </c:pt>
                <c:pt idx="301">
                  <c:v>-6604.7180490361025</c:v>
                </c:pt>
                <c:pt idx="302">
                  <c:v>-6634.4401482747671</c:v>
                </c:pt>
                <c:pt idx="303">
                  <c:v>-6664.097722614988</c:v>
                </c:pt>
                <c:pt idx="304">
                  <c:v>-6693.6896012265115</c:v>
                </c:pt>
                <c:pt idx="305">
                  <c:v>-6723.2146158726409</c:v>
                </c:pt>
                <c:pt idx="306">
                  <c:v>-6752.6716009563506</c:v>
                </c:pt>
                <c:pt idx="307">
                  <c:v>-6782.0593935663092</c:v>
                </c:pt>
                <c:pt idx="308">
                  <c:v>-6811.3768335227842</c:v>
                </c:pt>
                <c:pt idx="309">
                  <c:v>-6840.6227634234456</c:v>
                </c:pt>
                <c:pt idx="310">
                  <c:v>-6869.7960286890575</c:v>
                </c:pt>
                <c:pt idx="311">
                  <c:v>-6898.8954776090613</c:v>
                </c:pt>
                <c:pt idx="312">
                  <c:v>-6927.9199613870387</c:v>
                </c:pt>
                <c:pt idx="313">
                  <c:v>-6956.8683341860688</c:v>
                </c:pt>
                <c:pt idx="314">
                  <c:v>-6985.7394531739592</c:v>
                </c:pt>
                <c:pt idx="315">
                  <c:v>-7014.53217856837</c:v>
                </c:pt>
                <c:pt idx="316">
                  <c:v>-7043.2453736818015</c:v>
                </c:pt>
                <c:pt idx="317">
                  <c:v>-7071.8779049664772</c:v>
                </c:pt>
                <c:pt idx="318">
                  <c:v>-7100.4286420590879</c:v>
                </c:pt>
                <c:pt idx="319">
                  <c:v>-7128.8964578254199</c:v>
                </c:pt>
                <c:pt idx="320">
                  <c:v>-7157.2802284048521</c:v>
                </c:pt>
                <c:pt idx="321">
                  <c:v>-7185.5788332547218</c:v>
                </c:pt>
                <c:pt idx="322">
                  <c:v>-7213.7911551945645</c:v>
                </c:pt>
                <c:pt idx="323">
                  <c:v>-7241.9160804502189</c:v>
                </c:pt>
                <c:pt idx="324">
                  <c:v>-7269.9524986977904</c:v>
                </c:pt>
                <c:pt idx="325">
                  <c:v>-7297.8993031074961</c:v>
                </c:pt>
                <c:pt idx="326">
                  <c:v>-7325.7553903873486</c:v>
                </c:pt>
                <c:pt idx="327">
                  <c:v>-7353.5196608267197</c:v>
                </c:pt>
                <c:pt idx="328">
                  <c:v>-7381.1910183397522</c:v>
                </c:pt>
                <c:pt idx="329">
                  <c:v>-7408.7683705086329</c:v>
                </c:pt>
                <c:pt idx="330">
                  <c:v>-7436.2506286267189</c:v>
                </c:pt>
                <c:pt idx="331">
                  <c:v>-7463.6367077415152</c:v>
                </c:pt>
                <c:pt idx="332">
                  <c:v>-7490.9255266975115</c:v>
                </c:pt>
                <c:pt idx="333">
                  <c:v>-7518.1160081788621</c:v>
                </c:pt>
                <c:pt idx="334">
                  <c:v>-7545.2070787519133</c:v>
                </c:pt>
                <c:pt idx="335">
                  <c:v>-7572.19766890759</c:v>
                </c:pt>
                <c:pt idx="336">
                  <c:v>-7599.0867131036048</c:v>
                </c:pt>
                <c:pt idx="337">
                  <c:v>-7625.8731498065354</c:v>
                </c:pt>
                <c:pt idx="338">
                  <c:v>-7652.5559215337271</c:v>
                </c:pt>
                <c:pt idx="339">
                  <c:v>-7679.1339748950404</c:v>
                </c:pt>
                <c:pt idx="340">
                  <c:v>-7705.6062606344367</c:v>
                </c:pt>
                <c:pt idx="341">
                  <c:v>-7731.9717336714029</c:v>
                </c:pt>
                <c:pt idx="342">
                  <c:v>-7758.2293531422092</c:v>
                </c:pt>
                <c:pt idx="343">
                  <c:v>-7784.3780824409969</c:v>
                </c:pt>
                <c:pt idx="344">
                  <c:v>-7810.4168892607104</c:v>
                </c:pt>
                <c:pt idx="345">
                  <c:v>-7836.3447456338399</c:v>
                </c:pt>
                <c:pt idx="346">
                  <c:v>-7862.1606279730113</c:v>
                </c:pt>
                <c:pt idx="347">
                  <c:v>-7887.8635171113947</c:v>
                </c:pt>
                <c:pt idx="348">
                  <c:v>-7913.4523983429372</c:v>
                </c:pt>
                <c:pt idx="349">
                  <c:v>-7938.9262614624222</c:v>
                </c:pt>
                <c:pt idx="350">
                  <c:v>-7964.2841008053529</c:v>
                </c:pt>
                <c:pt idx="351">
                  <c:v>-7989.5249152876513</c:v>
                </c:pt>
                <c:pt idx="352">
                  <c:v>-8014.6477084451808</c:v>
                </c:pt>
                <c:pt idx="353">
                  <c:v>-8039.6514884730841</c:v>
                </c:pt>
                <c:pt idx="354">
                  <c:v>-8064.5352682649391</c:v>
                </c:pt>
                <c:pt idx="355">
                  <c:v>-8089.2980654517287</c:v>
                </c:pt>
                <c:pt idx="356">
                  <c:v>-8113.9389024406191</c:v>
                </c:pt>
                <c:pt idx="357">
                  <c:v>-8138.4568064535588</c:v>
                </c:pt>
                <c:pt idx="358">
                  <c:v>-8162.8508095656789</c:v>
                </c:pt>
                <c:pt idx="359">
                  <c:v>-8187.1199487435042</c:v>
                </c:pt>
                <c:pt idx="360">
                  <c:v>-8211.2632658829789</c:v>
                </c:pt>
                <c:pt idx="361">
                  <c:v>-8235.279807847277</c:v>
                </c:pt>
                <c:pt idx="362">
                  <c:v>-8259.16862650445</c:v>
                </c:pt>
                <c:pt idx="363">
                  <c:v>-8282.9287787648391</c:v>
                </c:pt>
                <c:pt idx="364">
                  <c:v>-8306.559326618315</c:v>
                </c:pt>
                <c:pt idx="365">
                  <c:v>-8330.0593371713148</c:v>
                </c:pt>
                <c:pt idx="366">
                  <c:v>-8353.4278826836562</c:v>
                </c:pt>
                <c:pt idx="367">
                  <c:v>-8376.6640406051774</c:v>
                </c:pt>
                <c:pt idx="368">
                  <c:v>-8399.7668936121518</c:v>
                </c:pt>
                <c:pt idx="369">
                  <c:v>-8422.735529643498</c:v>
                </c:pt>
                <c:pt idx="370">
                  <c:v>-8445.5690419367966</c:v>
                </c:pt>
                <c:pt idx="371">
                  <c:v>-8468.2665290640798</c:v>
                </c:pt>
                <c:pt idx="372">
                  <c:v>-8490.8270949674188</c:v>
                </c:pt>
                <c:pt idx="373">
                  <c:v>-8513.2498489943009</c:v>
                </c:pt>
                <c:pt idx="374">
                  <c:v>-8535.5339059327925</c:v>
                </c:pt>
                <c:pt idx="375">
                  <c:v>-8557.678386046482</c:v>
                </c:pt>
                <c:pt idx="376">
                  <c:v>-8579.6824151092096</c:v>
                </c:pt>
                <c:pt idx="377">
                  <c:v>-8601.5451244395881</c:v>
                </c:pt>
                <c:pt idx="378">
                  <c:v>-8623.2656509352873</c:v>
                </c:pt>
                <c:pt idx="379">
                  <c:v>-8644.843137107111</c:v>
                </c:pt>
                <c:pt idx="380">
                  <c:v>-8666.2767311128537</c:v>
                </c:pt>
                <c:pt idx="381">
                  <c:v>-8687.5655867909227</c:v>
                </c:pt>
                <c:pt idx="382">
                  <c:v>-8708.7088636937497</c:v>
                </c:pt>
                <c:pt idx="383">
                  <c:v>-8729.7057271209633</c:v>
                </c:pt>
                <c:pt idx="384">
                  <c:v>-8750.5553481523511</c:v>
                </c:pt>
                <c:pt idx="385">
                  <c:v>-8771.2569036805726</c:v>
                </c:pt>
                <c:pt idx="386">
                  <c:v>-8791.8095764436621</c:v>
                </c:pt>
                <c:pt idx="387">
                  <c:v>-8812.212555057291</c:v>
                </c:pt>
                <c:pt idx="388">
                  <c:v>-8832.4650340468015</c:v>
                </c:pt>
                <c:pt idx="389">
                  <c:v>-8852.5662138789976</c:v>
                </c:pt>
                <c:pt idx="390">
                  <c:v>-8872.5153009937203</c:v>
                </c:pt>
                <c:pt idx="391">
                  <c:v>-8892.3115078351693</c:v>
                </c:pt>
                <c:pt idx="392">
                  <c:v>-8911.9540528829912</c:v>
                </c:pt>
                <c:pt idx="393">
                  <c:v>-8931.4421606831456</c:v>
                </c:pt>
                <c:pt idx="394">
                  <c:v>-8950.775061878503</c:v>
                </c:pt>
                <c:pt idx="395">
                  <c:v>-8969.9519932392268</c:v>
                </c:pt>
                <c:pt idx="396">
                  <c:v>-8988.972197692905</c:v>
                </c:pt>
                <c:pt idx="397">
                  <c:v>-9007.8349243544326</c:v>
                </c:pt>
                <c:pt idx="398">
                  <c:v>-9026.5394285556595</c:v>
                </c:pt>
                <c:pt idx="399">
                  <c:v>-9045.0849718747868</c:v>
                </c:pt>
                <c:pt idx="400">
                  <c:v>-9063.4708221655183</c:v>
                </c:pt>
                <c:pt idx="401">
                  <c:v>-9081.6962535859675</c:v>
                </c:pt>
                <c:pt idx="402">
                  <c:v>-9099.7605466273089</c:v>
                </c:pt>
                <c:pt idx="403">
                  <c:v>-9117.6629881421868</c:v>
                </c:pt>
                <c:pt idx="404">
                  <c:v>-9135.4028713728567</c:v>
                </c:pt>
                <c:pt idx="405">
                  <c:v>-9152.9794959791107</c:v>
                </c:pt>
                <c:pt idx="406">
                  <c:v>-9170.3921680659041</c:v>
                </c:pt>
                <c:pt idx="407">
                  <c:v>-9187.6402002107552</c:v>
                </c:pt>
                <c:pt idx="408">
                  <c:v>-9204.7229114908914</c:v>
                </c:pt>
                <c:pt idx="409">
                  <c:v>-9221.6396275101215</c:v>
                </c:pt>
                <c:pt idx="410">
                  <c:v>-9238.3896804254618</c:v>
                </c:pt>
                <c:pt idx="411">
                  <c:v>-9254.9724089735064</c:v>
                </c:pt>
                <c:pt idx="412">
                  <c:v>-9271.38715849652</c:v>
                </c:pt>
                <c:pt idx="413">
                  <c:v>-9287.6332809683063</c:v>
                </c:pt>
                <c:pt idx="414">
                  <c:v>-9303.7101350197627</c:v>
                </c:pt>
                <c:pt idx="415">
                  <c:v>-9319.6170859642207</c:v>
                </c:pt>
                <c:pt idx="416">
                  <c:v>-9335.3535058224952</c:v>
                </c:pt>
                <c:pt idx="417">
                  <c:v>-9350.918773347672</c:v>
                </c:pt>
                <c:pt idx="418">
                  <c:v>-9366.3122740496437</c:v>
                </c:pt>
                <c:pt idx="419">
                  <c:v>-9381.5334002193595</c:v>
                </c:pt>
                <c:pt idx="420">
                  <c:v>-9396.5815509528238</c:v>
                </c:pt>
                <c:pt idx="421">
                  <c:v>-9411.4561321748079</c:v>
                </c:pt>
                <c:pt idx="422">
                  <c:v>-9426.1565566623176</c:v>
                </c:pt>
                <c:pt idx="423">
                  <c:v>-9440.6822440677643</c:v>
                </c:pt>
                <c:pt idx="424">
                  <c:v>-9455.0326209418818</c:v>
                </c:pt>
                <c:pt idx="425">
                  <c:v>-9469.2071207563604</c:v>
                </c:pt>
                <c:pt idx="426">
                  <c:v>-9483.2051839262203</c:v>
                </c:pt>
                <c:pt idx="427">
                  <c:v>-9497.0262578318943</c:v>
                </c:pt>
                <c:pt idx="428">
                  <c:v>-9510.6697968410535</c:v>
                </c:pt>
                <c:pt idx="429">
                  <c:v>-9524.1352623301354</c:v>
                </c:pt>
                <c:pt idx="430">
                  <c:v>-9537.4221227056223</c:v>
                </c:pt>
                <c:pt idx="431">
                  <c:v>-9550.5298534250178</c:v>
                </c:pt>
                <c:pt idx="432">
                  <c:v>-9563.4579370175525</c:v>
                </c:pt>
                <c:pt idx="433">
                  <c:v>-9576.2058631046257</c:v>
                </c:pt>
                <c:pt idx="434">
                  <c:v>-9588.7731284199435</c:v>
                </c:pt>
                <c:pt idx="435">
                  <c:v>-9601.1592368293877</c:v>
                </c:pt>
                <c:pt idx="436">
                  <c:v>-9613.3636993506116</c:v>
                </c:pt>
                <c:pt idx="437">
                  <c:v>-9625.3860341723266</c:v>
                </c:pt>
                <c:pt idx="438">
                  <c:v>-9637.2257666733422</c:v>
                </c:pt>
                <c:pt idx="439">
                  <c:v>-9648.8824294412916</c:v>
                </c:pt>
                <c:pt idx="440">
                  <c:v>-9660.3555622910899</c:v>
                </c:pt>
                <c:pt idx="441">
                  <c:v>-9671.6447122830941</c:v>
                </c:pt>
                <c:pt idx="442">
                  <c:v>-9682.7494337409953</c:v>
                </c:pt>
                <c:pt idx="443">
                  <c:v>-9693.6692882694042</c:v>
                </c:pt>
                <c:pt idx="444">
                  <c:v>-9704.4038447711609</c:v>
                </c:pt>
                <c:pt idx="445">
                  <c:v>-9714.9526794643534</c:v>
                </c:pt>
                <c:pt idx="446">
                  <c:v>-9725.3153758990557</c:v>
                </c:pt>
                <c:pt idx="447">
                  <c:v>-9735.4915249737533</c:v>
                </c:pt>
                <c:pt idx="448">
                  <c:v>-9745.4807249515034</c:v>
                </c:pt>
                <c:pt idx="449">
                  <c:v>-9755.282581475798</c:v>
                </c:pt>
                <c:pt idx="450">
                  <c:v>-9764.8967075861237</c:v>
                </c:pt>
                <c:pt idx="451">
                  <c:v>-9774.322723733243</c:v>
                </c:pt>
                <c:pt idx="452">
                  <c:v>-9783.5602577941809</c:v>
                </c:pt>
                <c:pt idx="453">
                  <c:v>-9792.6089450869076</c:v>
                </c:pt>
                <c:pt idx="454">
                  <c:v>-9801.4684283847419</c:v>
                </c:pt>
                <c:pt idx="455">
                  <c:v>-9810.1383579304566</c:v>
                </c:pt>
                <c:pt idx="456">
                  <c:v>-9818.6183914500762</c:v>
                </c:pt>
                <c:pt idx="457">
                  <c:v>-9826.9081941663953</c:v>
                </c:pt>
                <c:pt idx="458">
                  <c:v>-9835.0074388122011</c:v>
                </c:pt>
                <c:pt idx="459">
                  <c:v>-9842.9158056431806</c:v>
                </c:pt>
                <c:pt idx="460">
                  <c:v>-9850.6329824505538</c:v>
                </c:pt>
                <c:pt idx="461">
                  <c:v>-9858.1586645733933</c:v>
                </c:pt>
                <c:pt idx="462">
                  <c:v>-9865.4925549106556</c:v>
                </c:pt>
                <c:pt idx="463">
                  <c:v>-9872.6343639329079</c:v>
                </c:pt>
                <c:pt idx="464">
                  <c:v>-9879.5838096937587</c:v>
                </c:pt>
                <c:pt idx="465">
                  <c:v>-9886.3406178409896</c:v>
                </c:pt>
                <c:pt idx="466">
                  <c:v>-9892.9045216273807</c:v>
                </c:pt>
                <c:pt idx="467">
                  <c:v>-9899.2752619212552</c:v>
                </c:pt>
                <c:pt idx="468">
                  <c:v>-9905.4525872166905</c:v>
                </c:pt>
                <c:pt idx="469">
                  <c:v>-9911.4362536434637</c:v>
                </c:pt>
                <c:pt idx="470">
                  <c:v>-9917.2260249766659</c:v>
                </c:pt>
                <c:pt idx="471">
                  <c:v>-9922.821672646045</c:v>
                </c:pt>
                <c:pt idx="472">
                  <c:v>-9928.2229757450077</c:v>
                </c:pt>
                <c:pt idx="473">
                  <c:v>-9933.4297210393561</c:v>
                </c:pt>
                <c:pt idx="474">
                  <c:v>-9938.441702975706</c:v>
                </c:pt>
                <c:pt idx="475">
                  <c:v>-9943.2587236895852</c:v>
                </c:pt>
                <c:pt idx="476">
                  <c:v>-9947.8805930132694</c:v>
                </c:pt>
                <c:pt idx="477">
                  <c:v>-9952.3071284832695</c:v>
                </c:pt>
                <c:pt idx="478">
                  <c:v>-9956.5381553475472</c:v>
                </c:pt>
                <c:pt idx="479">
                  <c:v>-9960.573506572402</c:v>
                </c:pt>
                <c:pt idx="480">
                  <c:v>-9964.4130228490794</c:v>
                </c:pt>
                <c:pt idx="481">
                  <c:v>-9968.0565526000537</c:v>
                </c:pt>
                <c:pt idx="482">
                  <c:v>-9971.503951985007</c:v>
                </c:pt>
                <c:pt idx="483">
                  <c:v>-9974.7550849065119</c:v>
                </c:pt>
                <c:pt idx="484">
                  <c:v>-9977.8098230154101</c:v>
                </c:pt>
                <c:pt idx="485">
                  <c:v>-9980.6680457158727</c:v>
                </c:pt>
                <c:pt idx="486">
                  <c:v>-9983.3296401701591</c:v>
                </c:pt>
                <c:pt idx="487">
                  <c:v>-9985.7945013030767</c:v>
                </c:pt>
                <c:pt idx="488">
                  <c:v>-9988.062531806132</c:v>
                </c:pt>
                <c:pt idx="489">
                  <c:v>-9990.1336421413653</c:v>
                </c:pt>
                <c:pt idx="490">
                  <c:v>-9992.0077505448808</c:v>
                </c:pt>
                <c:pt idx="491">
                  <c:v>-9993.684783030094</c:v>
                </c:pt>
                <c:pt idx="492">
                  <c:v>-9995.1646733906273</c:v>
                </c:pt>
                <c:pt idx="493">
                  <c:v>-9996.4473632029512</c:v>
                </c:pt>
                <c:pt idx="494">
                  <c:v>-9997.53280182866</c:v>
                </c:pt>
                <c:pt idx="495">
                  <c:v>-9998.4209464165033</c:v>
                </c:pt>
                <c:pt idx="496">
                  <c:v>-9999.1117619040469</c:v>
                </c:pt>
                <c:pt idx="497">
                  <c:v>-9999.6052210190828</c:v>
                </c:pt>
                <c:pt idx="498">
                  <c:v>-9999.9013042806873</c:v>
                </c:pt>
                <c:pt idx="499">
                  <c:v>-10000</c:v>
                </c:pt>
                <c:pt idx="500">
                  <c:v>-9999.9013042806837</c:v>
                </c:pt>
                <c:pt idx="501">
                  <c:v>-9999.6052210190792</c:v>
                </c:pt>
                <c:pt idx="502">
                  <c:v>-9999.1117619040433</c:v>
                </c:pt>
                <c:pt idx="503">
                  <c:v>-9998.420946416496</c:v>
                </c:pt>
                <c:pt idx="504">
                  <c:v>-9997.5328018286546</c:v>
                </c:pt>
                <c:pt idx="505">
                  <c:v>-9996.4473632029421</c:v>
                </c:pt>
                <c:pt idx="506">
                  <c:v>-9995.1646733906182</c:v>
                </c:pt>
                <c:pt idx="507">
                  <c:v>-9993.6847830300831</c:v>
                </c:pt>
                <c:pt idx="508">
                  <c:v>-9992.007750544868</c:v>
                </c:pt>
                <c:pt idx="509">
                  <c:v>-9990.1336421413507</c:v>
                </c:pt>
                <c:pt idx="510">
                  <c:v>-9988.0625318061175</c:v>
                </c:pt>
                <c:pt idx="511">
                  <c:v>-9985.7945013030621</c:v>
                </c:pt>
                <c:pt idx="512">
                  <c:v>-9983.3296401701409</c:v>
                </c:pt>
                <c:pt idx="513">
                  <c:v>-9980.6680457158527</c:v>
                </c:pt>
                <c:pt idx="514">
                  <c:v>-9977.8098230153882</c:v>
                </c:pt>
                <c:pt idx="515">
                  <c:v>-9974.7550849064901</c:v>
                </c:pt>
                <c:pt idx="516">
                  <c:v>-9971.5039519849815</c:v>
                </c:pt>
                <c:pt idx="517">
                  <c:v>-9968.0565526000282</c:v>
                </c:pt>
                <c:pt idx="518">
                  <c:v>-9964.413022849054</c:v>
                </c:pt>
                <c:pt idx="519">
                  <c:v>-9960.5735065723748</c:v>
                </c:pt>
                <c:pt idx="520">
                  <c:v>-9956.5381553475163</c:v>
                </c:pt>
                <c:pt idx="521">
                  <c:v>-9952.3071284832404</c:v>
                </c:pt>
                <c:pt idx="522">
                  <c:v>-9947.8805930132385</c:v>
                </c:pt>
                <c:pt idx="523">
                  <c:v>-9943.2587236895524</c:v>
                </c:pt>
                <c:pt idx="524">
                  <c:v>-9938.4417029756696</c:v>
                </c:pt>
                <c:pt idx="525">
                  <c:v>-9933.4297210393215</c:v>
                </c:pt>
                <c:pt idx="526">
                  <c:v>-9928.2229757449713</c:v>
                </c:pt>
                <c:pt idx="527">
                  <c:v>-9922.821672646005</c:v>
                </c:pt>
                <c:pt idx="528">
                  <c:v>-9917.2260249766259</c:v>
                </c:pt>
                <c:pt idx="529">
                  <c:v>-9911.4362536434201</c:v>
                </c:pt>
                <c:pt idx="530">
                  <c:v>-9905.4525872166487</c:v>
                </c:pt>
                <c:pt idx="531">
                  <c:v>-9899.2752619212115</c:v>
                </c:pt>
                <c:pt idx="532">
                  <c:v>-9892.9045216273371</c:v>
                </c:pt>
                <c:pt idx="533">
                  <c:v>-9886.3406178409423</c:v>
                </c:pt>
                <c:pt idx="534">
                  <c:v>-9879.5838096937114</c:v>
                </c:pt>
                <c:pt idx="535">
                  <c:v>-9872.6343639328588</c:v>
                </c:pt>
                <c:pt idx="536">
                  <c:v>-9865.4925549106047</c:v>
                </c:pt>
                <c:pt idx="537">
                  <c:v>-9858.1586645733405</c:v>
                </c:pt>
                <c:pt idx="538">
                  <c:v>-9850.632982450501</c:v>
                </c:pt>
                <c:pt idx="539">
                  <c:v>-9842.9158056431261</c:v>
                </c:pt>
                <c:pt idx="540">
                  <c:v>-9835.0074388121448</c:v>
                </c:pt>
                <c:pt idx="541">
                  <c:v>-9826.9081941663389</c:v>
                </c:pt>
                <c:pt idx="542">
                  <c:v>-9818.6183914500161</c:v>
                </c:pt>
                <c:pt idx="543">
                  <c:v>-9810.1383579303965</c:v>
                </c:pt>
                <c:pt idx="544">
                  <c:v>-9801.4684283846818</c:v>
                </c:pt>
                <c:pt idx="545">
                  <c:v>-9792.6089450868458</c:v>
                </c:pt>
                <c:pt idx="546">
                  <c:v>-9783.5602577941172</c:v>
                </c:pt>
                <c:pt idx="547">
                  <c:v>-9774.3227237331776</c:v>
                </c:pt>
                <c:pt idx="548">
                  <c:v>-9764.8967075860564</c:v>
                </c:pt>
                <c:pt idx="549">
                  <c:v>-9755.2825814757307</c:v>
                </c:pt>
                <c:pt idx="550">
                  <c:v>-9745.4807249514342</c:v>
                </c:pt>
                <c:pt idx="551">
                  <c:v>-9735.4915249736805</c:v>
                </c:pt>
                <c:pt idx="552">
                  <c:v>-9725.3153758989829</c:v>
                </c:pt>
                <c:pt idx="553">
                  <c:v>-9714.9526794642807</c:v>
                </c:pt>
                <c:pt idx="554">
                  <c:v>-9704.4038447710846</c:v>
                </c:pt>
                <c:pt idx="555">
                  <c:v>-9693.6692882693278</c:v>
                </c:pt>
                <c:pt idx="556">
                  <c:v>-9682.7494337409189</c:v>
                </c:pt>
                <c:pt idx="557">
                  <c:v>-9671.6447122830141</c:v>
                </c:pt>
                <c:pt idx="558">
                  <c:v>-9660.3555622910098</c:v>
                </c:pt>
                <c:pt idx="559">
                  <c:v>-9648.8824294412116</c:v>
                </c:pt>
                <c:pt idx="560">
                  <c:v>-9637.2257666732585</c:v>
                </c:pt>
                <c:pt idx="561">
                  <c:v>-9625.3860341722429</c:v>
                </c:pt>
                <c:pt idx="562">
                  <c:v>-9613.3636993505243</c:v>
                </c:pt>
                <c:pt idx="563">
                  <c:v>-9601.1592368293022</c:v>
                </c:pt>
                <c:pt idx="564">
                  <c:v>-9588.7731284198562</c:v>
                </c:pt>
                <c:pt idx="565">
                  <c:v>-9576.2058631045365</c:v>
                </c:pt>
                <c:pt idx="566">
                  <c:v>-9563.4579370174615</c:v>
                </c:pt>
                <c:pt idx="567">
                  <c:v>-9550.529853424925</c:v>
                </c:pt>
                <c:pt idx="568">
                  <c:v>-9537.4221227055314</c:v>
                </c:pt>
                <c:pt idx="569">
                  <c:v>-9524.1352623300427</c:v>
                </c:pt>
                <c:pt idx="570">
                  <c:v>-9510.6697968409571</c:v>
                </c:pt>
                <c:pt idx="571">
                  <c:v>-9497.0262578317997</c:v>
                </c:pt>
                <c:pt idx="572">
                  <c:v>-9483.2051839261221</c:v>
                </c:pt>
                <c:pt idx="573">
                  <c:v>-9469.2071207562603</c:v>
                </c:pt>
                <c:pt idx="574">
                  <c:v>-9455.0326209417799</c:v>
                </c:pt>
                <c:pt idx="575">
                  <c:v>-9440.6822440676624</c:v>
                </c:pt>
                <c:pt idx="576">
                  <c:v>-9426.1565566622157</c:v>
                </c:pt>
                <c:pt idx="577">
                  <c:v>-9411.456132174706</c:v>
                </c:pt>
                <c:pt idx="578">
                  <c:v>-9396.5815509527201</c:v>
                </c:pt>
                <c:pt idx="579">
                  <c:v>-9381.533400219254</c:v>
                </c:pt>
                <c:pt idx="580">
                  <c:v>-9366.3122740495364</c:v>
                </c:pt>
                <c:pt idx="581">
                  <c:v>-9350.9187733475628</c:v>
                </c:pt>
                <c:pt idx="582">
                  <c:v>-9335.3535058223842</c:v>
                </c:pt>
                <c:pt idx="583">
                  <c:v>-9319.6170859641097</c:v>
                </c:pt>
                <c:pt idx="584">
                  <c:v>-9303.7101350196499</c:v>
                </c:pt>
                <c:pt idx="585">
                  <c:v>-9287.6332809681917</c:v>
                </c:pt>
                <c:pt idx="586">
                  <c:v>-9271.3871584964072</c:v>
                </c:pt>
                <c:pt idx="587">
                  <c:v>-9254.97240897339</c:v>
                </c:pt>
                <c:pt idx="588">
                  <c:v>-9238.3896804253454</c:v>
                </c:pt>
                <c:pt idx="589">
                  <c:v>-9221.6396275100033</c:v>
                </c:pt>
                <c:pt idx="590">
                  <c:v>-9204.7229114907714</c:v>
                </c:pt>
                <c:pt idx="591">
                  <c:v>-9187.6402002106352</c:v>
                </c:pt>
                <c:pt idx="592">
                  <c:v>-9170.3921680657804</c:v>
                </c:pt>
                <c:pt idx="593">
                  <c:v>-9152.979495978987</c:v>
                </c:pt>
                <c:pt idx="594">
                  <c:v>-9135.402871372733</c:v>
                </c:pt>
                <c:pt idx="595">
                  <c:v>-9117.6629881420595</c:v>
                </c:pt>
                <c:pt idx="596">
                  <c:v>-9099.7605466271834</c:v>
                </c:pt>
                <c:pt idx="597">
                  <c:v>-9081.6962535858402</c:v>
                </c:pt>
                <c:pt idx="598">
                  <c:v>-9063.4708221653909</c:v>
                </c:pt>
                <c:pt idx="599">
                  <c:v>-9045.0849718746576</c:v>
                </c:pt>
                <c:pt idx="600">
                  <c:v>-9026.5394285555285</c:v>
                </c:pt>
                <c:pt idx="601">
                  <c:v>-9007.8349243542998</c:v>
                </c:pt>
                <c:pt idx="602">
                  <c:v>-8988.9721976927722</c:v>
                </c:pt>
                <c:pt idx="603">
                  <c:v>-8969.9519932390922</c:v>
                </c:pt>
                <c:pt idx="604">
                  <c:v>-8950.7750618783666</c:v>
                </c:pt>
                <c:pt idx="605">
                  <c:v>-8931.4421606830092</c:v>
                </c:pt>
                <c:pt idx="606">
                  <c:v>-8911.9540528828547</c:v>
                </c:pt>
                <c:pt idx="607">
                  <c:v>-8892.3115078350311</c:v>
                </c:pt>
                <c:pt idx="608">
                  <c:v>-8872.5153009935802</c:v>
                </c:pt>
                <c:pt idx="609">
                  <c:v>-8852.5662138788575</c:v>
                </c:pt>
                <c:pt idx="610">
                  <c:v>-8832.4650340466596</c:v>
                </c:pt>
                <c:pt idx="611">
                  <c:v>-8812.2125550571491</c:v>
                </c:pt>
                <c:pt idx="612">
                  <c:v>-8791.8095764435184</c:v>
                </c:pt>
                <c:pt idx="613">
                  <c:v>-8771.2569036804271</c:v>
                </c:pt>
                <c:pt idx="614">
                  <c:v>-8750.5553481522038</c:v>
                </c:pt>
                <c:pt idx="615">
                  <c:v>-8729.7057271208178</c:v>
                </c:pt>
                <c:pt idx="616">
                  <c:v>-8708.7088636936005</c:v>
                </c:pt>
                <c:pt idx="617">
                  <c:v>-8687.5655867907735</c:v>
                </c:pt>
                <c:pt idx="618">
                  <c:v>-8666.2767311127027</c:v>
                </c:pt>
                <c:pt idx="619">
                  <c:v>-8644.8431371069601</c:v>
                </c:pt>
                <c:pt idx="620">
                  <c:v>-8623.2656509351345</c:v>
                </c:pt>
                <c:pt idx="621">
                  <c:v>-8601.5451244394353</c:v>
                </c:pt>
                <c:pt idx="622">
                  <c:v>-8579.6824151090568</c:v>
                </c:pt>
                <c:pt idx="623">
                  <c:v>-8557.6783860463256</c:v>
                </c:pt>
                <c:pt idx="624">
                  <c:v>-8535.5339059326361</c:v>
                </c:pt>
                <c:pt idx="625">
                  <c:v>-8513.2498489941445</c:v>
                </c:pt>
                <c:pt idx="626">
                  <c:v>-8490.8270949672606</c:v>
                </c:pt>
                <c:pt idx="627">
                  <c:v>-8468.2665290639197</c:v>
                </c:pt>
                <c:pt idx="628">
                  <c:v>-8445.5690419366365</c:v>
                </c:pt>
                <c:pt idx="629">
                  <c:v>-8422.7355296433379</c:v>
                </c:pt>
                <c:pt idx="630">
                  <c:v>-8399.7668936119899</c:v>
                </c:pt>
                <c:pt idx="631">
                  <c:v>-8376.6640406050137</c:v>
                </c:pt>
                <c:pt idx="632">
                  <c:v>-8353.4278826834925</c:v>
                </c:pt>
                <c:pt idx="633">
                  <c:v>-8330.0593371711493</c:v>
                </c:pt>
                <c:pt idx="634">
                  <c:v>-8306.5593266181495</c:v>
                </c:pt>
                <c:pt idx="635">
                  <c:v>-8282.9287787646717</c:v>
                </c:pt>
                <c:pt idx="636">
                  <c:v>-8259.1686265042845</c:v>
                </c:pt>
                <c:pt idx="637">
                  <c:v>-8235.2798078471133</c:v>
                </c:pt>
                <c:pt idx="638">
                  <c:v>-8211.2632658828134</c:v>
                </c:pt>
                <c:pt idx="639">
                  <c:v>-8187.1199487433414</c:v>
                </c:pt>
                <c:pt idx="640">
                  <c:v>-8162.8508095655161</c:v>
                </c:pt>
                <c:pt idx="641">
                  <c:v>-8138.4568064533978</c:v>
                </c:pt>
                <c:pt idx="642">
                  <c:v>-8113.9389024404591</c:v>
                </c:pt>
                <c:pt idx="643">
                  <c:v>-8089.2980654515686</c:v>
                </c:pt>
                <c:pt idx="644">
                  <c:v>-8064.5352682647808</c:v>
                </c:pt>
                <c:pt idx="645">
                  <c:v>-8039.6514884729258</c:v>
                </c:pt>
                <c:pt idx="646">
                  <c:v>-8014.6477084450235</c:v>
                </c:pt>
                <c:pt idx="647">
                  <c:v>-7989.5249152874958</c:v>
                </c:pt>
                <c:pt idx="648">
                  <c:v>-7964.2841008051992</c:v>
                </c:pt>
                <c:pt idx="649">
                  <c:v>-7938.9262614622694</c:v>
                </c:pt>
                <c:pt idx="650">
                  <c:v>-7913.4523983427853</c:v>
                </c:pt>
                <c:pt idx="651">
                  <c:v>-7887.8635171112437</c:v>
                </c:pt>
                <c:pt idx="652">
                  <c:v>-7862.1606279728621</c:v>
                </c:pt>
                <c:pt idx="653">
                  <c:v>-7836.3447456336908</c:v>
                </c:pt>
                <c:pt idx="654">
                  <c:v>-7810.416889260563</c:v>
                </c:pt>
                <c:pt idx="655">
                  <c:v>-7784.3780824408514</c:v>
                </c:pt>
                <c:pt idx="656">
                  <c:v>-7758.2293531420637</c:v>
                </c:pt>
                <c:pt idx="657">
                  <c:v>-7731.9717336712583</c:v>
                </c:pt>
                <c:pt idx="658">
                  <c:v>-7705.6062606342939</c:v>
                </c:pt>
                <c:pt idx="659">
                  <c:v>-7679.1339748948994</c:v>
                </c:pt>
                <c:pt idx="660">
                  <c:v>-7652.555921533587</c:v>
                </c:pt>
                <c:pt idx="661">
                  <c:v>-7625.8731498063971</c:v>
                </c:pt>
                <c:pt idx="662">
                  <c:v>-7599.0867131034674</c:v>
                </c:pt>
                <c:pt idx="663">
                  <c:v>-7572.1976689074545</c:v>
                </c:pt>
                <c:pt idx="664">
                  <c:v>-7545.2070787517796</c:v>
                </c:pt>
                <c:pt idx="665">
                  <c:v>-7518.1160081787284</c:v>
                </c:pt>
                <c:pt idx="666">
                  <c:v>-7490.9255266973796</c:v>
                </c:pt>
                <c:pt idx="667">
                  <c:v>-7463.6367077413852</c:v>
                </c:pt>
                <c:pt idx="668">
                  <c:v>-7436.2506286265907</c:v>
                </c:pt>
                <c:pt idx="669">
                  <c:v>-7408.7683705085065</c:v>
                </c:pt>
                <c:pt idx="670">
                  <c:v>-7381.1910183396267</c:v>
                </c:pt>
                <c:pt idx="671">
                  <c:v>-7353.519660826596</c:v>
                </c:pt>
                <c:pt idx="672">
                  <c:v>-7325.7553903872267</c:v>
                </c:pt>
                <c:pt idx="673">
                  <c:v>-7297.8993031073751</c:v>
                </c:pt>
                <c:pt idx="674">
                  <c:v>-7269.9524986976712</c:v>
                </c:pt>
                <c:pt idx="675">
                  <c:v>-7241.9160804501007</c:v>
                </c:pt>
                <c:pt idx="676">
                  <c:v>-7213.791155194448</c:v>
                </c:pt>
                <c:pt idx="677">
                  <c:v>-7185.5788332546072</c:v>
                </c:pt>
                <c:pt idx="678">
                  <c:v>-7157.2802284047384</c:v>
                </c:pt>
                <c:pt idx="679">
                  <c:v>-7128.896457825309</c:v>
                </c:pt>
                <c:pt idx="680">
                  <c:v>-7100.4286420589779</c:v>
                </c:pt>
                <c:pt idx="681">
                  <c:v>-7071.877904966369</c:v>
                </c:pt>
                <c:pt idx="682">
                  <c:v>-7043.2453736816951</c:v>
                </c:pt>
                <c:pt idx="683">
                  <c:v>-7014.5321785682654</c:v>
                </c:pt>
                <c:pt idx="684">
                  <c:v>-6985.7394531738564</c:v>
                </c:pt>
                <c:pt idx="685">
                  <c:v>-6956.8683341859669</c:v>
                </c:pt>
                <c:pt idx="686">
                  <c:v>-6927.9199613869396</c:v>
                </c:pt>
                <c:pt idx="687">
                  <c:v>-6898.895477608964</c:v>
                </c:pt>
                <c:pt idx="688">
                  <c:v>-6869.7960286889629</c:v>
                </c:pt>
                <c:pt idx="689">
                  <c:v>-6840.6227634233519</c:v>
                </c:pt>
                <c:pt idx="690">
                  <c:v>-6811.3768335226923</c:v>
                </c:pt>
                <c:pt idx="691">
                  <c:v>-6782.0593935662191</c:v>
                </c:pt>
                <c:pt idx="692">
                  <c:v>-6752.6716009562624</c:v>
                </c:pt>
                <c:pt idx="693">
                  <c:v>-6723.2146158725545</c:v>
                </c:pt>
                <c:pt idx="694">
                  <c:v>-6693.6896012264278</c:v>
                </c:pt>
                <c:pt idx="695">
                  <c:v>-6664.0977226149062</c:v>
                </c:pt>
                <c:pt idx="696">
                  <c:v>-6634.4401482746871</c:v>
                </c:pt>
                <c:pt idx="697">
                  <c:v>-6604.7180490360233</c:v>
                </c:pt>
                <c:pt idx="698">
                  <c:v>-6574.9325982765022</c:v>
                </c:pt>
                <c:pt idx="699">
                  <c:v>-6545.0849718747168</c:v>
                </c:pt>
                <c:pt idx="700">
                  <c:v>-6515.1763481638518</c:v>
                </c:pt>
                <c:pt idx="701">
                  <c:v>-6485.2079078851584</c:v>
                </c:pt>
                <c:pt idx="702">
                  <c:v>-6455.1808341413443</c:v>
                </c:pt>
                <c:pt idx="703">
                  <c:v>-6425.0963123498677</c:v>
                </c:pt>
                <c:pt idx="704">
                  <c:v>-6394.9555301961354</c:v>
                </c:pt>
                <c:pt idx="705">
                  <c:v>-6364.7596775866168</c:v>
                </c:pt>
                <c:pt idx="706">
                  <c:v>-6334.5099466018701</c:v>
                </c:pt>
                <c:pt idx="707">
                  <c:v>-6304.2075314494796</c:v>
                </c:pt>
                <c:pt idx="708">
                  <c:v>-6273.8536284169077</c:v>
                </c:pt>
                <c:pt idx="709">
                  <c:v>-6243.4494358242719</c:v>
                </c:pt>
                <c:pt idx="710">
                  <c:v>-6212.9961539770375</c:v>
                </c:pt>
                <c:pt idx="711">
                  <c:v>-6182.4949851186257</c:v>
                </c:pt>
                <c:pt idx="712">
                  <c:v>-6151.947133382957</c:v>
                </c:pt>
                <c:pt idx="713">
                  <c:v>-6121.3538047469119</c:v>
                </c:pt>
                <c:pt idx="714">
                  <c:v>-6090.7162069827209</c:v>
                </c:pt>
                <c:pt idx="715">
                  <c:v>-6060.0355496102829</c:v>
                </c:pt>
                <c:pt idx="716">
                  <c:v>-6029.3130438494181</c:v>
                </c:pt>
                <c:pt idx="717">
                  <c:v>-5998.5499025720483</c:v>
                </c:pt>
                <c:pt idx="718">
                  <c:v>-5967.7473402543164</c:v>
                </c:pt>
                <c:pt idx="719">
                  <c:v>-5936.9065729286403</c:v>
                </c:pt>
                <c:pt idx="720">
                  <c:v>-5906.0288181357064</c:v>
                </c:pt>
                <c:pt idx="721">
                  <c:v>-5875.1152948764011</c:v>
                </c:pt>
                <c:pt idx="722">
                  <c:v>-5844.1672235636925</c:v>
                </c:pt>
                <c:pt idx="723">
                  <c:v>-5813.1858259744431</c:v>
                </c:pt>
                <c:pt idx="724">
                  <c:v>-5782.1723252011816</c:v>
                </c:pt>
                <c:pt idx="725">
                  <c:v>-5751.1279456038146</c:v>
                </c:pt>
                <c:pt idx="726">
                  <c:v>-5720.0539127612919</c:v>
                </c:pt>
                <c:pt idx="727">
                  <c:v>-5688.951453423223</c:v>
                </c:pt>
                <c:pt idx="728">
                  <c:v>-5657.8217954614474</c:v>
                </c:pt>
                <c:pt idx="729">
                  <c:v>-5626.6661678215587</c:v>
                </c:pt>
                <c:pt idx="730">
                  <c:v>-5595.4858004743874</c:v>
                </c:pt>
                <c:pt idx="731">
                  <c:v>-5564.2819243674494</c:v>
                </c:pt>
                <c:pt idx="732">
                  <c:v>-5533.0557713763428</c:v>
                </c:pt>
                <c:pt idx="733">
                  <c:v>-5501.8085742561198</c:v>
                </c:pt>
                <c:pt idx="734">
                  <c:v>-5470.5415665926184</c:v>
                </c:pt>
                <c:pt idx="735">
                  <c:v>-5439.2559827537643</c:v>
                </c:pt>
                <c:pt idx="736">
                  <c:v>-5407.9530578408385</c:v>
                </c:pt>
                <c:pt idx="737">
                  <c:v>-5376.6340276397168</c:v>
                </c:pt>
                <c:pt idx="738">
                  <c:v>-5345.3001285720838</c:v>
                </c:pt>
                <c:pt idx="739">
                  <c:v>-5313.9525976466239</c:v>
                </c:pt>
                <c:pt idx="740">
                  <c:v>-5282.592672410181</c:v>
                </c:pt>
                <c:pt idx="741">
                  <c:v>-5251.2215908989083</c:v>
                </c:pt>
                <c:pt idx="742">
                  <c:v>-5219.8405915893873</c:v>
                </c:pt>
                <c:pt idx="743">
                  <c:v>-5188.4509133497377</c:v>
                </c:pt>
                <c:pt idx="744">
                  <c:v>-5157.0537953907078</c:v>
                </c:pt>
                <c:pt idx="745">
                  <c:v>-5125.6504772167564</c:v>
                </c:pt>
                <c:pt idx="746">
                  <c:v>-5094.2421985771116</c:v>
                </c:pt>
                <c:pt idx="747">
                  <c:v>-5062.830199416836</c:v>
                </c:pt>
                <c:pt idx="748">
                  <c:v>-5031.415719827869</c:v>
                </c:pt>
                <c:pt idx="749">
                  <c:v>-5000.0000000000764</c:v>
                </c:pt>
                <c:pt idx="750">
                  <c:v>-4968.5842801722838</c:v>
                </c:pt>
                <c:pt idx="751">
                  <c:v>-4937.1698005833168</c:v>
                </c:pt>
                <c:pt idx="752">
                  <c:v>-4905.7578014230412</c:v>
                </c:pt>
                <c:pt idx="753">
                  <c:v>-4874.3495227833964</c:v>
                </c:pt>
                <c:pt idx="754">
                  <c:v>-4842.946204609445</c:v>
                </c:pt>
                <c:pt idx="755">
                  <c:v>-4811.5490866504151</c:v>
                </c:pt>
                <c:pt idx="756">
                  <c:v>-4780.1594084107655</c:v>
                </c:pt>
                <c:pt idx="757">
                  <c:v>-4748.7784091012445</c:v>
                </c:pt>
                <c:pt idx="758">
                  <c:v>-4717.4073275899709</c:v>
                </c:pt>
                <c:pt idx="759">
                  <c:v>-4686.0474023535289</c:v>
                </c:pt>
                <c:pt idx="760">
                  <c:v>-4654.6998714280689</c:v>
                </c:pt>
                <c:pt idx="761">
                  <c:v>-4623.365972360436</c:v>
                </c:pt>
                <c:pt idx="762">
                  <c:v>-4592.0469421593134</c:v>
                </c:pt>
                <c:pt idx="763">
                  <c:v>-4560.7440172463876</c:v>
                </c:pt>
                <c:pt idx="764">
                  <c:v>-4529.4584334075334</c:v>
                </c:pt>
                <c:pt idx="765">
                  <c:v>-4498.191425744033</c:v>
                </c:pt>
                <c:pt idx="766">
                  <c:v>-4466.9442286238091</c:v>
                </c:pt>
                <c:pt idx="767">
                  <c:v>-4435.7180756327025</c:v>
                </c:pt>
                <c:pt idx="768">
                  <c:v>-4404.5141995257636</c:v>
                </c:pt>
                <c:pt idx="769">
                  <c:v>-4373.3338321785932</c:v>
                </c:pt>
                <c:pt idx="770">
                  <c:v>-4342.1782045387035</c:v>
                </c:pt>
                <c:pt idx="771">
                  <c:v>-4311.0485465769279</c:v>
                </c:pt>
                <c:pt idx="772">
                  <c:v>-4279.946087238859</c:v>
                </c:pt>
                <c:pt idx="773">
                  <c:v>-4248.8720543963364</c:v>
                </c:pt>
                <c:pt idx="774">
                  <c:v>-4217.8276747989694</c:v>
                </c:pt>
                <c:pt idx="775">
                  <c:v>-4186.8141740257079</c:v>
                </c:pt>
                <c:pt idx="776">
                  <c:v>-4155.8327764364585</c:v>
                </c:pt>
                <c:pt idx="777">
                  <c:v>-4124.884705123749</c:v>
                </c:pt>
                <c:pt idx="778">
                  <c:v>-4093.9711818644441</c:v>
                </c:pt>
                <c:pt idx="779">
                  <c:v>-4063.0934270715097</c:v>
                </c:pt>
                <c:pt idx="780">
                  <c:v>-4032.2526597458332</c:v>
                </c:pt>
                <c:pt idx="781">
                  <c:v>-4001.4500974281009</c:v>
                </c:pt>
                <c:pt idx="782">
                  <c:v>-3970.686956150731</c:v>
                </c:pt>
                <c:pt idx="783">
                  <c:v>-3939.9644503898662</c:v>
                </c:pt>
                <c:pt idx="784">
                  <c:v>-3909.2837930174287</c:v>
                </c:pt>
                <c:pt idx="785">
                  <c:v>-3878.6461952532372</c:v>
                </c:pt>
                <c:pt idx="786">
                  <c:v>-3848.0528666171917</c:v>
                </c:pt>
                <c:pt idx="787">
                  <c:v>-3817.505014881523</c:v>
                </c:pt>
                <c:pt idx="788">
                  <c:v>-3787.0038460231108</c:v>
                </c:pt>
                <c:pt idx="789">
                  <c:v>-3756.5505641758755</c:v>
                </c:pt>
                <c:pt idx="790">
                  <c:v>-3726.1463715832406</c:v>
                </c:pt>
                <c:pt idx="791">
                  <c:v>-3695.7924685506687</c:v>
                </c:pt>
                <c:pt idx="792">
                  <c:v>-3665.4900533982768</c:v>
                </c:pt>
                <c:pt idx="793">
                  <c:v>-3635.2403224135301</c:v>
                </c:pt>
                <c:pt idx="794">
                  <c:v>-3605.0444698040114</c:v>
                </c:pt>
                <c:pt idx="795">
                  <c:v>-3574.9036876502787</c:v>
                </c:pt>
                <c:pt idx="796">
                  <c:v>-3544.8191658588021</c:v>
                </c:pt>
                <c:pt idx="797">
                  <c:v>-3514.792092114988</c:v>
                </c:pt>
                <c:pt idx="798">
                  <c:v>-3484.8236518362946</c:v>
                </c:pt>
                <c:pt idx="799">
                  <c:v>-3454.9150281254288</c:v>
                </c:pt>
                <c:pt idx="800">
                  <c:v>-3425.0674017236433</c:v>
                </c:pt>
                <c:pt idx="801">
                  <c:v>-3395.2819509641213</c:v>
                </c:pt>
                <c:pt idx="802">
                  <c:v>-3365.5598517254575</c:v>
                </c:pt>
                <c:pt idx="803">
                  <c:v>-3335.9022773852384</c:v>
                </c:pt>
                <c:pt idx="804">
                  <c:v>-3306.3103987737159</c:v>
                </c:pt>
                <c:pt idx="805">
                  <c:v>-3276.7853841275892</c:v>
                </c:pt>
                <c:pt idx="806">
                  <c:v>-3247.3283990438808</c:v>
                </c:pt>
                <c:pt idx="807">
                  <c:v>-3217.9406064339237</c:v>
                </c:pt>
                <c:pt idx="808">
                  <c:v>-3188.6231664774505</c:v>
                </c:pt>
                <c:pt idx="809">
                  <c:v>-3159.37723657679</c:v>
                </c:pt>
                <c:pt idx="810">
                  <c:v>-3130.203971311179</c:v>
                </c:pt>
                <c:pt idx="811">
                  <c:v>-3101.1045223911774</c:v>
                </c:pt>
                <c:pt idx="812">
                  <c:v>-3072.0800386132014</c:v>
                </c:pt>
                <c:pt idx="813">
                  <c:v>-3043.1316658141732</c:v>
                </c:pt>
                <c:pt idx="814">
                  <c:v>-3014.2605468262836</c:v>
                </c:pt>
                <c:pt idx="815">
                  <c:v>-2985.4678214318747</c:v>
                </c:pt>
                <c:pt idx="816">
                  <c:v>-2956.754626318444</c:v>
                </c:pt>
                <c:pt idx="817">
                  <c:v>-2928.1220950337702</c:v>
                </c:pt>
                <c:pt idx="818">
                  <c:v>-2899.5713579411604</c:v>
                </c:pt>
                <c:pt idx="819">
                  <c:v>-2871.1035421748297</c:v>
                </c:pt>
                <c:pt idx="820">
                  <c:v>-2842.7197715953994</c:v>
                </c:pt>
                <c:pt idx="821">
                  <c:v>-2814.4211667455306</c:v>
                </c:pt>
                <c:pt idx="822">
                  <c:v>-2786.2088448056888</c:v>
                </c:pt>
                <c:pt idx="823">
                  <c:v>-2758.0839195500366</c:v>
                </c:pt>
                <c:pt idx="824">
                  <c:v>-2730.0475013024648</c:v>
                </c:pt>
                <c:pt idx="825">
                  <c:v>-2702.1006968927604</c:v>
                </c:pt>
                <c:pt idx="826">
                  <c:v>-2674.2446096129092</c:v>
                </c:pt>
                <c:pt idx="827">
                  <c:v>-2646.4803391735391</c:v>
                </c:pt>
                <c:pt idx="828">
                  <c:v>-2618.8089816605075</c:v>
                </c:pt>
                <c:pt idx="829">
                  <c:v>-2591.2316294916277</c:v>
                </c:pt>
                <c:pt idx="830">
                  <c:v>-2563.7493713735435</c:v>
                </c:pt>
                <c:pt idx="831">
                  <c:v>-2536.3632922587481</c:v>
                </c:pt>
                <c:pt idx="832">
                  <c:v>-2509.0744733027527</c:v>
                </c:pt>
                <c:pt idx="833">
                  <c:v>-2481.8839918214035</c:v>
                </c:pt>
                <c:pt idx="834">
                  <c:v>-2454.7929212483523</c:v>
                </c:pt>
                <c:pt idx="835">
                  <c:v>-2427.8023310926774</c:v>
                </c:pt>
                <c:pt idx="836">
                  <c:v>-2400.9132868966631</c:v>
                </c:pt>
                <c:pt idx="837">
                  <c:v>-2374.1268501937329</c:v>
                </c:pt>
                <c:pt idx="838">
                  <c:v>-2347.4440784665417</c:v>
                </c:pt>
                <c:pt idx="839">
                  <c:v>-2320.8660251052297</c:v>
                </c:pt>
                <c:pt idx="840">
                  <c:v>-2294.3937393658348</c:v>
                </c:pt>
                <c:pt idx="841">
                  <c:v>-2268.0282663288694</c:v>
                </c:pt>
                <c:pt idx="842">
                  <c:v>-2241.7706468580645</c:v>
                </c:pt>
                <c:pt idx="843">
                  <c:v>-2215.621917559276</c:v>
                </c:pt>
                <c:pt idx="844">
                  <c:v>-2189.5831107395634</c:v>
                </c:pt>
                <c:pt idx="845">
                  <c:v>-2163.6552543664352</c:v>
                </c:pt>
                <c:pt idx="846">
                  <c:v>-2137.8393720272638</c:v>
                </c:pt>
                <c:pt idx="847">
                  <c:v>-2112.1364828888804</c:v>
                </c:pt>
                <c:pt idx="848">
                  <c:v>-2086.5476016573393</c:v>
                </c:pt>
                <c:pt idx="849">
                  <c:v>-2061.0737385378543</c:v>
                </c:pt>
                <c:pt idx="850">
                  <c:v>-2035.7158991949241</c:v>
                </c:pt>
                <c:pt idx="851">
                  <c:v>-2010.475084712627</c:v>
                </c:pt>
                <c:pt idx="852">
                  <c:v>-1985.352291555098</c:v>
                </c:pt>
                <c:pt idx="853">
                  <c:v>-1960.3485115271951</c:v>
                </c:pt>
                <c:pt idx="854">
                  <c:v>-1935.4647317353401</c:v>
                </c:pt>
                <c:pt idx="855">
                  <c:v>-1910.7019345485514</c:v>
                </c:pt>
                <c:pt idx="856">
                  <c:v>-1886.061097559661</c:v>
                </c:pt>
                <c:pt idx="857">
                  <c:v>-1861.5431935467213</c:v>
                </c:pt>
                <c:pt idx="858">
                  <c:v>-1837.1491904346021</c:v>
                </c:pt>
                <c:pt idx="859">
                  <c:v>-1812.8800512567759</c:v>
                </c:pt>
                <c:pt idx="860">
                  <c:v>-1788.7367341173031</c:v>
                </c:pt>
                <c:pt idx="861">
                  <c:v>-1764.7201921530036</c:v>
                </c:pt>
                <c:pt idx="862">
                  <c:v>-1740.8313734958319</c:v>
                </c:pt>
                <c:pt idx="863">
                  <c:v>-1717.0712212354433</c:v>
                </c:pt>
                <c:pt idx="864">
                  <c:v>-1693.4406733819669</c:v>
                </c:pt>
                <c:pt idx="865">
                  <c:v>-1669.940662828968</c:v>
                </c:pt>
                <c:pt idx="866">
                  <c:v>-1646.5721173166257</c:v>
                </c:pt>
                <c:pt idx="867">
                  <c:v>-1623.3359593951041</c:v>
                </c:pt>
                <c:pt idx="868">
                  <c:v>-1600.2331063881311</c:v>
                </c:pt>
                <c:pt idx="869">
                  <c:v>-1577.2644703567835</c:v>
                </c:pt>
                <c:pt idx="870">
                  <c:v>-1554.4309580634845</c:v>
                </c:pt>
                <c:pt idx="871">
                  <c:v>-1531.7334709362017</c:v>
                </c:pt>
                <c:pt idx="872">
                  <c:v>-1509.1729050328636</c:v>
                </c:pt>
                <c:pt idx="873">
                  <c:v>-1486.750151005981</c:v>
                </c:pt>
                <c:pt idx="874">
                  <c:v>-1464.4660940674894</c:v>
                </c:pt>
                <c:pt idx="875">
                  <c:v>-1442.3216139538004</c:v>
                </c:pt>
                <c:pt idx="876">
                  <c:v>-1420.317584891071</c:v>
                </c:pt>
                <c:pt idx="877">
                  <c:v>-1398.4548755606925</c:v>
                </c:pt>
                <c:pt idx="878">
                  <c:v>-1376.7343490649932</c:v>
                </c:pt>
                <c:pt idx="879">
                  <c:v>-1355.1568628931686</c:v>
                </c:pt>
                <c:pt idx="880">
                  <c:v>-1333.723268887426</c:v>
                </c:pt>
                <c:pt idx="881">
                  <c:v>-1312.4344132093561</c:v>
                </c:pt>
                <c:pt idx="882">
                  <c:v>-1291.2911363065296</c:v>
                </c:pt>
                <c:pt idx="883">
                  <c:v>-1270.294272879315</c:v>
                </c:pt>
                <c:pt idx="884">
                  <c:v>-1249.4446518479276</c:v>
                </c:pt>
                <c:pt idx="885">
                  <c:v>-1228.7430963197053</c:v>
                </c:pt>
                <c:pt idx="886">
                  <c:v>-1208.1904235566153</c:v>
                </c:pt>
                <c:pt idx="887">
                  <c:v>-1187.7874449429846</c:v>
                </c:pt>
                <c:pt idx="888">
                  <c:v>-1167.5349659534745</c:v>
                </c:pt>
                <c:pt idx="889">
                  <c:v>-1147.4337861212771</c:v>
                </c:pt>
                <c:pt idx="890">
                  <c:v>-1127.4846990065535</c:v>
                </c:pt>
                <c:pt idx="891">
                  <c:v>-1107.6884921651053</c:v>
                </c:pt>
                <c:pt idx="892">
                  <c:v>-1088.0459471172808</c:v>
                </c:pt>
                <c:pt idx="893">
                  <c:v>-1068.5578393171268</c:v>
                </c:pt>
                <c:pt idx="894">
                  <c:v>-1049.2249381217689</c:v>
                </c:pt>
                <c:pt idx="895">
                  <c:v>-1030.0480067610433</c:v>
                </c:pt>
                <c:pt idx="896">
                  <c:v>-1011.0278023073643</c:v>
                </c:pt>
                <c:pt idx="897">
                  <c:v>-992.16507564583617</c:v>
                </c:pt>
                <c:pt idx="898">
                  <c:v>-973.46057144460838</c:v>
                </c:pt>
                <c:pt idx="899">
                  <c:v>-954.91502812548015</c:v>
                </c:pt>
                <c:pt idx="900">
                  <c:v>-936.52917783474686</c:v>
                </c:pt>
                <c:pt idx="901">
                  <c:v>-918.30374641429626</c:v>
                </c:pt>
                <c:pt idx="902">
                  <c:v>-900.2394533729539</c:v>
                </c:pt>
                <c:pt idx="903">
                  <c:v>-882.33701185807695</c:v>
                </c:pt>
                <c:pt idx="904">
                  <c:v>-864.59712862740435</c:v>
                </c:pt>
                <c:pt idx="905">
                  <c:v>-847.02050402114946</c:v>
                </c:pt>
                <c:pt idx="906">
                  <c:v>-829.607831934356</c:v>
                </c:pt>
                <c:pt idx="907">
                  <c:v>-812.35979978950218</c:v>
                </c:pt>
                <c:pt idx="908">
                  <c:v>-795.27708850936415</c:v>
                </c:pt>
                <c:pt idx="909">
                  <c:v>-778.36037249013316</c:v>
                </c:pt>
                <c:pt idx="910">
                  <c:v>-761.61031957479099</c:v>
                </c:pt>
                <c:pt idx="911">
                  <c:v>-745.02759102674736</c:v>
                </c:pt>
                <c:pt idx="912">
                  <c:v>-728.61284150372921</c:v>
                </c:pt>
                <c:pt idx="913">
                  <c:v>-712.36671903194292</c:v>
                </c:pt>
                <c:pt idx="914">
                  <c:v>-696.28986498048471</c:v>
                </c:pt>
                <c:pt idx="915">
                  <c:v>-680.38291403602489</c:v>
                </c:pt>
                <c:pt idx="916">
                  <c:v>-664.64649417775036</c:v>
                </c:pt>
                <c:pt idx="917">
                  <c:v>-649.08122665257179</c:v>
                </c:pt>
                <c:pt idx="918">
                  <c:v>-633.68772595059727</c:v>
                </c:pt>
                <c:pt idx="919">
                  <c:v>-618.46659978087882</c:v>
                </c:pt>
                <c:pt idx="920">
                  <c:v>-603.41844904741447</c:v>
                </c:pt>
                <c:pt idx="921">
                  <c:v>-588.5438678254277</c:v>
                </c:pt>
                <c:pt idx="922">
                  <c:v>-573.84344333791705</c:v>
                </c:pt>
                <c:pt idx="923">
                  <c:v>-559.31775593246857</c:v>
                </c:pt>
                <c:pt idx="924">
                  <c:v>-544.96737905835107</c:v>
                </c:pt>
                <c:pt idx="925">
                  <c:v>-530.79287924386972</c:v>
                </c:pt>
                <c:pt idx="926">
                  <c:v>-516.79481607400794</c:v>
                </c:pt>
                <c:pt idx="927">
                  <c:v>-502.97374216833032</c:v>
                </c:pt>
                <c:pt idx="928">
                  <c:v>-489.3302031591702</c:v>
                </c:pt>
                <c:pt idx="929">
                  <c:v>-475.86473767008465</c:v>
                </c:pt>
                <c:pt idx="930">
                  <c:v>-462.57787729459596</c:v>
                </c:pt>
                <c:pt idx="931">
                  <c:v>-449.47014657520049</c:v>
                </c:pt>
                <c:pt idx="932">
                  <c:v>-436.54206298266308</c:v>
                </c:pt>
                <c:pt idx="933">
                  <c:v>-423.79413689558805</c:v>
                </c:pt>
                <c:pt idx="934">
                  <c:v>-411.22687158026838</c:v>
                </c:pt>
                <c:pt idx="935">
                  <c:v>-398.84076317082054</c:v>
                </c:pt>
                <c:pt idx="936">
                  <c:v>-386.63630064959671</c:v>
                </c:pt>
                <c:pt idx="937">
                  <c:v>-374.61396582787893</c:v>
                </c:pt>
                <c:pt idx="938">
                  <c:v>-362.77423332685976</c:v>
                </c:pt>
                <c:pt idx="939">
                  <c:v>-351.11757055890848</c:v>
                </c:pt>
                <c:pt idx="940">
                  <c:v>-339.64443770910748</c:v>
                </c:pt>
                <c:pt idx="941">
                  <c:v>-328.35528771710051</c:v>
                </c:pt>
                <c:pt idx="942">
                  <c:v>-317.25056625919751</c:v>
                </c:pt>
                <c:pt idx="943">
                  <c:v>-306.33071173078679</c:v>
                </c:pt>
                <c:pt idx="944">
                  <c:v>-295.59615522902732</c:v>
                </c:pt>
                <c:pt idx="945">
                  <c:v>-285.04732053583029</c:v>
                </c:pt>
                <c:pt idx="946">
                  <c:v>-274.68462410112716</c:v>
                </c:pt>
                <c:pt idx="947">
                  <c:v>-264.50847502642773</c:v>
                </c:pt>
                <c:pt idx="948">
                  <c:v>-254.51927504867399</c:v>
                </c:pt>
                <c:pt idx="949">
                  <c:v>-244.71741852437663</c:v>
                </c:pt>
                <c:pt idx="950">
                  <c:v>-235.10329241404816</c:v>
                </c:pt>
                <c:pt idx="951">
                  <c:v>-225.67727626692522</c:v>
                </c:pt>
                <c:pt idx="952">
                  <c:v>-216.43974220598557</c:v>
                </c:pt>
                <c:pt idx="953">
                  <c:v>-207.39105491325608</c:v>
                </c:pt>
                <c:pt idx="954">
                  <c:v>-198.53157161541822</c:v>
                </c:pt>
                <c:pt idx="955">
                  <c:v>-189.8616420697017</c:v>
                </c:pt>
                <c:pt idx="956">
                  <c:v>-181.38160855007936</c:v>
                </c:pt>
                <c:pt idx="957">
                  <c:v>-173.09180583375655</c:v>
                </c:pt>
                <c:pt idx="958">
                  <c:v>-164.99256118794801</c:v>
                </c:pt>
                <c:pt idx="959">
                  <c:v>-157.08419435696578</c:v>
                </c:pt>
                <c:pt idx="960">
                  <c:v>-149.36701754958904</c:v>
                </c:pt>
                <c:pt idx="961">
                  <c:v>-141.84133542674681</c:v>
                </c:pt>
                <c:pt idx="962">
                  <c:v>-134.50744508948083</c:v>
                </c:pt>
                <c:pt idx="963">
                  <c:v>-127.36563606722575</c:v>
                </c:pt>
                <c:pt idx="964">
                  <c:v>-120.41619030637139</c:v>
                </c:pt>
                <c:pt idx="965">
                  <c:v>-113.65938215913866</c:v>
                </c:pt>
                <c:pt idx="966">
                  <c:v>-107.09547837274204</c:v>
                </c:pt>
                <c:pt idx="967">
                  <c:v>-100.72473807886581</c:v>
                </c:pt>
                <c:pt idx="968">
                  <c:v>-94.547412783427717</c:v>
                </c:pt>
                <c:pt idx="969">
                  <c:v>-88.563746356650881</c:v>
                </c:pt>
                <c:pt idx="970">
                  <c:v>-82.773975023443199</c:v>
                </c:pt>
                <c:pt idx="971">
                  <c:v>-77.178327354062276</c:v>
                </c:pt>
                <c:pt idx="972">
                  <c:v>-71.777024255095967</c:v>
                </c:pt>
                <c:pt idx="973">
                  <c:v>-66.570278960743053</c:v>
                </c:pt>
                <c:pt idx="974">
                  <c:v>-61.558297024392232</c:v>
                </c:pt>
                <c:pt idx="975">
                  <c:v>-56.741276310507601</c:v>
                </c:pt>
                <c:pt idx="976">
                  <c:v>-52.11940698682065</c:v>
                </c:pt>
                <c:pt idx="977">
                  <c:v>-47.692871516816012</c:v>
                </c:pt>
                <c:pt idx="978">
                  <c:v>-43.461844652535547</c:v>
                </c:pt>
                <c:pt idx="979">
                  <c:v>-39.426493427677087</c:v>
                </c:pt>
                <c:pt idx="980">
                  <c:v>-35.586977150995153</c:v>
                </c:pt>
                <c:pt idx="981">
                  <c:v>-31.943447400018158</c:v>
                </c:pt>
                <c:pt idx="982">
                  <c:v>-28.496048015062115</c:v>
                </c:pt>
                <c:pt idx="983">
                  <c:v>-25.244915093552663</c:v>
                </c:pt>
                <c:pt idx="984">
                  <c:v>-22.190176984650861</c:v>
                </c:pt>
                <c:pt idx="985">
                  <c:v>-19.331954284184576</c:v>
                </c:pt>
                <c:pt idx="986">
                  <c:v>-16.670359829894551</c:v>
                </c:pt>
                <c:pt idx="987">
                  <c:v>-14.205498696971517</c:v>
                </c:pt>
                <c:pt idx="988">
                  <c:v>-11.937468193911627</c:v>
                </c:pt>
                <c:pt idx="989">
                  <c:v>-9.8663578586765652</c:v>
                </c:pt>
                <c:pt idx="990">
                  <c:v>-7.9922494551556156</c:v>
                </c:pt>
                <c:pt idx="991">
                  <c:v>-6.3152169699396836</c:v>
                </c:pt>
                <c:pt idx="992">
                  <c:v>-4.8353266093999991</c:v>
                </c:pt>
                <c:pt idx="993">
                  <c:v>-3.5526367970742285</c:v>
                </c:pt>
                <c:pt idx="994">
                  <c:v>-2.4671981713599962</c:v>
                </c:pt>
                <c:pt idx="995">
                  <c:v>-1.5790535835139963</c:v>
                </c:pt>
                <c:pt idx="996">
                  <c:v>-0.8882380959657894</c:v>
                </c:pt>
                <c:pt idx="997">
                  <c:v>-0.39477898092627584</c:v>
                </c:pt>
                <c:pt idx="998">
                  <c:v>-9.8695719318129704E-2</c:v>
                </c:pt>
                <c:pt idx="999">
                  <c:v>0</c:v>
                </c:pt>
              </c:numCache>
            </c:numRef>
          </c:xVal>
          <c:yVal>
            <c:numRef>
              <c:f>Feuil1!$AC$12:$AC$1011</c:f>
              <c:numCache>
                <c:formatCode>General</c:formatCode>
                <c:ptCount val="1000"/>
                <c:pt idx="0">
                  <c:v>-14968.584280172205</c:v>
                </c:pt>
                <c:pt idx="1">
                  <c:v>-14937.169800583237</c:v>
                </c:pt>
                <c:pt idx="2">
                  <c:v>-14905.757801422958</c:v>
                </c:pt>
                <c:pt idx="3">
                  <c:v>-14874.349522783312</c:v>
                </c:pt>
                <c:pt idx="4">
                  <c:v>-14842.946204609358</c:v>
                </c:pt>
                <c:pt idx="5">
                  <c:v>-14811.549086650328</c:v>
                </c:pt>
                <c:pt idx="6">
                  <c:v>-14780.159408410676</c:v>
                </c:pt>
                <c:pt idx="7">
                  <c:v>-14748.778409101153</c:v>
                </c:pt>
                <c:pt idx="8">
                  <c:v>-14717.407327589877</c:v>
                </c:pt>
                <c:pt idx="9">
                  <c:v>-14686.047402353433</c:v>
                </c:pt>
                <c:pt idx="10">
                  <c:v>-14654.699871427971</c:v>
                </c:pt>
                <c:pt idx="11">
                  <c:v>-14623.365972360336</c:v>
                </c:pt>
                <c:pt idx="12">
                  <c:v>-14592.046942159212</c:v>
                </c:pt>
                <c:pt idx="13">
                  <c:v>-14560.744017246285</c:v>
                </c:pt>
                <c:pt idx="14">
                  <c:v>-14529.458433407428</c:v>
                </c:pt>
                <c:pt idx="15">
                  <c:v>-14498.191425743926</c:v>
                </c:pt>
                <c:pt idx="16">
                  <c:v>-14466.944228623701</c:v>
                </c:pt>
                <c:pt idx="17">
                  <c:v>-14435.718075632592</c:v>
                </c:pt>
                <c:pt idx="18">
                  <c:v>-14404.514199525651</c:v>
                </c:pt>
                <c:pt idx="19">
                  <c:v>-14373.333832178479</c:v>
                </c:pt>
                <c:pt idx="20">
                  <c:v>-14342.178204538588</c:v>
                </c:pt>
                <c:pt idx="21">
                  <c:v>-14311.048546576811</c:v>
                </c:pt>
                <c:pt idx="22">
                  <c:v>-14279.946087238739</c:v>
                </c:pt>
                <c:pt idx="23">
                  <c:v>-14248.872054396215</c:v>
                </c:pt>
                <c:pt idx="24">
                  <c:v>-14217.827674798846</c:v>
                </c:pt>
                <c:pt idx="25">
                  <c:v>-14186.814174025581</c:v>
                </c:pt>
                <c:pt idx="26">
                  <c:v>-14155.832776436331</c:v>
                </c:pt>
                <c:pt idx="27">
                  <c:v>-14124.884705123621</c:v>
                </c:pt>
                <c:pt idx="28">
                  <c:v>-14093.971181864314</c:v>
                </c:pt>
                <c:pt idx="29">
                  <c:v>-14063.093427071377</c:v>
                </c:pt>
                <c:pt idx="30">
                  <c:v>-14032.2526597457</c:v>
                </c:pt>
                <c:pt idx="31">
                  <c:v>-14001.450097427965</c:v>
                </c:pt>
                <c:pt idx="32">
                  <c:v>-13970.686956150594</c:v>
                </c:pt>
                <c:pt idx="33">
                  <c:v>-13939.964450389727</c:v>
                </c:pt>
                <c:pt idx="34">
                  <c:v>-13909.283793017288</c:v>
                </c:pt>
                <c:pt idx="35">
                  <c:v>-13878.646195253095</c:v>
                </c:pt>
                <c:pt idx="36">
                  <c:v>-13848.052866617047</c:v>
                </c:pt>
                <c:pt idx="37">
                  <c:v>-13817.505014881377</c:v>
                </c:pt>
                <c:pt idx="38">
                  <c:v>-13787.003846022963</c:v>
                </c:pt>
                <c:pt idx="39">
                  <c:v>-13756.550564175726</c:v>
                </c:pt>
                <c:pt idx="40">
                  <c:v>-13726.146371583089</c:v>
                </c:pt>
                <c:pt idx="41">
                  <c:v>-13695.792468550515</c:v>
                </c:pt>
                <c:pt idx="42">
                  <c:v>-13665.490053398122</c:v>
                </c:pt>
                <c:pt idx="43">
                  <c:v>-13635.240322413374</c:v>
                </c:pt>
                <c:pt idx="44">
                  <c:v>-13605.044469803854</c:v>
                </c:pt>
                <c:pt idx="45">
                  <c:v>-13574.90368765012</c:v>
                </c:pt>
                <c:pt idx="46">
                  <c:v>-13544.81916585864</c:v>
                </c:pt>
                <c:pt idx="47">
                  <c:v>-13514.792092114825</c:v>
                </c:pt>
                <c:pt idx="48">
                  <c:v>-13484.82365183613</c:v>
                </c:pt>
                <c:pt idx="49">
                  <c:v>-13454.915028125262</c:v>
                </c:pt>
                <c:pt idx="50">
                  <c:v>-13425.067401723476</c:v>
                </c:pt>
                <c:pt idx="51">
                  <c:v>-13395.281950963952</c:v>
                </c:pt>
                <c:pt idx="52">
                  <c:v>-13365.559851725287</c:v>
                </c:pt>
                <c:pt idx="53">
                  <c:v>-13335.902277385067</c:v>
                </c:pt>
                <c:pt idx="54">
                  <c:v>-13306.310398773543</c:v>
                </c:pt>
                <c:pt idx="55">
                  <c:v>-13276.785384127415</c:v>
                </c:pt>
                <c:pt idx="56">
                  <c:v>-13247.328399043705</c:v>
                </c:pt>
                <c:pt idx="57">
                  <c:v>-13217.940606433747</c:v>
                </c:pt>
                <c:pt idx="58">
                  <c:v>-13188.623166477271</c:v>
                </c:pt>
                <c:pt idx="59">
                  <c:v>-13159.377236576611</c:v>
                </c:pt>
                <c:pt idx="60">
                  <c:v>-13130.203971310999</c:v>
                </c:pt>
                <c:pt idx="61">
                  <c:v>-13101.104522390995</c:v>
                </c:pt>
                <c:pt idx="62">
                  <c:v>-13072.080038613018</c:v>
                </c:pt>
                <c:pt idx="63">
                  <c:v>-13043.131665813988</c:v>
                </c:pt>
                <c:pt idx="64">
                  <c:v>-13014.260546826097</c:v>
                </c:pt>
                <c:pt idx="65">
                  <c:v>-12985.467821431686</c:v>
                </c:pt>
                <c:pt idx="66">
                  <c:v>-12956.754626318256</c:v>
                </c:pt>
                <c:pt idx="67">
                  <c:v>-12928.122095033579</c:v>
                </c:pt>
                <c:pt idx="68">
                  <c:v>-12899.571357940969</c:v>
                </c:pt>
                <c:pt idx="69">
                  <c:v>-12871.103542174638</c:v>
                </c:pt>
                <c:pt idx="70">
                  <c:v>-12842.719771595206</c:v>
                </c:pt>
                <c:pt idx="71">
                  <c:v>-12814.421166745336</c:v>
                </c:pt>
                <c:pt idx="72">
                  <c:v>-12786.208844805493</c:v>
                </c:pt>
                <c:pt idx="73">
                  <c:v>-12758.083919549839</c:v>
                </c:pt>
                <c:pt idx="74">
                  <c:v>-12730.047501302266</c:v>
                </c:pt>
                <c:pt idx="75">
                  <c:v>-12702.100696892561</c:v>
                </c:pt>
                <c:pt idx="76">
                  <c:v>-12674.24460961271</c:v>
                </c:pt>
                <c:pt idx="77">
                  <c:v>-12646.480339173337</c:v>
                </c:pt>
                <c:pt idx="78">
                  <c:v>-12618.808981660306</c:v>
                </c:pt>
                <c:pt idx="79">
                  <c:v>-12591.231629491424</c:v>
                </c:pt>
                <c:pt idx="80">
                  <c:v>-12563.749371373338</c:v>
                </c:pt>
                <c:pt idx="81">
                  <c:v>-12536.363292258542</c:v>
                </c:pt>
                <c:pt idx="82">
                  <c:v>-12509.074473302546</c:v>
                </c:pt>
                <c:pt idx="83">
                  <c:v>-12481.883991821196</c:v>
                </c:pt>
                <c:pt idx="84">
                  <c:v>-12454.792921248143</c:v>
                </c:pt>
                <c:pt idx="85">
                  <c:v>-12427.802331092467</c:v>
                </c:pt>
                <c:pt idx="86">
                  <c:v>-12400.913286896452</c:v>
                </c:pt>
                <c:pt idx="87">
                  <c:v>-12374.126850193519</c:v>
                </c:pt>
                <c:pt idx="88">
                  <c:v>-12347.444078466327</c:v>
                </c:pt>
                <c:pt idx="89">
                  <c:v>-12320.866025105015</c:v>
                </c:pt>
                <c:pt idx="90">
                  <c:v>-12294.39373936562</c:v>
                </c:pt>
                <c:pt idx="91">
                  <c:v>-12268.028266328653</c:v>
                </c:pt>
                <c:pt idx="92">
                  <c:v>-12241.770646857847</c:v>
                </c:pt>
                <c:pt idx="93">
                  <c:v>-12215.621917559058</c:v>
                </c:pt>
                <c:pt idx="94">
                  <c:v>-12189.583110739344</c:v>
                </c:pt>
                <c:pt idx="95">
                  <c:v>-12163.655254366215</c:v>
                </c:pt>
                <c:pt idx="96">
                  <c:v>-12137.839372027043</c:v>
                </c:pt>
                <c:pt idx="97">
                  <c:v>-12112.136482888658</c:v>
                </c:pt>
                <c:pt idx="98">
                  <c:v>-12086.547601657116</c:v>
                </c:pt>
                <c:pt idx="99">
                  <c:v>-12061.073738537631</c:v>
                </c:pt>
                <c:pt idx="100">
                  <c:v>-12035.7158991947</c:v>
                </c:pt>
                <c:pt idx="101">
                  <c:v>-12010.475084712401</c:v>
                </c:pt>
                <c:pt idx="102">
                  <c:v>-11985.352291554871</c:v>
                </c:pt>
                <c:pt idx="103">
                  <c:v>-11960.348511526969</c:v>
                </c:pt>
                <c:pt idx="104">
                  <c:v>-11935.464731735112</c:v>
                </c:pt>
                <c:pt idx="105">
                  <c:v>-11910.701934548324</c:v>
                </c:pt>
                <c:pt idx="106">
                  <c:v>-11886.061097559432</c:v>
                </c:pt>
                <c:pt idx="107">
                  <c:v>-11861.543193546491</c:v>
                </c:pt>
                <c:pt idx="108">
                  <c:v>-11837.149190434373</c:v>
                </c:pt>
                <c:pt idx="109">
                  <c:v>-11812.880051256547</c:v>
                </c:pt>
                <c:pt idx="110">
                  <c:v>-11788.736734117072</c:v>
                </c:pt>
                <c:pt idx="111">
                  <c:v>-11764.720192152772</c:v>
                </c:pt>
                <c:pt idx="112">
                  <c:v>-11740.831373495599</c:v>
                </c:pt>
                <c:pt idx="113">
                  <c:v>-11717.071221235212</c:v>
                </c:pt>
                <c:pt idx="114">
                  <c:v>-11693.440673381734</c:v>
                </c:pt>
                <c:pt idx="115">
                  <c:v>-11669.940662828736</c:v>
                </c:pt>
                <c:pt idx="116">
                  <c:v>-11646.572117316393</c:v>
                </c:pt>
                <c:pt idx="117">
                  <c:v>-11623.33595939487</c:v>
                </c:pt>
                <c:pt idx="118">
                  <c:v>-11600.233106387896</c:v>
                </c:pt>
                <c:pt idx="119">
                  <c:v>-11577.264470356549</c:v>
                </c:pt>
                <c:pt idx="120">
                  <c:v>-11554.430958063251</c:v>
                </c:pt>
                <c:pt idx="121">
                  <c:v>-11531.733470935967</c:v>
                </c:pt>
                <c:pt idx="122">
                  <c:v>-11509.172905032628</c:v>
                </c:pt>
                <c:pt idx="123">
                  <c:v>-11486.750151005746</c:v>
                </c:pt>
                <c:pt idx="124">
                  <c:v>-11464.466094067255</c:v>
                </c:pt>
                <c:pt idx="125">
                  <c:v>-11442.321613953565</c:v>
                </c:pt>
                <c:pt idx="126">
                  <c:v>-11420.317584890836</c:v>
                </c:pt>
                <c:pt idx="127">
                  <c:v>-11398.454875560457</c:v>
                </c:pt>
                <c:pt idx="128">
                  <c:v>-11376.734349064758</c:v>
                </c:pt>
                <c:pt idx="129">
                  <c:v>-11355.156862892934</c:v>
                </c:pt>
                <c:pt idx="130">
                  <c:v>-11333.723268887192</c:v>
                </c:pt>
                <c:pt idx="131">
                  <c:v>-11312.434413209121</c:v>
                </c:pt>
                <c:pt idx="132">
                  <c:v>-11291.291136306294</c:v>
                </c:pt>
                <c:pt idx="133">
                  <c:v>-11270.29427287908</c:v>
                </c:pt>
                <c:pt idx="134">
                  <c:v>-11249.444651847693</c:v>
                </c:pt>
                <c:pt idx="135">
                  <c:v>-11228.743096319471</c:v>
                </c:pt>
                <c:pt idx="136">
                  <c:v>-11208.190423556382</c:v>
                </c:pt>
                <c:pt idx="137">
                  <c:v>-11187.787444942751</c:v>
                </c:pt>
                <c:pt idx="138">
                  <c:v>-11167.53496595324</c:v>
                </c:pt>
                <c:pt idx="139">
                  <c:v>-11147.433786121044</c:v>
                </c:pt>
                <c:pt idx="140">
                  <c:v>-11127.484699006322</c:v>
                </c:pt>
                <c:pt idx="141">
                  <c:v>-11107.688492164873</c:v>
                </c:pt>
                <c:pt idx="142">
                  <c:v>-11088.045947117049</c:v>
                </c:pt>
                <c:pt idx="143">
                  <c:v>-11068.557839316894</c:v>
                </c:pt>
                <c:pt idx="144">
                  <c:v>-11049.224938121537</c:v>
                </c:pt>
                <c:pt idx="145">
                  <c:v>-11030.048006760813</c:v>
                </c:pt>
                <c:pt idx="146">
                  <c:v>-11011.027802307135</c:v>
                </c:pt>
                <c:pt idx="147">
                  <c:v>-10992.165075645607</c:v>
                </c:pt>
                <c:pt idx="148">
                  <c:v>-10973.460571444379</c:v>
                </c:pt>
                <c:pt idx="149">
                  <c:v>-10954.915028125251</c:v>
                </c:pt>
                <c:pt idx="150">
                  <c:v>-10936.52917783452</c:v>
                </c:pt>
                <c:pt idx="151">
                  <c:v>-10918.303746414069</c:v>
                </c:pt>
                <c:pt idx="152">
                  <c:v>-10900.239453372727</c:v>
                </c:pt>
                <c:pt idx="153">
                  <c:v>-10882.337011857853</c:v>
                </c:pt>
                <c:pt idx="154">
                  <c:v>-10864.59712862718</c:v>
                </c:pt>
                <c:pt idx="155">
                  <c:v>-10847.020504020926</c:v>
                </c:pt>
                <c:pt idx="156">
                  <c:v>-10829.607831934132</c:v>
                </c:pt>
                <c:pt idx="157">
                  <c:v>-10812.359799789279</c:v>
                </c:pt>
                <c:pt idx="158">
                  <c:v>-10795.277088509145</c:v>
                </c:pt>
                <c:pt idx="159">
                  <c:v>-10778.360372489915</c:v>
                </c:pt>
                <c:pt idx="160">
                  <c:v>-10761.610319574573</c:v>
                </c:pt>
                <c:pt idx="161">
                  <c:v>-10745.02759102653</c:v>
                </c:pt>
                <c:pt idx="162">
                  <c:v>-10728.612841503513</c:v>
                </c:pt>
                <c:pt idx="163">
                  <c:v>-10712.366719031728</c:v>
                </c:pt>
                <c:pt idx="164">
                  <c:v>-10696.28986498027</c:v>
                </c:pt>
                <c:pt idx="165">
                  <c:v>-10680.382914035814</c:v>
                </c:pt>
                <c:pt idx="166">
                  <c:v>-10664.646494177538</c:v>
                </c:pt>
                <c:pt idx="167">
                  <c:v>-10649.081226652361</c:v>
                </c:pt>
                <c:pt idx="168">
                  <c:v>-10633.687725950389</c:v>
                </c:pt>
                <c:pt idx="169">
                  <c:v>-10618.46659978067</c:v>
                </c:pt>
                <c:pt idx="170">
                  <c:v>-10603.418449047207</c:v>
                </c:pt>
                <c:pt idx="171">
                  <c:v>-10588.543867825221</c:v>
                </c:pt>
                <c:pt idx="172">
                  <c:v>-10573.843443337713</c:v>
                </c:pt>
                <c:pt idx="173">
                  <c:v>-10559.317755932267</c:v>
                </c:pt>
                <c:pt idx="174">
                  <c:v>-10544.967379058151</c:v>
                </c:pt>
                <c:pt idx="175">
                  <c:v>-10530.792879243669</c:v>
                </c:pt>
                <c:pt idx="176">
                  <c:v>-10516.794816073809</c:v>
                </c:pt>
                <c:pt idx="177">
                  <c:v>-10502.973742168135</c:v>
                </c:pt>
                <c:pt idx="178">
                  <c:v>-10489.330203158974</c:v>
                </c:pt>
                <c:pt idx="179">
                  <c:v>-10475.864737669892</c:v>
                </c:pt>
                <c:pt idx="180">
                  <c:v>-10462.577877294403</c:v>
                </c:pt>
                <c:pt idx="181">
                  <c:v>-10449.470146575011</c:v>
                </c:pt>
                <c:pt idx="182">
                  <c:v>-10436.542062982475</c:v>
                </c:pt>
                <c:pt idx="183">
                  <c:v>-10423.794136895402</c:v>
                </c:pt>
                <c:pt idx="184">
                  <c:v>-10411.226871580084</c:v>
                </c:pt>
                <c:pt idx="185">
                  <c:v>-10398.840763170638</c:v>
                </c:pt>
                <c:pt idx="186">
                  <c:v>-10386.636300649414</c:v>
                </c:pt>
                <c:pt idx="187">
                  <c:v>-10374.613965827699</c:v>
                </c:pt>
                <c:pt idx="188">
                  <c:v>-10362.774233326683</c:v>
                </c:pt>
                <c:pt idx="189">
                  <c:v>-10351.117570558734</c:v>
                </c:pt>
                <c:pt idx="190">
                  <c:v>-10339.644437708936</c:v>
                </c:pt>
                <c:pt idx="191">
                  <c:v>-10328.35528771693</c:v>
                </c:pt>
                <c:pt idx="192">
                  <c:v>-10317.250566259028</c:v>
                </c:pt>
                <c:pt idx="193">
                  <c:v>-10306.330711730619</c:v>
                </c:pt>
                <c:pt idx="194">
                  <c:v>-10295.596155228863</c:v>
                </c:pt>
                <c:pt idx="195">
                  <c:v>-10285.047320535668</c:v>
                </c:pt>
                <c:pt idx="196">
                  <c:v>-10274.684624100966</c:v>
                </c:pt>
                <c:pt idx="197">
                  <c:v>-10264.508475026269</c:v>
                </c:pt>
                <c:pt idx="198">
                  <c:v>-10254.519275048518</c:v>
                </c:pt>
                <c:pt idx="199">
                  <c:v>-10244.717418524222</c:v>
                </c:pt>
                <c:pt idx="200">
                  <c:v>-10235.103292413896</c:v>
                </c:pt>
                <c:pt idx="201">
                  <c:v>-10225.677276266775</c:v>
                </c:pt>
                <c:pt idx="202">
                  <c:v>-10216.439742205839</c:v>
                </c:pt>
                <c:pt idx="203">
                  <c:v>-10207.391054913111</c:v>
                </c:pt>
                <c:pt idx="204">
                  <c:v>-10198.531571615276</c:v>
                </c:pt>
                <c:pt idx="205">
                  <c:v>-10189.861642069562</c:v>
                </c:pt>
                <c:pt idx="206">
                  <c:v>-10181.381608549942</c:v>
                </c:pt>
                <c:pt idx="207">
                  <c:v>-10173.091805833621</c:v>
                </c:pt>
                <c:pt idx="208">
                  <c:v>-10164.992561187817</c:v>
                </c:pt>
                <c:pt idx="209">
                  <c:v>-10157.084194356838</c:v>
                </c:pt>
                <c:pt idx="210">
                  <c:v>-10149.367017549463</c:v>
                </c:pt>
                <c:pt idx="211">
                  <c:v>-10141.841335426623</c:v>
                </c:pt>
                <c:pt idx="212">
                  <c:v>-10134.507445089359</c:v>
                </c:pt>
                <c:pt idx="213">
                  <c:v>-10127.365636067107</c:v>
                </c:pt>
                <c:pt idx="214">
                  <c:v>-10120.416190306256</c:v>
                </c:pt>
                <c:pt idx="215">
                  <c:v>-10113.659382159025</c:v>
                </c:pt>
                <c:pt idx="216">
                  <c:v>-10107.095478372634</c:v>
                </c:pt>
                <c:pt idx="217">
                  <c:v>-10100.724738078759</c:v>
                </c:pt>
                <c:pt idx="218">
                  <c:v>-10094.547412783322</c:v>
                </c:pt>
                <c:pt idx="219">
                  <c:v>-10088.563746356551</c:v>
                </c:pt>
                <c:pt idx="220">
                  <c:v>-10082.773975023345</c:v>
                </c:pt>
                <c:pt idx="221">
                  <c:v>-10077.178327353966</c:v>
                </c:pt>
                <c:pt idx="222">
                  <c:v>-10071.777024255003</c:v>
                </c:pt>
                <c:pt idx="223">
                  <c:v>-10066.570278960655</c:v>
                </c:pt>
                <c:pt idx="224">
                  <c:v>-10061.558297024305</c:v>
                </c:pt>
                <c:pt idx="225">
                  <c:v>-10056.741276310424</c:v>
                </c:pt>
                <c:pt idx="226">
                  <c:v>-10052.11940698674</c:v>
                </c:pt>
                <c:pt idx="227">
                  <c:v>-10047.692871516738</c:v>
                </c:pt>
                <c:pt idx="228">
                  <c:v>-10043.461844652462</c:v>
                </c:pt>
                <c:pt idx="229">
                  <c:v>-10039.426493427607</c:v>
                </c:pt>
                <c:pt idx="230">
                  <c:v>-10035.586977150928</c:v>
                </c:pt>
                <c:pt idx="231">
                  <c:v>-10031.943447399954</c:v>
                </c:pt>
                <c:pt idx="232">
                  <c:v>-10028.496048015</c:v>
                </c:pt>
                <c:pt idx="233">
                  <c:v>-10025.244915093495</c:v>
                </c:pt>
                <c:pt idx="234">
                  <c:v>-10022.190176984597</c:v>
                </c:pt>
                <c:pt idx="235">
                  <c:v>-10019.331954284135</c:v>
                </c:pt>
                <c:pt idx="236">
                  <c:v>-10016.670359829848</c:v>
                </c:pt>
                <c:pt idx="237">
                  <c:v>-10014.205498696927</c:v>
                </c:pt>
                <c:pt idx="238">
                  <c:v>-10011.937468193872</c:v>
                </c:pt>
                <c:pt idx="239">
                  <c:v>-10009.866357858638</c:v>
                </c:pt>
                <c:pt idx="240">
                  <c:v>-10007.992249455123</c:v>
                </c:pt>
                <c:pt idx="241">
                  <c:v>-10006.31521696991</c:v>
                </c:pt>
                <c:pt idx="242">
                  <c:v>-10004.835326609375</c:v>
                </c:pt>
                <c:pt idx="243">
                  <c:v>-10003.552636797052</c:v>
                </c:pt>
                <c:pt idx="244">
                  <c:v>-10002.46719817134</c:v>
                </c:pt>
                <c:pt idx="245">
                  <c:v>-10001.5790535835</c:v>
                </c:pt>
                <c:pt idx="246">
                  <c:v>-10000.888238095955</c:v>
                </c:pt>
                <c:pt idx="247">
                  <c:v>-10000.394778980919</c:v>
                </c:pt>
                <c:pt idx="248">
                  <c:v>-10000.098695719313</c:v>
                </c:pt>
                <c:pt idx="249">
                  <c:v>-10000</c:v>
                </c:pt>
                <c:pt idx="250">
                  <c:v>-10000.098695719314</c:v>
                </c:pt>
                <c:pt idx="251">
                  <c:v>-10000.394778980921</c:v>
                </c:pt>
                <c:pt idx="252">
                  <c:v>-10000.888238095955</c:v>
                </c:pt>
                <c:pt idx="253">
                  <c:v>-10001.5790535835</c:v>
                </c:pt>
                <c:pt idx="254">
                  <c:v>-10002.467198171344</c:v>
                </c:pt>
                <c:pt idx="255">
                  <c:v>-10003.552636797056</c:v>
                </c:pt>
                <c:pt idx="256">
                  <c:v>-10004.835326609378</c:v>
                </c:pt>
                <c:pt idx="257">
                  <c:v>-10006.315216969915</c:v>
                </c:pt>
                <c:pt idx="258">
                  <c:v>-10007.992249455128</c:v>
                </c:pt>
                <c:pt idx="259">
                  <c:v>-10009.866357858646</c:v>
                </c:pt>
                <c:pt idx="260">
                  <c:v>-10011.937468193877</c:v>
                </c:pt>
                <c:pt idx="261">
                  <c:v>-10014.205498696934</c:v>
                </c:pt>
                <c:pt idx="262">
                  <c:v>-10016.670359829855</c:v>
                </c:pt>
                <c:pt idx="263">
                  <c:v>-10019.331954284142</c:v>
                </c:pt>
                <c:pt idx="264">
                  <c:v>-10022.190176984604</c:v>
                </c:pt>
                <c:pt idx="265">
                  <c:v>-10025.244915093504</c:v>
                </c:pt>
                <c:pt idx="266">
                  <c:v>-10028.496048015011</c:v>
                </c:pt>
                <c:pt idx="267">
                  <c:v>-10031.943447399964</c:v>
                </c:pt>
                <c:pt idx="268">
                  <c:v>-10035.586977150939</c:v>
                </c:pt>
                <c:pt idx="269">
                  <c:v>-10039.426493427618</c:v>
                </c:pt>
                <c:pt idx="270">
                  <c:v>-10043.461844652473</c:v>
                </c:pt>
                <c:pt idx="271">
                  <c:v>-10047.692871516751</c:v>
                </c:pt>
                <c:pt idx="272">
                  <c:v>-10052.119406986752</c:v>
                </c:pt>
                <c:pt idx="273">
                  <c:v>-10056.741276310437</c:v>
                </c:pt>
                <c:pt idx="274">
                  <c:v>-10061.558297024319</c:v>
                </c:pt>
                <c:pt idx="275">
                  <c:v>-10066.570278960669</c:v>
                </c:pt>
                <c:pt idx="276">
                  <c:v>-10071.777024255018</c:v>
                </c:pt>
                <c:pt idx="277">
                  <c:v>-10077.178327353982</c:v>
                </c:pt>
                <c:pt idx="278">
                  <c:v>-10082.77397502336</c:v>
                </c:pt>
                <c:pt idx="279">
                  <c:v>-10088.563746356565</c:v>
                </c:pt>
                <c:pt idx="280">
                  <c:v>-10094.54741278334</c:v>
                </c:pt>
                <c:pt idx="281">
                  <c:v>-10100.724738078778</c:v>
                </c:pt>
                <c:pt idx="282">
                  <c:v>-10107.09547837265</c:v>
                </c:pt>
                <c:pt idx="283">
                  <c:v>-10113.659382159043</c:v>
                </c:pt>
                <c:pt idx="284">
                  <c:v>-10120.416190306274</c:v>
                </c:pt>
                <c:pt idx="285">
                  <c:v>-10127.365636067127</c:v>
                </c:pt>
                <c:pt idx="286">
                  <c:v>-10134.507445089381</c:v>
                </c:pt>
                <c:pt idx="287">
                  <c:v>-10141.841335426643</c:v>
                </c:pt>
                <c:pt idx="288">
                  <c:v>-10149.367017549484</c:v>
                </c:pt>
                <c:pt idx="289">
                  <c:v>-10157.084194356858</c:v>
                </c:pt>
                <c:pt idx="290">
                  <c:v>-10164.992561187839</c:v>
                </c:pt>
                <c:pt idx="291">
                  <c:v>-10173.091805833645</c:v>
                </c:pt>
                <c:pt idx="292">
                  <c:v>-10181.381608549967</c:v>
                </c:pt>
                <c:pt idx="293">
                  <c:v>-10189.861642069587</c:v>
                </c:pt>
                <c:pt idx="294">
                  <c:v>-10198.5315716153</c:v>
                </c:pt>
                <c:pt idx="295">
                  <c:v>-10207.391054913136</c:v>
                </c:pt>
                <c:pt idx="296">
                  <c:v>-10216.439742205865</c:v>
                </c:pt>
                <c:pt idx="297">
                  <c:v>-10225.677276266801</c:v>
                </c:pt>
                <c:pt idx="298">
                  <c:v>-10235.103292413924</c:v>
                </c:pt>
                <c:pt idx="299">
                  <c:v>-10244.717418524251</c:v>
                </c:pt>
                <c:pt idx="300">
                  <c:v>-10254.519275048546</c:v>
                </c:pt>
                <c:pt idx="301">
                  <c:v>-10264.508475026298</c:v>
                </c:pt>
                <c:pt idx="302">
                  <c:v>-10274.684624100995</c:v>
                </c:pt>
                <c:pt idx="303">
                  <c:v>-10285.047320535698</c:v>
                </c:pt>
                <c:pt idx="304">
                  <c:v>-10295.596155228894</c:v>
                </c:pt>
                <c:pt idx="305">
                  <c:v>-10306.33071173065</c:v>
                </c:pt>
                <c:pt idx="306">
                  <c:v>-10317.250566259059</c:v>
                </c:pt>
                <c:pt idx="307">
                  <c:v>-10328.35528771696</c:v>
                </c:pt>
                <c:pt idx="308">
                  <c:v>-10339.644437708967</c:v>
                </c:pt>
                <c:pt idx="309">
                  <c:v>-10351.117570558765</c:v>
                </c:pt>
                <c:pt idx="310">
                  <c:v>-10362.774233326716</c:v>
                </c:pt>
                <c:pt idx="311">
                  <c:v>-10374.613965827732</c:v>
                </c:pt>
                <c:pt idx="312">
                  <c:v>-10386.63630064945</c:v>
                </c:pt>
                <c:pt idx="313">
                  <c:v>-10398.840763170672</c:v>
                </c:pt>
                <c:pt idx="314">
                  <c:v>-10411.226871580118</c:v>
                </c:pt>
                <c:pt idx="315">
                  <c:v>-10423.794136895438</c:v>
                </c:pt>
                <c:pt idx="316">
                  <c:v>-10436.542062982511</c:v>
                </c:pt>
                <c:pt idx="317">
                  <c:v>-10449.470146575048</c:v>
                </c:pt>
                <c:pt idx="318">
                  <c:v>-10462.577877294441</c:v>
                </c:pt>
                <c:pt idx="319">
                  <c:v>-10475.86473766993</c:v>
                </c:pt>
                <c:pt idx="320">
                  <c:v>-10489.330203159014</c:v>
                </c:pt>
                <c:pt idx="321">
                  <c:v>-10502.973742168171</c:v>
                </c:pt>
                <c:pt idx="322">
                  <c:v>-10516.794816073849</c:v>
                </c:pt>
                <c:pt idx="323">
                  <c:v>-10530.792879243709</c:v>
                </c:pt>
                <c:pt idx="324">
                  <c:v>-10544.967379058191</c:v>
                </c:pt>
                <c:pt idx="325">
                  <c:v>-10559.317755932307</c:v>
                </c:pt>
                <c:pt idx="326">
                  <c:v>-10573.843443337753</c:v>
                </c:pt>
                <c:pt idx="327">
                  <c:v>-10588.543867825265</c:v>
                </c:pt>
                <c:pt idx="328">
                  <c:v>-10603.418449047251</c:v>
                </c:pt>
                <c:pt idx="329">
                  <c:v>-10618.466599780713</c:v>
                </c:pt>
                <c:pt idx="330">
                  <c:v>-10633.687725950431</c:v>
                </c:pt>
                <c:pt idx="331">
                  <c:v>-10649.081226652404</c:v>
                </c:pt>
                <c:pt idx="332">
                  <c:v>-10664.646494177583</c:v>
                </c:pt>
                <c:pt idx="333">
                  <c:v>-10680.382914035858</c:v>
                </c:pt>
                <c:pt idx="334">
                  <c:v>-10696.289864980316</c:v>
                </c:pt>
                <c:pt idx="335">
                  <c:v>-10712.366719031774</c:v>
                </c:pt>
                <c:pt idx="336">
                  <c:v>-10728.61284150356</c:v>
                </c:pt>
                <c:pt idx="337">
                  <c:v>-10745.027591026577</c:v>
                </c:pt>
                <c:pt idx="338">
                  <c:v>-10761.61031957462</c:v>
                </c:pt>
                <c:pt idx="339">
                  <c:v>-10778.360372489962</c:v>
                </c:pt>
                <c:pt idx="340">
                  <c:v>-10795.277088509192</c:v>
                </c:pt>
                <c:pt idx="341">
                  <c:v>-10812.35979978933</c:v>
                </c:pt>
                <c:pt idx="342">
                  <c:v>-10829.607831934183</c:v>
                </c:pt>
                <c:pt idx="343">
                  <c:v>-10847.020504020977</c:v>
                </c:pt>
                <c:pt idx="344">
                  <c:v>-10864.597128627229</c:v>
                </c:pt>
                <c:pt idx="345">
                  <c:v>-10882.337011857902</c:v>
                </c:pt>
                <c:pt idx="346">
                  <c:v>-10900.239453372778</c:v>
                </c:pt>
                <c:pt idx="347">
                  <c:v>-10918.30374641412</c:v>
                </c:pt>
                <c:pt idx="348">
                  <c:v>-10936.529177834571</c:v>
                </c:pt>
                <c:pt idx="349">
                  <c:v>-10954.915028125304</c:v>
                </c:pt>
                <c:pt idx="350">
                  <c:v>-10973.460571444433</c:v>
                </c:pt>
                <c:pt idx="351">
                  <c:v>-10992.16507564566</c:v>
                </c:pt>
                <c:pt idx="352">
                  <c:v>-11011.027802307188</c:v>
                </c:pt>
                <c:pt idx="353">
                  <c:v>-11030.048006760866</c:v>
                </c:pt>
                <c:pt idx="354">
                  <c:v>-11049.224938121592</c:v>
                </c:pt>
                <c:pt idx="355">
                  <c:v>-11068.557839316951</c:v>
                </c:pt>
                <c:pt idx="356">
                  <c:v>-11088.045947117105</c:v>
                </c:pt>
                <c:pt idx="357">
                  <c:v>-11107.688492164929</c:v>
                </c:pt>
                <c:pt idx="358">
                  <c:v>-11127.484699006378</c:v>
                </c:pt>
                <c:pt idx="359">
                  <c:v>-11147.433786121101</c:v>
                </c:pt>
                <c:pt idx="360">
                  <c:v>-11167.534965953299</c:v>
                </c:pt>
                <c:pt idx="361">
                  <c:v>-11187.787444942809</c:v>
                </c:pt>
                <c:pt idx="362">
                  <c:v>-11208.19042355644</c:v>
                </c:pt>
                <c:pt idx="363">
                  <c:v>-11228.743096319529</c:v>
                </c:pt>
                <c:pt idx="364">
                  <c:v>-11249.444651847753</c:v>
                </c:pt>
                <c:pt idx="365">
                  <c:v>-11270.294272879139</c:v>
                </c:pt>
                <c:pt idx="366">
                  <c:v>-11291.291136306354</c:v>
                </c:pt>
                <c:pt idx="367">
                  <c:v>-11312.434413209181</c:v>
                </c:pt>
                <c:pt idx="368">
                  <c:v>-11333.723268887252</c:v>
                </c:pt>
                <c:pt idx="369">
                  <c:v>-11355.156862892994</c:v>
                </c:pt>
                <c:pt idx="370">
                  <c:v>-11376.73434906482</c:v>
                </c:pt>
                <c:pt idx="371">
                  <c:v>-11398.454875560519</c:v>
                </c:pt>
                <c:pt idx="372">
                  <c:v>-11420.317584890898</c:v>
                </c:pt>
                <c:pt idx="373">
                  <c:v>-11442.321613953627</c:v>
                </c:pt>
                <c:pt idx="374">
                  <c:v>-11464.466094067317</c:v>
                </c:pt>
                <c:pt idx="375">
                  <c:v>-11486.75015100581</c:v>
                </c:pt>
                <c:pt idx="376">
                  <c:v>-11509.172905032692</c:v>
                </c:pt>
                <c:pt idx="377">
                  <c:v>-11531.733470936031</c:v>
                </c:pt>
                <c:pt idx="378">
                  <c:v>-11554.430958063314</c:v>
                </c:pt>
                <c:pt idx="379">
                  <c:v>-11577.264470356615</c:v>
                </c:pt>
                <c:pt idx="380">
                  <c:v>-11600.233106387961</c:v>
                </c:pt>
                <c:pt idx="381">
                  <c:v>-11623.335959394935</c:v>
                </c:pt>
                <c:pt idx="382">
                  <c:v>-11646.572117316458</c:v>
                </c:pt>
                <c:pt idx="383">
                  <c:v>-11669.940662828802</c:v>
                </c:pt>
                <c:pt idx="384">
                  <c:v>-11693.440673381801</c:v>
                </c:pt>
                <c:pt idx="385">
                  <c:v>-11717.071221235277</c:v>
                </c:pt>
                <c:pt idx="386">
                  <c:v>-11740.831373495666</c:v>
                </c:pt>
                <c:pt idx="387">
                  <c:v>-11764.720192152839</c:v>
                </c:pt>
                <c:pt idx="388">
                  <c:v>-11788.736734117141</c:v>
                </c:pt>
                <c:pt idx="389">
                  <c:v>-11812.880051256614</c:v>
                </c:pt>
                <c:pt idx="390">
                  <c:v>-11837.14919043444</c:v>
                </c:pt>
                <c:pt idx="391">
                  <c:v>-11861.543193546562</c:v>
                </c:pt>
                <c:pt idx="392">
                  <c:v>-11886.061097559501</c:v>
                </c:pt>
                <c:pt idx="393">
                  <c:v>-11910.701934548393</c:v>
                </c:pt>
                <c:pt idx="394">
                  <c:v>-11935.464731735183</c:v>
                </c:pt>
                <c:pt idx="395">
                  <c:v>-11960.348511527038</c:v>
                </c:pt>
                <c:pt idx="396">
                  <c:v>-11985.352291554942</c:v>
                </c:pt>
                <c:pt idx="397">
                  <c:v>-12010.475084712472</c:v>
                </c:pt>
                <c:pt idx="398">
                  <c:v>-12035.715899194771</c:v>
                </c:pt>
                <c:pt idx="399">
                  <c:v>-12061.073738537702</c:v>
                </c:pt>
                <c:pt idx="400">
                  <c:v>-12086.547601657188</c:v>
                </c:pt>
                <c:pt idx="401">
                  <c:v>-12112.136482888731</c:v>
                </c:pt>
                <c:pt idx="402">
                  <c:v>-12137.839372027116</c:v>
                </c:pt>
                <c:pt idx="403">
                  <c:v>-12163.655254366287</c:v>
                </c:pt>
                <c:pt idx="404">
                  <c:v>-12189.583110739417</c:v>
                </c:pt>
                <c:pt idx="405">
                  <c:v>-12215.62191755913</c:v>
                </c:pt>
                <c:pt idx="406">
                  <c:v>-12241.77064685792</c:v>
                </c:pt>
                <c:pt idx="407">
                  <c:v>-12268.028266328727</c:v>
                </c:pt>
                <c:pt idx="408">
                  <c:v>-12294.393739365692</c:v>
                </c:pt>
                <c:pt idx="409">
                  <c:v>-12320.86602510509</c:v>
                </c:pt>
                <c:pt idx="410">
                  <c:v>-12347.444078466404</c:v>
                </c:pt>
                <c:pt idx="411">
                  <c:v>-12374.126850193596</c:v>
                </c:pt>
                <c:pt idx="412">
                  <c:v>-12400.913286896528</c:v>
                </c:pt>
                <c:pt idx="413">
                  <c:v>-12427.802331092542</c:v>
                </c:pt>
                <c:pt idx="414">
                  <c:v>-12454.792921248219</c:v>
                </c:pt>
                <c:pt idx="415">
                  <c:v>-12481.883991821273</c:v>
                </c:pt>
                <c:pt idx="416">
                  <c:v>-12509.074473302622</c:v>
                </c:pt>
                <c:pt idx="417">
                  <c:v>-12536.363292258618</c:v>
                </c:pt>
                <c:pt idx="418">
                  <c:v>-12563.749371373417</c:v>
                </c:pt>
                <c:pt idx="419">
                  <c:v>-12591.231629491502</c:v>
                </c:pt>
                <c:pt idx="420">
                  <c:v>-12618.808981660382</c:v>
                </c:pt>
                <c:pt idx="421">
                  <c:v>-12646.480339173417</c:v>
                </c:pt>
                <c:pt idx="422">
                  <c:v>-12674.244609612788</c:v>
                </c:pt>
                <c:pt idx="423">
                  <c:v>-12702.100696892641</c:v>
                </c:pt>
                <c:pt idx="424">
                  <c:v>-12730.047501302346</c:v>
                </c:pt>
                <c:pt idx="425">
                  <c:v>-12758.083919549919</c:v>
                </c:pt>
                <c:pt idx="426">
                  <c:v>-12786.208844805575</c:v>
                </c:pt>
                <c:pt idx="427">
                  <c:v>-12814.421166745418</c:v>
                </c:pt>
                <c:pt idx="428">
                  <c:v>-12842.719771595288</c:v>
                </c:pt>
                <c:pt idx="429">
                  <c:v>-12871.10354217472</c:v>
                </c:pt>
                <c:pt idx="430">
                  <c:v>-12899.571357941051</c:v>
                </c:pt>
                <c:pt idx="431">
                  <c:v>-12928.122095033663</c:v>
                </c:pt>
                <c:pt idx="432">
                  <c:v>-12956.754626318339</c:v>
                </c:pt>
                <c:pt idx="433">
                  <c:v>-12985.467821431772</c:v>
                </c:pt>
                <c:pt idx="434">
                  <c:v>-13014.260546826183</c:v>
                </c:pt>
                <c:pt idx="435">
                  <c:v>-13043.131665814073</c:v>
                </c:pt>
                <c:pt idx="436">
                  <c:v>-13072.080038613103</c:v>
                </c:pt>
                <c:pt idx="437">
                  <c:v>-13101.104522391081</c:v>
                </c:pt>
                <c:pt idx="438">
                  <c:v>-13130.203971311086</c:v>
                </c:pt>
                <c:pt idx="439">
                  <c:v>-13159.377236576698</c:v>
                </c:pt>
                <c:pt idx="440">
                  <c:v>-13188.62316647736</c:v>
                </c:pt>
                <c:pt idx="441">
                  <c:v>-13217.940606433835</c:v>
                </c:pt>
                <c:pt idx="442">
                  <c:v>-13247.328399043794</c:v>
                </c:pt>
                <c:pt idx="443">
                  <c:v>-13276.785384127505</c:v>
                </c:pt>
                <c:pt idx="444">
                  <c:v>-13306.310398773634</c:v>
                </c:pt>
                <c:pt idx="445">
                  <c:v>-13335.902277385158</c:v>
                </c:pt>
                <c:pt idx="446">
                  <c:v>-13365.559851725378</c:v>
                </c:pt>
                <c:pt idx="447">
                  <c:v>-13395.281950964045</c:v>
                </c:pt>
                <c:pt idx="448">
                  <c:v>-13425.067401723569</c:v>
                </c:pt>
                <c:pt idx="449">
                  <c:v>-13454.915028125355</c:v>
                </c:pt>
                <c:pt idx="450">
                  <c:v>-13484.823651836223</c:v>
                </c:pt>
                <c:pt idx="451">
                  <c:v>-13514.792092114918</c:v>
                </c:pt>
                <c:pt idx="452">
                  <c:v>-13544.819165858735</c:v>
                </c:pt>
                <c:pt idx="453">
                  <c:v>-13574.903687650214</c:v>
                </c:pt>
                <c:pt idx="454">
                  <c:v>-13605.044469803948</c:v>
                </c:pt>
                <c:pt idx="455">
                  <c:v>-13635.240322413469</c:v>
                </c:pt>
                <c:pt idx="456">
                  <c:v>-13665.490053398218</c:v>
                </c:pt>
                <c:pt idx="457">
                  <c:v>-13695.792468550611</c:v>
                </c:pt>
                <c:pt idx="458">
                  <c:v>-13726.146371583185</c:v>
                </c:pt>
                <c:pt idx="459">
                  <c:v>-13756.550564175823</c:v>
                </c:pt>
                <c:pt idx="460">
                  <c:v>-13787.003846023061</c:v>
                </c:pt>
                <c:pt idx="461">
                  <c:v>-13817.505014881473</c:v>
                </c:pt>
                <c:pt idx="462">
                  <c:v>-13848.052866617145</c:v>
                </c:pt>
                <c:pt idx="463">
                  <c:v>-13878.646195253192</c:v>
                </c:pt>
                <c:pt idx="464">
                  <c:v>-13909.283793017386</c:v>
                </c:pt>
                <c:pt idx="465">
                  <c:v>-13939.964450389825</c:v>
                </c:pt>
                <c:pt idx="466">
                  <c:v>-13970.686956150694</c:v>
                </c:pt>
                <c:pt idx="467">
                  <c:v>-14001.450097428065</c:v>
                </c:pt>
                <c:pt idx="468">
                  <c:v>-14032.252659745798</c:v>
                </c:pt>
                <c:pt idx="469">
                  <c:v>-14063.093427071477</c:v>
                </c:pt>
                <c:pt idx="470">
                  <c:v>-14093.971181864414</c:v>
                </c:pt>
                <c:pt idx="471">
                  <c:v>-14124.884705123721</c:v>
                </c:pt>
                <c:pt idx="472">
                  <c:v>-14155.832776436433</c:v>
                </c:pt>
                <c:pt idx="473">
                  <c:v>-14186.814174025683</c:v>
                </c:pt>
                <c:pt idx="474">
                  <c:v>-14217.827674798948</c:v>
                </c:pt>
                <c:pt idx="475">
                  <c:v>-14248.872054396317</c:v>
                </c:pt>
                <c:pt idx="476">
                  <c:v>-14279.946087238843</c:v>
                </c:pt>
                <c:pt idx="477">
                  <c:v>-14311.048546576912</c:v>
                </c:pt>
                <c:pt idx="478">
                  <c:v>-14342.178204538692</c:v>
                </c:pt>
                <c:pt idx="479">
                  <c:v>-14373.333832178583</c:v>
                </c:pt>
                <c:pt idx="480">
                  <c:v>-14404.514199525756</c:v>
                </c:pt>
                <c:pt idx="481">
                  <c:v>-14435.718075632696</c:v>
                </c:pt>
                <c:pt idx="482">
                  <c:v>-14466.944228623806</c:v>
                </c:pt>
                <c:pt idx="483">
                  <c:v>-14498.191425744031</c:v>
                </c:pt>
                <c:pt idx="484">
                  <c:v>-14529.458433407535</c:v>
                </c:pt>
                <c:pt idx="485">
                  <c:v>-14560.74401724639</c:v>
                </c:pt>
                <c:pt idx="486">
                  <c:v>-14592.046942159319</c:v>
                </c:pt>
                <c:pt idx="487">
                  <c:v>-14623.365972360443</c:v>
                </c:pt>
                <c:pt idx="488">
                  <c:v>-14654.699871428078</c:v>
                </c:pt>
                <c:pt idx="489">
                  <c:v>-14686.047402353541</c:v>
                </c:pt>
                <c:pt idx="490">
                  <c:v>-14717.407327589985</c:v>
                </c:pt>
                <c:pt idx="491">
                  <c:v>-14748.77840910126</c:v>
                </c:pt>
                <c:pt idx="492">
                  <c:v>-14780.159408410784</c:v>
                </c:pt>
                <c:pt idx="493">
                  <c:v>-14811.549086650437</c:v>
                </c:pt>
                <c:pt idx="494">
                  <c:v>-14842.946204609467</c:v>
                </c:pt>
                <c:pt idx="495">
                  <c:v>-14874.349522783423</c:v>
                </c:pt>
                <c:pt idx="496">
                  <c:v>-14905.757801423069</c:v>
                </c:pt>
                <c:pt idx="497">
                  <c:v>-14937.169800583346</c:v>
                </c:pt>
                <c:pt idx="498">
                  <c:v>-14968.584280172316</c:v>
                </c:pt>
                <c:pt idx="499">
                  <c:v>-15000.000000000111</c:v>
                </c:pt>
                <c:pt idx="500">
                  <c:v>-15031.415719827906</c:v>
                </c:pt>
                <c:pt idx="501">
                  <c:v>-15062.830199416874</c:v>
                </c:pt>
                <c:pt idx="502">
                  <c:v>-15094.242198577153</c:v>
                </c:pt>
                <c:pt idx="503">
                  <c:v>-15125.650477216799</c:v>
                </c:pt>
                <c:pt idx="504">
                  <c:v>-15157.053795390753</c:v>
                </c:pt>
                <c:pt idx="505">
                  <c:v>-15188.450913349785</c:v>
                </c:pt>
                <c:pt idx="506">
                  <c:v>-15219.840591589436</c:v>
                </c:pt>
                <c:pt idx="507">
                  <c:v>-15251.22159089896</c:v>
                </c:pt>
                <c:pt idx="508">
                  <c:v>-15282.592672410236</c:v>
                </c:pt>
                <c:pt idx="509">
                  <c:v>-15313.952597646679</c:v>
                </c:pt>
                <c:pt idx="510">
                  <c:v>-15345.300128572142</c:v>
                </c:pt>
                <c:pt idx="511">
                  <c:v>-15376.634027639777</c:v>
                </c:pt>
                <c:pt idx="512">
                  <c:v>-15407.953057840901</c:v>
                </c:pt>
                <c:pt idx="513">
                  <c:v>-15439.25598275383</c:v>
                </c:pt>
                <c:pt idx="514">
                  <c:v>-15470.541566592685</c:v>
                </c:pt>
                <c:pt idx="515">
                  <c:v>-15501.808574256189</c:v>
                </c:pt>
                <c:pt idx="516">
                  <c:v>-15533.055771376414</c:v>
                </c:pt>
                <c:pt idx="517">
                  <c:v>-15564.281924367522</c:v>
                </c:pt>
                <c:pt idx="518">
                  <c:v>-15595.485800474464</c:v>
                </c:pt>
                <c:pt idx="519">
                  <c:v>-15626.666167821637</c:v>
                </c:pt>
                <c:pt idx="520">
                  <c:v>-15657.821795461528</c:v>
                </c:pt>
                <c:pt idx="521">
                  <c:v>-15688.951453423306</c:v>
                </c:pt>
                <c:pt idx="522">
                  <c:v>-15720.053912761376</c:v>
                </c:pt>
                <c:pt idx="523">
                  <c:v>-15751.127945603901</c:v>
                </c:pt>
                <c:pt idx="524">
                  <c:v>-15782.172325201271</c:v>
                </c:pt>
                <c:pt idx="525">
                  <c:v>-15813.185825974533</c:v>
                </c:pt>
                <c:pt idx="526">
                  <c:v>-15844.167223563785</c:v>
                </c:pt>
                <c:pt idx="527">
                  <c:v>-15875.115294876496</c:v>
                </c:pt>
                <c:pt idx="528">
                  <c:v>-15906.028818135803</c:v>
                </c:pt>
                <c:pt idx="529">
                  <c:v>-15936.906572928739</c:v>
                </c:pt>
                <c:pt idx="530">
                  <c:v>-15967.747340254418</c:v>
                </c:pt>
                <c:pt idx="531">
                  <c:v>-15998.549902572151</c:v>
                </c:pt>
                <c:pt idx="532">
                  <c:v>-16029.313043849523</c:v>
                </c:pt>
                <c:pt idx="533">
                  <c:v>-16060.035549610389</c:v>
                </c:pt>
                <c:pt idx="534">
                  <c:v>-16090.71620698283</c:v>
                </c:pt>
                <c:pt idx="535">
                  <c:v>-16121.353804747023</c:v>
                </c:pt>
                <c:pt idx="536">
                  <c:v>-16151.94713338307</c:v>
                </c:pt>
                <c:pt idx="537">
                  <c:v>-16182.494985118741</c:v>
                </c:pt>
                <c:pt idx="538">
                  <c:v>-16212.996153977154</c:v>
                </c:pt>
                <c:pt idx="539">
                  <c:v>-16243.44943582439</c:v>
                </c:pt>
                <c:pt idx="540">
                  <c:v>-16273.853628417028</c:v>
                </c:pt>
                <c:pt idx="541">
                  <c:v>-16304.207531449601</c:v>
                </c:pt>
                <c:pt idx="542">
                  <c:v>-16334.509946601995</c:v>
                </c:pt>
                <c:pt idx="543">
                  <c:v>-16364.759677586744</c:v>
                </c:pt>
                <c:pt idx="544">
                  <c:v>-16394.955530196265</c:v>
                </c:pt>
                <c:pt idx="545">
                  <c:v>-16425.096312349997</c:v>
                </c:pt>
                <c:pt idx="546">
                  <c:v>-16455.180834141476</c:v>
                </c:pt>
                <c:pt idx="547">
                  <c:v>-16485.207907885291</c:v>
                </c:pt>
                <c:pt idx="548">
                  <c:v>-16515.176348163986</c:v>
                </c:pt>
                <c:pt idx="549">
                  <c:v>-16545.084971874854</c:v>
                </c:pt>
                <c:pt idx="550">
                  <c:v>-16574.932598276642</c:v>
                </c:pt>
                <c:pt idx="551">
                  <c:v>-16604.718049036164</c:v>
                </c:pt>
                <c:pt idx="552">
                  <c:v>-16634.440148274829</c:v>
                </c:pt>
                <c:pt idx="553">
                  <c:v>-16664.09772261505</c:v>
                </c:pt>
                <c:pt idx="554">
                  <c:v>-16693.689601226575</c:v>
                </c:pt>
                <c:pt idx="555">
                  <c:v>-16723.214615872705</c:v>
                </c:pt>
                <c:pt idx="556">
                  <c:v>-16752.671600956412</c:v>
                </c:pt>
                <c:pt idx="557">
                  <c:v>-16782.059393566371</c:v>
                </c:pt>
                <c:pt idx="558">
                  <c:v>-16811.376833522845</c:v>
                </c:pt>
                <c:pt idx="559">
                  <c:v>-16840.622763423507</c:v>
                </c:pt>
                <c:pt idx="560">
                  <c:v>-16869.796028689121</c:v>
                </c:pt>
                <c:pt idx="561">
                  <c:v>-16898.895477609123</c:v>
                </c:pt>
                <c:pt idx="562">
                  <c:v>-16927.919961387099</c:v>
                </c:pt>
                <c:pt idx="563">
                  <c:v>-16956.868334186129</c:v>
                </c:pt>
                <c:pt idx="564">
                  <c:v>-16985.739453174021</c:v>
                </c:pt>
                <c:pt idx="565">
                  <c:v>-17014.532178568432</c:v>
                </c:pt>
                <c:pt idx="566">
                  <c:v>-17043.245373681861</c:v>
                </c:pt>
                <c:pt idx="567">
                  <c:v>-17071.877904966539</c:v>
                </c:pt>
                <c:pt idx="568">
                  <c:v>-17100.428642059149</c:v>
                </c:pt>
                <c:pt idx="569">
                  <c:v>-17128.896457825482</c:v>
                </c:pt>
                <c:pt idx="570">
                  <c:v>-17157.28022840491</c:v>
                </c:pt>
                <c:pt idx="571">
                  <c:v>-17185.578833254782</c:v>
                </c:pt>
                <c:pt idx="572">
                  <c:v>-17213.791155194624</c:v>
                </c:pt>
                <c:pt idx="573">
                  <c:v>-17241.916080450279</c:v>
                </c:pt>
                <c:pt idx="574">
                  <c:v>-17269.95249869785</c:v>
                </c:pt>
                <c:pt idx="575">
                  <c:v>-17297.899303107555</c:v>
                </c:pt>
                <c:pt idx="576">
                  <c:v>-17325.755390387407</c:v>
                </c:pt>
                <c:pt idx="577">
                  <c:v>-17353.51966082678</c:v>
                </c:pt>
                <c:pt idx="578">
                  <c:v>-17381.19101833981</c:v>
                </c:pt>
                <c:pt idx="579">
                  <c:v>-17408.768370508693</c:v>
                </c:pt>
                <c:pt idx="580">
                  <c:v>-17436.250628626778</c:v>
                </c:pt>
                <c:pt idx="581">
                  <c:v>-17463.636707741571</c:v>
                </c:pt>
                <c:pt idx="582">
                  <c:v>-17490.925526697571</c:v>
                </c:pt>
                <c:pt idx="583">
                  <c:v>-17518.11600817892</c:v>
                </c:pt>
                <c:pt idx="584">
                  <c:v>-17545.20707875197</c:v>
                </c:pt>
                <c:pt idx="585">
                  <c:v>-17572.197668907647</c:v>
                </c:pt>
                <c:pt idx="586">
                  <c:v>-17599.086713103661</c:v>
                </c:pt>
                <c:pt idx="587">
                  <c:v>-17625.873149806594</c:v>
                </c:pt>
                <c:pt idx="588">
                  <c:v>-17652.555921533785</c:v>
                </c:pt>
                <c:pt idx="589">
                  <c:v>-17679.133974895096</c:v>
                </c:pt>
                <c:pt idx="590">
                  <c:v>-17705.606260634493</c:v>
                </c:pt>
                <c:pt idx="591">
                  <c:v>-17731.97173367146</c:v>
                </c:pt>
                <c:pt idx="592">
                  <c:v>-17758.229353142262</c:v>
                </c:pt>
                <c:pt idx="593">
                  <c:v>-17784.378082441053</c:v>
                </c:pt>
                <c:pt idx="594">
                  <c:v>-17810.416889260763</c:v>
                </c:pt>
                <c:pt idx="595">
                  <c:v>-17836.344745633894</c:v>
                </c:pt>
                <c:pt idx="596">
                  <c:v>-17862.160627973066</c:v>
                </c:pt>
                <c:pt idx="597">
                  <c:v>-17887.863517111451</c:v>
                </c:pt>
                <c:pt idx="598">
                  <c:v>-17913.45239834299</c:v>
                </c:pt>
                <c:pt idx="599">
                  <c:v>-17938.926261462475</c:v>
                </c:pt>
                <c:pt idx="600">
                  <c:v>-17964.284100805406</c:v>
                </c:pt>
                <c:pt idx="601">
                  <c:v>-17989.524915287704</c:v>
                </c:pt>
                <c:pt idx="602">
                  <c:v>-18014.647708445234</c:v>
                </c:pt>
                <c:pt idx="603">
                  <c:v>-18039.651488473137</c:v>
                </c:pt>
                <c:pt idx="604">
                  <c:v>-18064.53526826499</c:v>
                </c:pt>
                <c:pt idx="605">
                  <c:v>-18089.298065451781</c:v>
                </c:pt>
                <c:pt idx="606">
                  <c:v>-18113.93890244067</c:v>
                </c:pt>
                <c:pt idx="607">
                  <c:v>-18138.456806453611</c:v>
                </c:pt>
                <c:pt idx="608">
                  <c:v>-18162.850809565731</c:v>
                </c:pt>
                <c:pt idx="609">
                  <c:v>-18187.119948743555</c:v>
                </c:pt>
                <c:pt idx="610">
                  <c:v>-18211.26326588303</c:v>
                </c:pt>
                <c:pt idx="611">
                  <c:v>-18235.279807847328</c:v>
                </c:pt>
                <c:pt idx="612">
                  <c:v>-18259.168626504499</c:v>
                </c:pt>
                <c:pt idx="613">
                  <c:v>-18282.928778764886</c:v>
                </c:pt>
                <c:pt idx="614">
                  <c:v>-18306.559326618364</c:v>
                </c:pt>
                <c:pt idx="615">
                  <c:v>-18330.059337171362</c:v>
                </c:pt>
                <c:pt idx="616">
                  <c:v>-18353.427882683704</c:v>
                </c:pt>
                <c:pt idx="617">
                  <c:v>-18376.664040605225</c:v>
                </c:pt>
                <c:pt idx="618">
                  <c:v>-18399.766893612199</c:v>
                </c:pt>
                <c:pt idx="619">
                  <c:v>-18422.735529643545</c:v>
                </c:pt>
                <c:pt idx="620">
                  <c:v>-18445.569041936847</c:v>
                </c:pt>
                <c:pt idx="621">
                  <c:v>-18468.266529064127</c:v>
                </c:pt>
                <c:pt idx="622">
                  <c:v>-18490.827094967466</c:v>
                </c:pt>
                <c:pt idx="623">
                  <c:v>-18513.249848994346</c:v>
                </c:pt>
                <c:pt idx="624">
                  <c:v>-18535.53390593284</c:v>
                </c:pt>
                <c:pt idx="625">
                  <c:v>-18557.678386046529</c:v>
                </c:pt>
                <c:pt idx="626">
                  <c:v>-18579.682415109255</c:v>
                </c:pt>
                <c:pt idx="627">
                  <c:v>-18601.545124439635</c:v>
                </c:pt>
                <c:pt idx="628">
                  <c:v>-18623.265650935333</c:v>
                </c:pt>
                <c:pt idx="629">
                  <c:v>-18644.843137107157</c:v>
                </c:pt>
                <c:pt idx="630">
                  <c:v>-18666.276731112899</c:v>
                </c:pt>
                <c:pt idx="631">
                  <c:v>-18687.565586790966</c:v>
                </c:pt>
                <c:pt idx="632">
                  <c:v>-18708.708863693795</c:v>
                </c:pt>
                <c:pt idx="633">
                  <c:v>-18729.705727121007</c:v>
                </c:pt>
                <c:pt idx="634">
                  <c:v>-18750.555348152393</c:v>
                </c:pt>
                <c:pt idx="635">
                  <c:v>-18771.256903680616</c:v>
                </c:pt>
                <c:pt idx="636">
                  <c:v>-18791.809576443702</c:v>
                </c:pt>
                <c:pt idx="637">
                  <c:v>-18812.212555057333</c:v>
                </c:pt>
                <c:pt idx="638">
                  <c:v>-18832.46503404684</c:v>
                </c:pt>
                <c:pt idx="639">
                  <c:v>-18852.566213879036</c:v>
                </c:pt>
                <c:pt idx="640">
                  <c:v>-18872.515300993757</c:v>
                </c:pt>
                <c:pt idx="641">
                  <c:v>-18892.311507835202</c:v>
                </c:pt>
                <c:pt idx="642">
                  <c:v>-18911.954052883022</c:v>
                </c:pt>
                <c:pt idx="643">
                  <c:v>-18931.442160683175</c:v>
                </c:pt>
                <c:pt idx="644">
                  <c:v>-18950.775061878532</c:v>
                </c:pt>
                <c:pt idx="645">
                  <c:v>-18969.951993239254</c:v>
                </c:pt>
                <c:pt idx="646">
                  <c:v>-18988.972197692929</c:v>
                </c:pt>
                <c:pt idx="647">
                  <c:v>-19007.834924354458</c:v>
                </c:pt>
                <c:pt idx="648">
                  <c:v>-19026.539428555683</c:v>
                </c:pt>
                <c:pt idx="649">
                  <c:v>-19045.084971874807</c:v>
                </c:pt>
                <c:pt idx="650">
                  <c:v>-19063.470822165538</c:v>
                </c:pt>
                <c:pt idx="651">
                  <c:v>-19081.696253585986</c:v>
                </c:pt>
                <c:pt idx="652">
                  <c:v>-19099.760546627327</c:v>
                </c:pt>
                <c:pt idx="653">
                  <c:v>-19117.662988142201</c:v>
                </c:pt>
                <c:pt idx="654">
                  <c:v>-19135.402871372869</c:v>
                </c:pt>
                <c:pt idx="655">
                  <c:v>-19152.979495979122</c:v>
                </c:pt>
                <c:pt idx="656">
                  <c:v>-19170.392168065915</c:v>
                </c:pt>
                <c:pt idx="657">
                  <c:v>-19187.640200210764</c:v>
                </c:pt>
                <c:pt idx="658">
                  <c:v>-19204.722911490899</c:v>
                </c:pt>
                <c:pt idx="659">
                  <c:v>-19221.639627510129</c:v>
                </c:pt>
                <c:pt idx="660">
                  <c:v>-19238.389680425469</c:v>
                </c:pt>
                <c:pt idx="661">
                  <c:v>-19254.97240897351</c:v>
                </c:pt>
                <c:pt idx="662">
                  <c:v>-19271.387158496524</c:v>
                </c:pt>
                <c:pt idx="663">
                  <c:v>-19287.633280968308</c:v>
                </c:pt>
                <c:pt idx="664">
                  <c:v>-19303.710135019763</c:v>
                </c:pt>
                <c:pt idx="665">
                  <c:v>-19319.617085964222</c:v>
                </c:pt>
                <c:pt idx="666">
                  <c:v>-19335.353505822492</c:v>
                </c:pt>
                <c:pt idx="667">
                  <c:v>-19350.918773347668</c:v>
                </c:pt>
                <c:pt idx="668">
                  <c:v>-19366.31227404964</c:v>
                </c:pt>
                <c:pt idx="669">
                  <c:v>-19381.533400219356</c:v>
                </c:pt>
                <c:pt idx="670">
                  <c:v>-19396.581550952818</c:v>
                </c:pt>
                <c:pt idx="671">
                  <c:v>-19411.456132174804</c:v>
                </c:pt>
                <c:pt idx="672">
                  <c:v>-19426.15655666231</c:v>
                </c:pt>
                <c:pt idx="673">
                  <c:v>-19440.682244067757</c:v>
                </c:pt>
                <c:pt idx="674">
                  <c:v>-19455.032620941871</c:v>
                </c:pt>
                <c:pt idx="675">
                  <c:v>-19469.207120756349</c:v>
                </c:pt>
                <c:pt idx="676">
                  <c:v>-19483.205183926209</c:v>
                </c:pt>
                <c:pt idx="677">
                  <c:v>-19497.026257831883</c:v>
                </c:pt>
                <c:pt idx="678">
                  <c:v>-19510.669796841041</c:v>
                </c:pt>
                <c:pt idx="679">
                  <c:v>-19524.135262330125</c:v>
                </c:pt>
                <c:pt idx="680">
                  <c:v>-19537.422122705611</c:v>
                </c:pt>
                <c:pt idx="681">
                  <c:v>-19550.529853425003</c:v>
                </c:pt>
                <c:pt idx="682">
                  <c:v>-19563.457937017534</c:v>
                </c:pt>
                <c:pt idx="683">
                  <c:v>-19576.205863104609</c:v>
                </c:pt>
                <c:pt idx="684">
                  <c:v>-19588.773128419925</c:v>
                </c:pt>
                <c:pt idx="685">
                  <c:v>-19601.159236829371</c:v>
                </c:pt>
                <c:pt idx="686">
                  <c:v>-19613.363699350593</c:v>
                </c:pt>
                <c:pt idx="687">
                  <c:v>-19625.386034172308</c:v>
                </c:pt>
                <c:pt idx="688">
                  <c:v>-19637.22576667332</c:v>
                </c:pt>
                <c:pt idx="689">
                  <c:v>-19648.882429441273</c:v>
                </c:pt>
                <c:pt idx="690">
                  <c:v>-19660.355562291068</c:v>
                </c:pt>
                <c:pt idx="691">
                  <c:v>-19671.644712283072</c:v>
                </c:pt>
                <c:pt idx="692">
                  <c:v>-19682.749433740973</c:v>
                </c:pt>
                <c:pt idx="693">
                  <c:v>-19693.669288269382</c:v>
                </c:pt>
                <c:pt idx="694">
                  <c:v>-19704.403844771139</c:v>
                </c:pt>
                <c:pt idx="695">
                  <c:v>-19714.952679464332</c:v>
                </c:pt>
                <c:pt idx="696">
                  <c:v>-19725.315375899034</c:v>
                </c:pt>
                <c:pt idx="697">
                  <c:v>-19735.491524973731</c:v>
                </c:pt>
                <c:pt idx="698">
                  <c:v>-19745.480724951482</c:v>
                </c:pt>
                <c:pt idx="699">
                  <c:v>-19755.282581475774</c:v>
                </c:pt>
                <c:pt idx="700">
                  <c:v>-19764.8967075861</c:v>
                </c:pt>
                <c:pt idx="701">
                  <c:v>-19774.322723733218</c:v>
                </c:pt>
                <c:pt idx="702">
                  <c:v>-19783.560257794157</c:v>
                </c:pt>
                <c:pt idx="703">
                  <c:v>-19792.608945086882</c:v>
                </c:pt>
                <c:pt idx="704">
                  <c:v>-19801.468428384716</c:v>
                </c:pt>
                <c:pt idx="705">
                  <c:v>-19810.138357930431</c:v>
                </c:pt>
                <c:pt idx="706">
                  <c:v>-19818.618391450051</c:v>
                </c:pt>
                <c:pt idx="707">
                  <c:v>-19826.908194166372</c:v>
                </c:pt>
                <c:pt idx="708">
                  <c:v>-19835.007438812176</c:v>
                </c:pt>
                <c:pt idx="709">
                  <c:v>-19842.915805643155</c:v>
                </c:pt>
                <c:pt idx="710">
                  <c:v>-19850.63298245053</c:v>
                </c:pt>
                <c:pt idx="711">
                  <c:v>-19858.15866457337</c:v>
                </c:pt>
                <c:pt idx="712">
                  <c:v>-19865.492554910634</c:v>
                </c:pt>
                <c:pt idx="713">
                  <c:v>-19872.634363932884</c:v>
                </c:pt>
                <c:pt idx="714">
                  <c:v>-19879.583809693737</c:v>
                </c:pt>
                <c:pt idx="715">
                  <c:v>-19886.340617840964</c:v>
                </c:pt>
                <c:pt idx="716">
                  <c:v>-19892.904521627359</c:v>
                </c:pt>
                <c:pt idx="717">
                  <c:v>-19899.275261921233</c:v>
                </c:pt>
                <c:pt idx="718">
                  <c:v>-19905.452587216667</c:v>
                </c:pt>
                <c:pt idx="719">
                  <c:v>-19911.436253643442</c:v>
                </c:pt>
                <c:pt idx="720">
                  <c:v>-19917.226024976644</c:v>
                </c:pt>
                <c:pt idx="721">
                  <c:v>-19922.821672646023</c:v>
                </c:pt>
                <c:pt idx="722">
                  <c:v>-19928.222975744986</c:v>
                </c:pt>
                <c:pt idx="723">
                  <c:v>-19933.429721039334</c:v>
                </c:pt>
                <c:pt idx="724">
                  <c:v>-19938.441702975684</c:v>
                </c:pt>
                <c:pt idx="725">
                  <c:v>-19943.258723689567</c:v>
                </c:pt>
                <c:pt idx="726">
                  <c:v>-19947.880593013251</c:v>
                </c:pt>
                <c:pt idx="727">
                  <c:v>-19952.307128483251</c:v>
                </c:pt>
                <c:pt idx="728">
                  <c:v>-19956.538155347527</c:v>
                </c:pt>
                <c:pt idx="729">
                  <c:v>-19960.573506572386</c:v>
                </c:pt>
                <c:pt idx="730">
                  <c:v>-19964.413022849061</c:v>
                </c:pt>
                <c:pt idx="731">
                  <c:v>-19968.056552600036</c:v>
                </c:pt>
                <c:pt idx="732">
                  <c:v>-19971.503951984989</c:v>
                </c:pt>
                <c:pt idx="733">
                  <c:v>-19974.755084906497</c:v>
                </c:pt>
                <c:pt idx="734">
                  <c:v>-19977.809823015396</c:v>
                </c:pt>
                <c:pt idx="735">
                  <c:v>-19980.668045715858</c:v>
                </c:pt>
                <c:pt idx="736">
                  <c:v>-19983.329640170145</c:v>
                </c:pt>
                <c:pt idx="737">
                  <c:v>-19985.794501303066</c:v>
                </c:pt>
                <c:pt idx="738">
                  <c:v>-19988.062531806121</c:v>
                </c:pt>
                <c:pt idx="739">
                  <c:v>-19990.133642141354</c:v>
                </c:pt>
                <c:pt idx="740">
                  <c:v>-19992.007750544872</c:v>
                </c:pt>
                <c:pt idx="741">
                  <c:v>-19993.684783030083</c:v>
                </c:pt>
                <c:pt idx="742">
                  <c:v>-19995.16467339062</c:v>
                </c:pt>
                <c:pt idx="743">
                  <c:v>-19996.447363202944</c:v>
                </c:pt>
                <c:pt idx="744">
                  <c:v>-19997.532801828656</c:v>
                </c:pt>
                <c:pt idx="745">
                  <c:v>-19998.420946416496</c:v>
                </c:pt>
                <c:pt idx="746">
                  <c:v>-19999.111761904045</c:v>
                </c:pt>
                <c:pt idx="747">
                  <c:v>-19999.605221019079</c:v>
                </c:pt>
                <c:pt idx="748">
                  <c:v>-19999.901304280684</c:v>
                </c:pt>
                <c:pt idx="749">
                  <c:v>-20000</c:v>
                </c:pt>
                <c:pt idx="750">
                  <c:v>-19999.901304280687</c:v>
                </c:pt>
                <c:pt idx="751">
                  <c:v>-19999.605221019083</c:v>
                </c:pt>
                <c:pt idx="752">
                  <c:v>-19999.111761904045</c:v>
                </c:pt>
                <c:pt idx="753">
                  <c:v>-19998.420946416503</c:v>
                </c:pt>
                <c:pt idx="754">
                  <c:v>-19997.53280182866</c:v>
                </c:pt>
                <c:pt idx="755">
                  <c:v>-19996.447363202948</c:v>
                </c:pt>
                <c:pt idx="756">
                  <c:v>-19995.164673390627</c:v>
                </c:pt>
                <c:pt idx="757">
                  <c:v>-19993.68478303009</c:v>
                </c:pt>
                <c:pt idx="758">
                  <c:v>-19992.007750544879</c:v>
                </c:pt>
                <c:pt idx="759">
                  <c:v>-19990.133642141365</c:v>
                </c:pt>
                <c:pt idx="760">
                  <c:v>-19988.062531806132</c:v>
                </c:pt>
                <c:pt idx="761">
                  <c:v>-19985.794501303077</c:v>
                </c:pt>
                <c:pt idx="762">
                  <c:v>-19983.329640170159</c:v>
                </c:pt>
                <c:pt idx="763">
                  <c:v>-19980.668045715873</c:v>
                </c:pt>
                <c:pt idx="764">
                  <c:v>-19977.80982301541</c:v>
                </c:pt>
                <c:pt idx="765">
                  <c:v>-19974.755084906512</c:v>
                </c:pt>
                <c:pt idx="766">
                  <c:v>-19971.503951985007</c:v>
                </c:pt>
                <c:pt idx="767">
                  <c:v>-19968.056552600054</c:v>
                </c:pt>
                <c:pt idx="768">
                  <c:v>-19964.413022849083</c:v>
                </c:pt>
                <c:pt idx="769">
                  <c:v>-19960.573506572404</c:v>
                </c:pt>
                <c:pt idx="770">
                  <c:v>-19956.538155347549</c:v>
                </c:pt>
                <c:pt idx="771">
                  <c:v>-19952.307128483273</c:v>
                </c:pt>
                <c:pt idx="772">
                  <c:v>-19947.880593013273</c:v>
                </c:pt>
                <c:pt idx="773">
                  <c:v>-19943.258723689589</c:v>
                </c:pt>
                <c:pt idx="774">
                  <c:v>-19938.44170297571</c:v>
                </c:pt>
                <c:pt idx="775">
                  <c:v>-19933.429721039363</c:v>
                </c:pt>
                <c:pt idx="776">
                  <c:v>-19928.222975745011</c:v>
                </c:pt>
                <c:pt idx="777">
                  <c:v>-19922.821672646049</c:v>
                </c:pt>
                <c:pt idx="778">
                  <c:v>-19917.226024976673</c:v>
                </c:pt>
                <c:pt idx="779">
                  <c:v>-19911.436253643467</c:v>
                </c:pt>
                <c:pt idx="780">
                  <c:v>-19905.452587216696</c:v>
                </c:pt>
                <c:pt idx="781">
                  <c:v>-19899.275261921262</c:v>
                </c:pt>
                <c:pt idx="782">
                  <c:v>-19892.904521627388</c:v>
                </c:pt>
                <c:pt idx="783">
                  <c:v>-19886.340617840997</c:v>
                </c:pt>
                <c:pt idx="784">
                  <c:v>-19879.58380969377</c:v>
                </c:pt>
                <c:pt idx="785">
                  <c:v>-19872.634363932921</c:v>
                </c:pt>
                <c:pt idx="786">
                  <c:v>-19865.492554910667</c:v>
                </c:pt>
                <c:pt idx="787">
                  <c:v>-19858.158664573406</c:v>
                </c:pt>
                <c:pt idx="788">
                  <c:v>-19850.632982450566</c:v>
                </c:pt>
                <c:pt idx="789">
                  <c:v>-19842.915805643195</c:v>
                </c:pt>
                <c:pt idx="790">
                  <c:v>-19835.007438812216</c:v>
                </c:pt>
                <c:pt idx="791">
                  <c:v>-19826.908194166412</c:v>
                </c:pt>
                <c:pt idx="792">
                  <c:v>-19818.618391450091</c:v>
                </c:pt>
                <c:pt idx="793">
                  <c:v>-19810.138357930475</c:v>
                </c:pt>
                <c:pt idx="794">
                  <c:v>-19801.46842838476</c:v>
                </c:pt>
                <c:pt idx="795">
                  <c:v>-19792.608945086926</c:v>
                </c:pt>
                <c:pt idx="796">
                  <c:v>-19783.560257794201</c:v>
                </c:pt>
                <c:pt idx="797">
                  <c:v>-19774.322723733265</c:v>
                </c:pt>
                <c:pt idx="798">
                  <c:v>-19764.896707586147</c:v>
                </c:pt>
                <c:pt idx="799">
                  <c:v>-19755.282581475822</c:v>
                </c:pt>
                <c:pt idx="800">
                  <c:v>-19745.480724951529</c:v>
                </c:pt>
                <c:pt idx="801">
                  <c:v>-19735.491524973779</c:v>
                </c:pt>
                <c:pt idx="802">
                  <c:v>-19725.315375899081</c:v>
                </c:pt>
                <c:pt idx="803">
                  <c:v>-19714.952679464383</c:v>
                </c:pt>
                <c:pt idx="804">
                  <c:v>-19704.40384477119</c:v>
                </c:pt>
                <c:pt idx="805">
                  <c:v>-19693.669288269433</c:v>
                </c:pt>
                <c:pt idx="806">
                  <c:v>-19682.749433741028</c:v>
                </c:pt>
                <c:pt idx="807">
                  <c:v>-19671.644712283127</c:v>
                </c:pt>
                <c:pt idx="808">
                  <c:v>-19660.355562291123</c:v>
                </c:pt>
                <c:pt idx="809">
                  <c:v>-19648.882429441328</c:v>
                </c:pt>
                <c:pt idx="810">
                  <c:v>-19637.225766673379</c:v>
                </c:pt>
                <c:pt idx="811">
                  <c:v>-19625.386034172363</c:v>
                </c:pt>
                <c:pt idx="812">
                  <c:v>-19613.363699350652</c:v>
                </c:pt>
                <c:pt idx="813">
                  <c:v>-19601.15923682943</c:v>
                </c:pt>
                <c:pt idx="814">
                  <c:v>-19588.773128419987</c:v>
                </c:pt>
                <c:pt idx="815">
                  <c:v>-19576.205863104671</c:v>
                </c:pt>
                <c:pt idx="816">
                  <c:v>-19563.4579370176</c:v>
                </c:pt>
                <c:pt idx="817">
                  <c:v>-19550.529853425065</c:v>
                </c:pt>
                <c:pt idx="818">
                  <c:v>-19537.422122705673</c:v>
                </c:pt>
                <c:pt idx="819">
                  <c:v>-19524.135262330186</c:v>
                </c:pt>
                <c:pt idx="820">
                  <c:v>-19510.669796841106</c:v>
                </c:pt>
                <c:pt idx="821">
                  <c:v>-19497.026257831953</c:v>
                </c:pt>
                <c:pt idx="822">
                  <c:v>-19483.205183926279</c:v>
                </c:pt>
                <c:pt idx="823">
                  <c:v>-19469.207120756419</c:v>
                </c:pt>
                <c:pt idx="824">
                  <c:v>-19455.03262094194</c:v>
                </c:pt>
                <c:pt idx="825">
                  <c:v>-19440.682244067826</c:v>
                </c:pt>
                <c:pt idx="826">
                  <c:v>-19426.156556662383</c:v>
                </c:pt>
                <c:pt idx="827">
                  <c:v>-19411.456132174873</c:v>
                </c:pt>
                <c:pt idx="828">
                  <c:v>-19396.581550952891</c:v>
                </c:pt>
                <c:pt idx="829">
                  <c:v>-19381.533400219429</c:v>
                </c:pt>
                <c:pt idx="830">
                  <c:v>-19366.312274049713</c:v>
                </c:pt>
                <c:pt idx="831">
                  <c:v>-19350.918773347745</c:v>
                </c:pt>
                <c:pt idx="832">
                  <c:v>-19335.353505822568</c:v>
                </c:pt>
                <c:pt idx="833">
                  <c:v>-19319.617085964299</c:v>
                </c:pt>
                <c:pt idx="834">
                  <c:v>-19303.710135019843</c:v>
                </c:pt>
                <c:pt idx="835">
                  <c:v>-19287.633280968388</c:v>
                </c:pt>
                <c:pt idx="836">
                  <c:v>-19271.387158496604</c:v>
                </c:pt>
                <c:pt idx="837">
                  <c:v>-19254.97240897359</c:v>
                </c:pt>
                <c:pt idx="838">
                  <c:v>-19238.389680425549</c:v>
                </c:pt>
                <c:pt idx="839">
                  <c:v>-19221.639627510209</c:v>
                </c:pt>
                <c:pt idx="840">
                  <c:v>-19204.722911490982</c:v>
                </c:pt>
                <c:pt idx="841">
                  <c:v>-19187.640200210848</c:v>
                </c:pt>
                <c:pt idx="842">
                  <c:v>-19170.392168065999</c:v>
                </c:pt>
                <c:pt idx="843">
                  <c:v>-19152.979495979209</c:v>
                </c:pt>
                <c:pt idx="844">
                  <c:v>-19135.402871372957</c:v>
                </c:pt>
                <c:pt idx="845">
                  <c:v>-19117.662988142285</c:v>
                </c:pt>
                <c:pt idx="846">
                  <c:v>-19099.760546627414</c:v>
                </c:pt>
                <c:pt idx="847">
                  <c:v>-19081.696253586073</c:v>
                </c:pt>
                <c:pt idx="848">
                  <c:v>-19063.470822165626</c:v>
                </c:pt>
                <c:pt idx="849">
                  <c:v>-19045.084971874898</c:v>
                </c:pt>
                <c:pt idx="850">
                  <c:v>-19026.53942855577</c:v>
                </c:pt>
                <c:pt idx="851">
                  <c:v>-19007.834924354549</c:v>
                </c:pt>
                <c:pt idx="852">
                  <c:v>-18988.972197693023</c:v>
                </c:pt>
                <c:pt idx="853">
                  <c:v>-18969.951993239345</c:v>
                </c:pt>
                <c:pt idx="854">
                  <c:v>-18950.775061878623</c:v>
                </c:pt>
                <c:pt idx="855">
                  <c:v>-18931.442160683269</c:v>
                </c:pt>
                <c:pt idx="856">
                  <c:v>-18911.95405288312</c:v>
                </c:pt>
                <c:pt idx="857">
                  <c:v>-18892.311507835297</c:v>
                </c:pt>
                <c:pt idx="858">
                  <c:v>-18872.515300993851</c:v>
                </c:pt>
                <c:pt idx="859">
                  <c:v>-18852.56621387913</c:v>
                </c:pt>
                <c:pt idx="860">
                  <c:v>-18832.465034046938</c:v>
                </c:pt>
                <c:pt idx="861">
                  <c:v>-18812.212555057431</c:v>
                </c:pt>
                <c:pt idx="862">
                  <c:v>-18791.809576443804</c:v>
                </c:pt>
                <c:pt idx="863">
                  <c:v>-18771.256903680714</c:v>
                </c:pt>
                <c:pt idx="864">
                  <c:v>-18750.555348152498</c:v>
                </c:pt>
                <c:pt idx="865">
                  <c:v>-18729.705727121112</c:v>
                </c:pt>
                <c:pt idx="866">
                  <c:v>-18708.708863693901</c:v>
                </c:pt>
                <c:pt idx="867">
                  <c:v>-18687.565586791075</c:v>
                </c:pt>
                <c:pt idx="868">
                  <c:v>-18666.276731113008</c:v>
                </c:pt>
                <c:pt idx="869">
                  <c:v>-18644.843137107269</c:v>
                </c:pt>
                <c:pt idx="870">
                  <c:v>-18623.265650935449</c:v>
                </c:pt>
                <c:pt idx="871">
                  <c:v>-18601.545124439752</c:v>
                </c:pt>
                <c:pt idx="872">
                  <c:v>-18579.682415109375</c:v>
                </c:pt>
                <c:pt idx="873">
                  <c:v>-18557.678386046653</c:v>
                </c:pt>
                <c:pt idx="874">
                  <c:v>-18535.533905932964</c:v>
                </c:pt>
                <c:pt idx="875">
                  <c:v>-18513.249848994477</c:v>
                </c:pt>
                <c:pt idx="876">
                  <c:v>-18490.827094967597</c:v>
                </c:pt>
                <c:pt idx="877">
                  <c:v>-18468.266529064262</c:v>
                </c:pt>
                <c:pt idx="878">
                  <c:v>-18445.569041936982</c:v>
                </c:pt>
                <c:pt idx="879">
                  <c:v>-18422.735529643684</c:v>
                </c:pt>
                <c:pt idx="880">
                  <c:v>-18399.766893612341</c:v>
                </c:pt>
                <c:pt idx="881">
                  <c:v>-18376.66404060537</c:v>
                </c:pt>
                <c:pt idx="882">
                  <c:v>-18353.427882683849</c:v>
                </c:pt>
                <c:pt idx="883">
                  <c:v>-18330.059337171511</c:v>
                </c:pt>
                <c:pt idx="884">
                  <c:v>-18306.559326618513</c:v>
                </c:pt>
                <c:pt idx="885">
                  <c:v>-18282.928778765039</c:v>
                </c:pt>
                <c:pt idx="886">
                  <c:v>-18259.168626504656</c:v>
                </c:pt>
                <c:pt idx="887">
                  <c:v>-18235.279807847484</c:v>
                </c:pt>
                <c:pt idx="888">
                  <c:v>-18211.26326588319</c:v>
                </c:pt>
                <c:pt idx="889">
                  <c:v>-18187.119948743719</c:v>
                </c:pt>
                <c:pt idx="890">
                  <c:v>-18162.850809565894</c:v>
                </c:pt>
                <c:pt idx="891">
                  <c:v>-18138.456806453778</c:v>
                </c:pt>
                <c:pt idx="892">
                  <c:v>-18113.938902440841</c:v>
                </c:pt>
                <c:pt idx="893">
                  <c:v>-18089.298065451952</c:v>
                </c:pt>
                <c:pt idx="894">
                  <c:v>-18064.535268265165</c:v>
                </c:pt>
                <c:pt idx="895">
                  <c:v>-18039.651488473315</c:v>
                </c:pt>
                <c:pt idx="896">
                  <c:v>-18014.647708445413</c:v>
                </c:pt>
                <c:pt idx="897">
                  <c:v>-17989.52491528789</c:v>
                </c:pt>
                <c:pt idx="898">
                  <c:v>-17964.284100805591</c:v>
                </c:pt>
                <c:pt idx="899">
                  <c:v>-17938.926261462664</c:v>
                </c:pt>
                <c:pt idx="900">
                  <c:v>-17913.452398343183</c:v>
                </c:pt>
                <c:pt idx="901">
                  <c:v>-17887.863517111644</c:v>
                </c:pt>
                <c:pt idx="902">
                  <c:v>-17862.160627973262</c:v>
                </c:pt>
                <c:pt idx="903">
                  <c:v>-17836.344745634095</c:v>
                </c:pt>
                <c:pt idx="904">
                  <c:v>-17810.416889260967</c:v>
                </c:pt>
                <c:pt idx="905">
                  <c:v>-17784.378082441257</c:v>
                </c:pt>
                <c:pt idx="906">
                  <c:v>-17758.229353142473</c:v>
                </c:pt>
                <c:pt idx="907">
                  <c:v>-17731.971733671668</c:v>
                </c:pt>
                <c:pt idx="908">
                  <c:v>-17705.606260634704</c:v>
                </c:pt>
                <c:pt idx="909">
                  <c:v>-17679.133974895311</c:v>
                </c:pt>
                <c:pt idx="910">
                  <c:v>-17652.555921534004</c:v>
                </c:pt>
                <c:pt idx="911">
                  <c:v>-17625.873149806812</c:v>
                </c:pt>
                <c:pt idx="912">
                  <c:v>-17599.086713103883</c:v>
                </c:pt>
                <c:pt idx="913">
                  <c:v>-17572.197668907873</c:v>
                </c:pt>
                <c:pt idx="914">
                  <c:v>-17545.207078752199</c:v>
                </c:pt>
                <c:pt idx="915">
                  <c:v>-17518.11600817915</c:v>
                </c:pt>
                <c:pt idx="916">
                  <c:v>-17490.925526697803</c:v>
                </c:pt>
                <c:pt idx="917">
                  <c:v>-17463.636707741811</c:v>
                </c:pt>
                <c:pt idx="918">
                  <c:v>-17436.250628627018</c:v>
                </c:pt>
                <c:pt idx="919">
                  <c:v>-17408.768370508937</c:v>
                </c:pt>
                <c:pt idx="920">
                  <c:v>-17381.191018340058</c:v>
                </c:pt>
                <c:pt idx="921">
                  <c:v>-17353.519660827027</c:v>
                </c:pt>
                <c:pt idx="922">
                  <c:v>-17325.755390387658</c:v>
                </c:pt>
                <c:pt idx="923">
                  <c:v>-17297.89930310781</c:v>
                </c:pt>
                <c:pt idx="924">
                  <c:v>-17269.952498698105</c:v>
                </c:pt>
                <c:pt idx="925">
                  <c:v>-17241.916080450537</c:v>
                </c:pt>
                <c:pt idx="926">
                  <c:v>-17213.791155194886</c:v>
                </c:pt>
                <c:pt idx="927">
                  <c:v>-17185.578833255047</c:v>
                </c:pt>
                <c:pt idx="928">
                  <c:v>-17157.28022840518</c:v>
                </c:pt>
                <c:pt idx="929">
                  <c:v>-17128.896457825751</c:v>
                </c:pt>
                <c:pt idx="930">
                  <c:v>-17100.428642059422</c:v>
                </c:pt>
                <c:pt idx="931">
                  <c:v>-17071.877904966816</c:v>
                </c:pt>
                <c:pt idx="932">
                  <c:v>-17043.245373682141</c:v>
                </c:pt>
                <c:pt idx="933">
                  <c:v>-17014.532178568712</c:v>
                </c:pt>
                <c:pt idx="934">
                  <c:v>-16985.739453174305</c:v>
                </c:pt>
                <c:pt idx="935">
                  <c:v>-16956.868334186416</c:v>
                </c:pt>
                <c:pt idx="936">
                  <c:v>-16927.91996138739</c:v>
                </c:pt>
                <c:pt idx="937">
                  <c:v>-16898.895477609418</c:v>
                </c:pt>
                <c:pt idx="938">
                  <c:v>-16869.796028689416</c:v>
                </c:pt>
                <c:pt idx="939">
                  <c:v>-16840.622763423806</c:v>
                </c:pt>
                <c:pt idx="940">
                  <c:v>-16811.376833523147</c:v>
                </c:pt>
                <c:pt idx="941">
                  <c:v>-16782.059393566677</c:v>
                </c:pt>
                <c:pt idx="942">
                  <c:v>-16752.671600956721</c:v>
                </c:pt>
                <c:pt idx="943">
                  <c:v>-16723.214615873014</c:v>
                </c:pt>
                <c:pt idx="944">
                  <c:v>-16693.689601226888</c:v>
                </c:pt>
                <c:pt idx="945">
                  <c:v>-16664.097722615366</c:v>
                </c:pt>
                <c:pt idx="946">
                  <c:v>-16634.440148275149</c:v>
                </c:pt>
                <c:pt idx="947">
                  <c:v>-16604.718049036488</c:v>
                </c:pt>
                <c:pt idx="948">
                  <c:v>-16574.932598276966</c:v>
                </c:pt>
                <c:pt idx="949">
                  <c:v>-16545.084971875182</c:v>
                </c:pt>
                <c:pt idx="950">
                  <c:v>-16515.176348164317</c:v>
                </c:pt>
                <c:pt idx="951">
                  <c:v>-16485.207907885626</c:v>
                </c:pt>
                <c:pt idx="952">
                  <c:v>-16455.180834141811</c:v>
                </c:pt>
                <c:pt idx="953">
                  <c:v>-16425.096312350335</c:v>
                </c:pt>
                <c:pt idx="954">
                  <c:v>-16394.955530196603</c:v>
                </c:pt>
                <c:pt idx="955">
                  <c:v>-16364.759677587088</c:v>
                </c:pt>
                <c:pt idx="956">
                  <c:v>-16334.509946602342</c:v>
                </c:pt>
                <c:pt idx="957">
                  <c:v>-16304.207531449951</c:v>
                </c:pt>
                <c:pt idx="958">
                  <c:v>-16273.853628417381</c:v>
                </c:pt>
                <c:pt idx="959">
                  <c:v>-16243.449435824747</c:v>
                </c:pt>
                <c:pt idx="960">
                  <c:v>-16212.996153977512</c:v>
                </c:pt>
                <c:pt idx="961">
                  <c:v>-16182.494985119101</c:v>
                </c:pt>
                <c:pt idx="962">
                  <c:v>-16151.947133383434</c:v>
                </c:pt>
                <c:pt idx="963">
                  <c:v>-16121.353804747388</c:v>
                </c:pt>
                <c:pt idx="964">
                  <c:v>-16090.716206983197</c:v>
                </c:pt>
                <c:pt idx="965">
                  <c:v>-16060.03554961076</c:v>
                </c:pt>
                <c:pt idx="966">
                  <c:v>-16029.313043849896</c:v>
                </c:pt>
                <c:pt idx="967">
                  <c:v>-15998.549902572528</c:v>
                </c:pt>
                <c:pt idx="968">
                  <c:v>-15967.747340254797</c:v>
                </c:pt>
                <c:pt idx="969">
                  <c:v>-15936.906572929121</c:v>
                </c:pt>
                <c:pt idx="970">
                  <c:v>-15906.028818136187</c:v>
                </c:pt>
                <c:pt idx="971">
                  <c:v>-15875.115294876883</c:v>
                </c:pt>
                <c:pt idx="972">
                  <c:v>-15844.167223564174</c:v>
                </c:pt>
                <c:pt idx="973">
                  <c:v>-15813.185825974926</c:v>
                </c:pt>
                <c:pt idx="974">
                  <c:v>-15782.172325201664</c:v>
                </c:pt>
                <c:pt idx="975">
                  <c:v>-15751.127945604298</c:v>
                </c:pt>
                <c:pt idx="976">
                  <c:v>-15720.053912761776</c:v>
                </c:pt>
                <c:pt idx="977">
                  <c:v>-15688.951453423708</c:v>
                </c:pt>
                <c:pt idx="978">
                  <c:v>-15657.821795461932</c:v>
                </c:pt>
                <c:pt idx="979">
                  <c:v>-15626.666167822043</c:v>
                </c:pt>
                <c:pt idx="980">
                  <c:v>-15595.485800474873</c:v>
                </c:pt>
                <c:pt idx="981">
                  <c:v>-15564.281924367935</c:v>
                </c:pt>
                <c:pt idx="982">
                  <c:v>-15533.055771376828</c:v>
                </c:pt>
                <c:pt idx="983">
                  <c:v>-15501.808574256605</c:v>
                </c:pt>
                <c:pt idx="984">
                  <c:v>-15470.541566593105</c:v>
                </c:pt>
                <c:pt idx="985">
                  <c:v>-15439.255982754252</c:v>
                </c:pt>
                <c:pt idx="986">
                  <c:v>-15407.953057841325</c:v>
                </c:pt>
                <c:pt idx="987">
                  <c:v>-15376.634027640204</c:v>
                </c:pt>
                <c:pt idx="988">
                  <c:v>-15345.300128572571</c:v>
                </c:pt>
                <c:pt idx="989">
                  <c:v>-15313.952597647112</c:v>
                </c:pt>
                <c:pt idx="990">
                  <c:v>-15282.592672410668</c:v>
                </c:pt>
                <c:pt idx="991">
                  <c:v>-15251.221590899397</c:v>
                </c:pt>
                <c:pt idx="992">
                  <c:v>-15219.840591589875</c:v>
                </c:pt>
                <c:pt idx="993">
                  <c:v>-15188.450913350225</c:v>
                </c:pt>
                <c:pt idx="994">
                  <c:v>-15157.053795391197</c:v>
                </c:pt>
                <c:pt idx="995">
                  <c:v>-15125.650477217245</c:v>
                </c:pt>
                <c:pt idx="996">
                  <c:v>-15094.2421985776</c:v>
                </c:pt>
                <c:pt idx="997">
                  <c:v>-15062.830199417323</c:v>
                </c:pt>
                <c:pt idx="998">
                  <c:v>-15031.415719828357</c:v>
                </c:pt>
                <c:pt idx="999">
                  <c:v>-15000.000000000566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3F-4584-B119-E3CC2E63D94B}"/>
            </c:ext>
          </c:extLst>
        </c:ser>
        <c:ser>
          <c:idx val="4"/>
          <c:order val="4"/>
          <c:tx>
            <c:v>trainné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73F-4584-B119-E3CC2E63D94B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045F-4BA8-BFC6-22DFB9BB0556}"/>
              </c:ext>
            </c:extLst>
          </c:dPt>
          <c:xVal>
            <c:numRef>
              <c:f>Feuil2!$F$5:$F$29</c:f>
              <c:numCache>
                <c:formatCode>General</c:formatCode>
                <c:ptCount val="25"/>
                <c:pt idx="0">
                  <c:v>119196.18622106648</c:v>
                </c:pt>
                <c:pt idx="1">
                  <c:v>118928.61229271538</c:v>
                </c:pt>
                <c:pt idx="2">
                  <c:v>118660.26219979122</c:v>
                </c:pt>
                <c:pt idx="3">
                  <c:v>118391.13606746432</c:v>
                </c:pt>
                <c:pt idx="4">
                  <c:v>118121.23401409683</c:v>
                </c:pt>
                <c:pt idx="5">
                  <c:v>117850.55615124495</c:v>
                </c:pt>
                <c:pt idx="6">
                  <c:v>117579.10258366098</c:v>
                </c:pt>
                <c:pt idx="7">
                  <c:v>117306.87340929511</c:v>
                </c:pt>
                <c:pt idx="8">
                  <c:v>117033.86871929694</c:v>
                </c:pt>
                <c:pt idx="9">
                  <c:v>116760.08859801682</c:v>
                </c:pt>
                <c:pt idx="10">
                  <c:v>116485.5331230069</c:v>
                </c:pt>
                <c:pt idx="11">
                  <c:v>116210.20236502185</c:v>
                </c:pt>
                <c:pt idx="12">
                  <c:v>115934.09638801955</c:v>
                </c:pt>
                <c:pt idx="13">
                  <c:v>115657.2152491614</c:v>
                </c:pt>
                <c:pt idx="14">
                  <c:v>115379.55899881237</c:v>
                </c:pt>
                <c:pt idx="15">
                  <c:v>115101.12768054094</c:v>
                </c:pt>
                <c:pt idx="16">
                  <c:v>114821.92133111872</c:v>
                </c:pt>
                <c:pt idx="17">
                  <c:v>114541.93998051983</c:v>
                </c:pt>
                <c:pt idx="18">
                  <c:v>114261.18365192012</c:v>
                </c:pt>
                <c:pt idx="19">
                  <c:v>113979.65236169606</c:v>
                </c:pt>
                <c:pt idx="20">
                  <c:v>113697.34611942359</c:v>
                </c:pt>
                <c:pt idx="21">
                  <c:v>113414.26492787649</c:v>
                </c:pt>
                <c:pt idx="22">
                  <c:v>113130.40878302477</c:v>
                </c:pt>
                <c:pt idx="23">
                  <c:v>112845.77767403271</c:v>
                </c:pt>
                <c:pt idx="24">
                  <c:v>112560.37158325665</c:v>
                </c:pt>
              </c:numCache>
            </c:numRef>
          </c:xVal>
          <c:yVal>
            <c:numRef>
              <c:f>Feuil2!$G$5:$G$29</c:f>
              <c:numCache>
                <c:formatCode>General</c:formatCode>
                <c:ptCount val="25"/>
                <c:pt idx="0">
                  <c:v>-340141.96600876958</c:v>
                </c:pt>
                <c:pt idx="1">
                  <c:v>-339965.50497647049</c:v>
                </c:pt>
                <c:pt idx="2">
                  <c:v>-339786.77456628188</c:v>
                </c:pt>
                <c:pt idx="3">
                  <c:v>-339605.77108870749</c:v>
                </c:pt>
                <c:pt idx="4">
                  <c:v>-339422.49081679317</c:v>
                </c:pt>
                <c:pt idx="5">
                  <c:v>-339236.92998584924</c:v>
                </c:pt>
                <c:pt idx="6">
                  <c:v>-339049.08479316946</c:v>
                </c:pt>
                <c:pt idx="7">
                  <c:v>-338858.9513977457</c:v>
                </c:pt>
                <c:pt idx="8">
                  <c:v>-338666.52591997839</c:v>
                </c:pt>
                <c:pt idx="9">
                  <c:v>-338471.80444138334</c:v>
                </c:pt>
                <c:pt idx="10">
                  <c:v>-338274.78300429409</c:v>
                </c:pt>
                <c:pt idx="11">
                  <c:v>-338075.45761156006</c:v>
                </c:pt>
                <c:pt idx="12">
                  <c:v>-337873.82422624051</c:v>
                </c:pt>
                <c:pt idx="13">
                  <c:v>-337669.87877129408</c:v>
                </c:pt>
                <c:pt idx="14">
                  <c:v>-337463.61712926411</c:v>
                </c:pt>
                <c:pt idx="15">
                  <c:v>-337255.03514195926</c:v>
                </c:pt>
                <c:pt idx="16">
                  <c:v>-337044.12861012982</c:v>
                </c:pt>
                <c:pt idx="17">
                  <c:v>-336830.89329313906</c:v>
                </c:pt>
                <c:pt idx="18">
                  <c:v>-336615.32490863046</c:v>
                </c:pt>
                <c:pt idx="19">
                  <c:v>-336397.41913218965</c:v>
                </c:pt>
                <c:pt idx="20">
                  <c:v>-336177.17159700196</c:v>
                </c:pt>
                <c:pt idx="21">
                  <c:v>-335954.57789350481</c:v>
                </c:pt>
                <c:pt idx="22">
                  <c:v>-335729.63356903539</c:v>
                </c:pt>
                <c:pt idx="23">
                  <c:v>-335502.33412747306</c:v>
                </c:pt>
                <c:pt idx="24">
                  <c:v>-335272.67502887669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3F-4584-B119-E3CC2E63D94B}"/>
            </c:ext>
          </c:extLst>
        </c:ser>
        <c:ser>
          <c:idx val="5"/>
          <c:order val="6"/>
          <c:tx>
            <c:v>etoile</c:v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C0C-4005-A02B-BCD0AB79D578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C0C-4005-A02B-BCD0AB79D578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C0C-4005-A02B-BCD0AB79D578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C0C-4005-A02B-BCD0AB79D578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C0C-4005-A02B-BCD0AB79D578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0-045F-4BA8-BFC6-22DFB9BB0556}"/>
              </c:ext>
            </c:extLst>
          </c:dPt>
          <c:xVal>
            <c:numRef>
              <c:f>Feuil2!$Z$12:$Z$17</c:f>
              <c:numCache>
                <c:formatCode>General</c:formatCode>
                <c:ptCount val="6"/>
                <c:pt idx="0">
                  <c:v>118462.98385286344</c:v>
                </c:pt>
                <c:pt idx="1">
                  <c:v>120462.98385286344</c:v>
                </c:pt>
                <c:pt idx="2">
                  <c:v>118712.98385286344</c:v>
                </c:pt>
                <c:pt idx="3">
                  <c:v>119462.98385286344</c:v>
                </c:pt>
                <c:pt idx="4">
                  <c:v>120212.98385286344</c:v>
                </c:pt>
                <c:pt idx="5">
                  <c:v>118462.98385286344</c:v>
                </c:pt>
              </c:numCache>
            </c:numRef>
          </c:xVal>
          <c:yVal>
            <c:numRef>
              <c:f>Feuil2!$AA$12:$AA$17</c:f>
              <c:numCache>
                <c:formatCode>General</c:formatCode>
                <c:ptCount val="6"/>
                <c:pt idx="0">
                  <c:v>-340316.16131549096</c:v>
                </c:pt>
                <c:pt idx="1">
                  <c:v>-340316.16131549096</c:v>
                </c:pt>
                <c:pt idx="2">
                  <c:v>-342066.16131549096</c:v>
                </c:pt>
                <c:pt idx="3">
                  <c:v>-339066.16131549096</c:v>
                </c:pt>
                <c:pt idx="4">
                  <c:v>-342066.16131549096</c:v>
                </c:pt>
                <c:pt idx="5">
                  <c:v>-340316.16131549096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045F-4BA8-BFC6-22DFB9BB0556}"/>
            </c:ext>
          </c:extLst>
        </c:ser>
        <c:ser>
          <c:idx val="7"/>
          <c:order val="7"/>
          <c:tx>
            <c:v>ETOILE2</c:v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Feuil2!$Z$22:$Z$27</c:f>
              <c:numCache>
                <c:formatCode>General</c:formatCode>
                <c:ptCount val="6"/>
                <c:pt idx="0">
                  <c:v>112212.98385286344</c:v>
                </c:pt>
                <c:pt idx="1">
                  <c:v>114212.98385286344</c:v>
                </c:pt>
                <c:pt idx="2">
                  <c:v>112462.98385286344</c:v>
                </c:pt>
                <c:pt idx="3">
                  <c:v>113212.98385286344</c:v>
                </c:pt>
                <c:pt idx="4">
                  <c:v>113962.98385286344</c:v>
                </c:pt>
                <c:pt idx="5">
                  <c:v>112212.98385286344</c:v>
                </c:pt>
              </c:numCache>
            </c:numRef>
          </c:xVal>
          <c:yVal>
            <c:numRef>
              <c:f>Feuil2!$AA$22:$AA$27</c:f>
              <c:numCache>
                <c:formatCode>General</c:formatCode>
                <c:ptCount val="6"/>
                <c:pt idx="0">
                  <c:v>-346566.16131549096</c:v>
                </c:pt>
                <c:pt idx="1">
                  <c:v>-346566.16131549096</c:v>
                </c:pt>
                <c:pt idx="2">
                  <c:v>-348316.16131549096</c:v>
                </c:pt>
                <c:pt idx="3">
                  <c:v>-345316.16131549096</c:v>
                </c:pt>
                <c:pt idx="4">
                  <c:v>-348316.16131549096</c:v>
                </c:pt>
                <c:pt idx="5">
                  <c:v>-346566.16131549096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8C0C-4005-A02B-BCD0AB79D578}"/>
            </c:ext>
          </c:extLst>
        </c:ser>
        <c:ser>
          <c:idx val="8"/>
          <c:order val="8"/>
          <c:tx>
            <c:v>ETOILE3</c:v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Feuil2!$Z$33:$Z$38</c:f>
              <c:numCache>
                <c:formatCode>General</c:formatCode>
                <c:ptCount val="6"/>
                <c:pt idx="0">
                  <c:v>115962.98385286344</c:v>
                </c:pt>
                <c:pt idx="1">
                  <c:v>117962.98385286344</c:v>
                </c:pt>
                <c:pt idx="2">
                  <c:v>116212.98385286344</c:v>
                </c:pt>
                <c:pt idx="3">
                  <c:v>116962.98385286344</c:v>
                </c:pt>
                <c:pt idx="4">
                  <c:v>117712.98385286344</c:v>
                </c:pt>
                <c:pt idx="5">
                  <c:v>115962.98385286344</c:v>
                </c:pt>
              </c:numCache>
            </c:numRef>
          </c:xVal>
          <c:yVal>
            <c:numRef>
              <c:f>Feuil2!$AA$33:$AA$38</c:f>
              <c:numCache>
                <c:formatCode>General</c:formatCode>
                <c:ptCount val="6"/>
                <c:pt idx="0">
                  <c:v>-342816.16131549096</c:v>
                </c:pt>
                <c:pt idx="1">
                  <c:v>-342816.16131549096</c:v>
                </c:pt>
                <c:pt idx="2">
                  <c:v>-344566.16131549096</c:v>
                </c:pt>
                <c:pt idx="3">
                  <c:v>-341566.16131549096</c:v>
                </c:pt>
                <c:pt idx="4">
                  <c:v>-344566.16131549096</c:v>
                </c:pt>
                <c:pt idx="5">
                  <c:v>-342816.16131549096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8C0C-4005-A02B-BCD0AB79D578}"/>
            </c:ext>
          </c:extLst>
        </c:ser>
        <c:ser>
          <c:idx val="9"/>
          <c:order val="9"/>
          <c:tx>
            <c:v>TR2</c:v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Feuil2!$F$36:$F$60</c:f>
              <c:numCache>
                <c:formatCode>General</c:formatCode>
                <c:ptCount val="25"/>
                <c:pt idx="0">
                  <c:v>112946.18622106648</c:v>
                </c:pt>
                <c:pt idx="1">
                  <c:v>112678.61229271538</c:v>
                </c:pt>
                <c:pt idx="2">
                  <c:v>112410.26219979122</c:v>
                </c:pt>
                <c:pt idx="3">
                  <c:v>112141.13606746432</c:v>
                </c:pt>
                <c:pt idx="4">
                  <c:v>111871.23401409683</c:v>
                </c:pt>
                <c:pt idx="5">
                  <c:v>111600.55615124495</c:v>
                </c:pt>
                <c:pt idx="6">
                  <c:v>111329.10258366098</c:v>
                </c:pt>
                <c:pt idx="7">
                  <c:v>111056.87340929511</c:v>
                </c:pt>
                <c:pt idx="8">
                  <c:v>110783.86871929694</c:v>
                </c:pt>
                <c:pt idx="9">
                  <c:v>110510.08859801682</c:v>
                </c:pt>
                <c:pt idx="10">
                  <c:v>110235.5331230069</c:v>
                </c:pt>
                <c:pt idx="11">
                  <c:v>109960.20236502185</c:v>
                </c:pt>
                <c:pt idx="12">
                  <c:v>109684.09638801955</c:v>
                </c:pt>
                <c:pt idx="13">
                  <c:v>109407.2152491614</c:v>
                </c:pt>
                <c:pt idx="14">
                  <c:v>109129.55899881237</c:v>
                </c:pt>
                <c:pt idx="15">
                  <c:v>108851.12768054094</c:v>
                </c:pt>
                <c:pt idx="16">
                  <c:v>108571.92133111872</c:v>
                </c:pt>
                <c:pt idx="17">
                  <c:v>108291.93998051983</c:v>
                </c:pt>
                <c:pt idx="18">
                  <c:v>108011.18365192012</c:v>
                </c:pt>
                <c:pt idx="19">
                  <c:v>107729.65236169606</c:v>
                </c:pt>
                <c:pt idx="20">
                  <c:v>107447.34611942359</c:v>
                </c:pt>
                <c:pt idx="21">
                  <c:v>107164.26492787649</c:v>
                </c:pt>
                <c:pt idx="22">
                  <c:v>106880.40878302477</c:v>
                </c:pt>
                <c:pt idx="23">
                  <c:v>106595.77767403271</c:v>
                </c:pt>
                <c:pt idx="24">
                  <c:v>106310.37158325665</c:v>
                </c:pt>
              </c:numCache>
            </c:numRef>
          </c:xVal>
          <c:yVal>
            <c:numRef>
              <c:f>Feuil2!$G$36:$G$60</c:f>
              <c:numCache>
                <c:formatCode>General</c:formatCode>
                <c:ptCount val="25"/>
                <c:pt idx="0">
                  <c:v>-346391.96600876958</c:v>
                </c:pt>
                <c:pt idx="1">
                  <c:v>-346215.50497647049</c:v>
                </c:pt>
                <c:pt idx="2">
                  <c:v>-346036.77456628188</c:v>
                </c:pt>
                <c:pt idx="3">
                  <c:v>-345855.77108870749</c:v>
                </c:pt>
                <c:pt idx="4">
                  <c:v>-345672.49081679317</c:v>
                </c:pt>
                <c:pt idx="5">
                  <c:v>-345486.92998584924</c:v>
                </c:pt>
                <c:pt idx="6">
                  <c:v>-345299.08479316946</c:v>
                </c:pt>
                <c:pt idx="7">
                  <c:v>-345108.9513977457</c:v>
                </c:pt>
                <c:pt idx="8">
                  <c:v>-344916.52591997839</c:v>
                </c:pt>
                <c:pt idx="9">
                  <c:v>-344721.80444138334</c:v>
                </c:pt>
                <c:pt idx="10">
                  <c:v>-344524.78300429409</c:v>
                </c:pt>
                <c:pt idx="11">
                  <c:v>-344325.45761156006</c:v>
                </c:pt>
                <c:pt idx="12">
                  <c:v>-344123.82422624051</c:v>
                </c:pt>
                <c:pt idx="13">
                  <c:v>-343919.87877129408</c:v>
                </c:pt>
                <c:pt idx="14">
                  <c:v>-343713.61712926411</c:v>
                </c:pt>
                <c:pt idx="15">
                  <c:v>-343505.03514195926</c:v>
                </c:pt>
                <c:pt idx="16">
                  <c:v>-343294.12861012982</c:v>
                </c:pt>
                <c:pt idx="17">
                  <c:v>-343080.89329313906</c:v>
                </c:pt>
                <c:pt idx="18">
                  <c:v>-342865.32490863046</c:v>
                </c:pt>
                <c:pt idx="19">
                  <c:v>-342647.41913218965</c:v>
                </c:pt>
                <c:pt idx="20">
                  <c:v>-342427.17159700196</c:v>
                </c:pt>
                <c:pt idx="21">
                  <c:v>-342204.57789350481</c:v>
                </c:pt>
                <c:pt idx="22">
                  <c:v>-341979.63356903539</c:v>
                </c:pt>
                <c:pt idx="23">
                  <c:v>-341752.33412747306</c:v>
                </c:pt>
                <c:pt idx="24">
                  <c:v>-341522.67502887669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C0C-4005-A02B-BCD0AB79D578}"/>
            </c:ext>
          </c:extLst>
        </c:ser>
        <c:ser>
          <c:idx val="10"/>
          <c:order val="10"/>
          <c:tx>
            <c:v>TR3</c:v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Feuil2!$L$37:$L$61</c:f>
              <c:numCache>
                <c:formatCode>General</c:formatCode>
                <c:ptCount val="25"/>
                <c:pt idx="0">
                  <c:v>116696.18622106648</c:v>
                </c:pt>
                <c:pt idx="1">
                  <c:v>116428.61229271538</c:v>
                </c:pt>
                <c:pt idx="2">
                  <c:v>116160.26219979122</c:v>
                </c:pt>
                <c:pt idx="3">
                  <c:v>115891.13606746432</c:v>
                </c:pt>
                <c:pt idx="4">
                  <c:v>115621.23401409683</c:v>
                </c:pt>
                <c:pt idx="5">
                  <c:v>115350.55615124495</c:v>
                </c:pt>
                <c:pt idx="6">
                  <c:v>115079.10258366098</c:v>
                </c:pt>
                <c:pt idx="7">
                  <c:v>114806.87340929511</c:v>
                </c:pt>
                <c:pt idx="8">
                  <c:v>114533.86871929694</c:v>
                </c:pt>
                <c:pt idx="9">
                  <c:v>114260.08859801682</c:v>
                </c:pt>
                <c:pt idx="10">
                  <c:v>113985.5331230069</c:v>
                </c:pt>
                <c:pt idx="11">
                  <c:v>113710.20236502185</c:v>
                </c:pt>
                <c:pt idx="12">
                  <c:v>113434.09638801955</c:v>
                </c:pt>
                <c:pt idx="13">
                  <c:v>113157.2152491614</c:v>
                </c:pt>
                <c:pt idx="14">
                  <c:v>112879.55899881237</c:v>
                </c:pt>
                <c:pt idx="15">
                  <c:v>112601.12768054094</c:v>
                </c:pt>
                <c:pt idx="16">
                  <c:v>112321.92133111872</c:v>
                </c:pt>
                <c:pt idx="17">
                  <c:v>112041.93998051983</c:v>
                </c:pt>
                <c:pt idx="18">
                  <c:v>111761.18365192012</c:v>
                </c:pt>
                <c:pt idx="19">
                  <c:v>111479.65236169606</c:v>
                </c:pt>
                <c:pt idx="20">
                  <c:v>111197.34611942359</c:v>
                </c:pt>
                <c:pt idx="21">
                  <c:v>110914.26492787649</c:v>
                </c:pt>
                <c:pt idx="22">
                  <c:v>110630.40878302477</c:v>
                </c:pt>
                <c:pt idx="23">
                  <c:v>110345.77767403271</c:v>
                </c:pt>
                <c:pt idx="24">
                  <c:v>110060.37158325665</c:v>
                </c:pt>
              </c:numCache>
            </c:numRef>
          </c:xVal>
          <c:yVal>
            <c:numRef>
              <c:f>Feuil2!$M$37:$M$61</c:f>
              <c:numCache>
                <c:formatCode>General</c:formatCode>
                <c:ptCount val="25"/>
                <c:pt idx="0">
                  <c:v>-342641.96600876958</c:v>
                </c:pt>
                <c:pt idx="1">
                  <c:v>-342465.50497647049</c:v>
                </c:pt>
                <c:pt idx="2">
                  <c:v>-342286.77456628188</c:v>
                </c:pt>
                <c:pt idx="3">
                  <c:v>-342105.77108870749</c:v>
                </c:pt>
                <c:pt idx="4">
                  <c:v>-341922.49081679317</c:v>
                </c:pt>
                <c:pt idx="5">
                  <c:v>-341736.92998584924</c:v>
                </c:pt>
                <c:pt idx="6">
                  <c:v>-341549.08479316946</c:v>
                </c:pt>
                <c:pt idx="7">
                  <c:v>-341358.9513977457</c:v>
                </c:pt>
                <c:pt idx="8">
                  <c:v>-341166.52591997839</c:v>
                </c:pt>
                <c:pt idx="9">
                  <c:v>-340971.80444138334</c:v>
                </c:pt>
                <c:pt idx="10">
                  <c:v>-340774.78300429409</c:v>
                </c:pt>
                <c:pt idx="11">
                  <c:v>-340575.45761156006</c:v>
                </c:pt>
                <c:pt idx="12">
                  <c:v>-340373.82422624051</c:v>
                </c:pt>
                <c:pt idx="13">
                  <c:v>-340169.87877129408</c:v>
                </c:pt>
                <c:pt idx="14">
                  <c:v>-339963.61712926411</c:v>
                </c:pt>
                <c:pt idx="15">
                  <c:v>-339755.03514195926</c:v>
                </c:pt>
                <c:pt idx="16">
                  <c:v>-339544.12861012982</c:v>
                </c:pt>
                <c:pt idx="17">
                  <c:v>-339330.89329313906</c:v>
                </c:pt>
                <c:pt idx="18">
                  <c:v>-339115.32490863046</c:v>
                </c:pt>
                <c:pt idx="19">
                  <c:v>-338897.41913218965</c:v>
                </c:pt>
                <c:pt idx="20">
                  <c:v>-338677.17159700196</c:v>
                </c:pt>
                <c:pt idx="21">
                  <c:v>-338454.57789350481</c:v>
                </c:pt>
                <c:pt idx="22">
                  <c:v>-338229.63356903539</c:v>
                </c:pt>
                <c:pt idx="23">
                  <c:v>-338002.33412747306</c:v>
                </c:pt>
                <c:pt idx="24">
                  <c:v>-337772.67502887669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8C0C-4005-A02B-BCD0AB79D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651408"/>
        <c:axId val="98701502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vaisseau</c:v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Feuil1!$AZ$7:$AZ$1007</c15:sqref>
                        </c15:formulaRef>
                      </c:ext>
                    </c:extLst>
                    <c:numCache>
                      <c:formatCode>0.0000E+00</c:formatCode>
                      <c:ptCount val="1001"/>
                      <c:pt idx="0" formatCode="General">
                        <c:v>0</c:v>
                      </c:pt>
                      <c:pt idx="1">
                        <c:v>14.896066662928284</c:v>
                      </c:pt>
                      <c:pt idx="2">
                        <c:v>58.763346006098608</c:v>
                      </c:pt>
                      <c:pt idx="3" formatCode="General">
                        <c:v>128.2240586578348</c:v>
                      </c:pt>
                      <c:pt idx="4" formatCode="General">
                        <c:v>216.13974170265206</c:v>
                      </c:pt>
                      <c:pt idx="5" formatCode="General">
                        <c:v>310.82750076894791</c:v>
                      </c:pt>
                      <c:pt idx="6" formatCode="General">
                        <c:v>394.85512702817806</c:v>
                      </c:pt>
                      <c:pt idx="7" formatCode="General">
                        <c:v>443.40662540911143</c:v>
                      </c:pt>
                      <c:pt idx="8" formatCode="General">
                        <c:v>422.2580799762992</c:v>
                      </c:pt>
                      <c:pt idx="9" formatCode="General">
                        <c:v>285.58924200038052</c:v>
                      </c:pt>
                      <c:pt idx="10" formatCode="General">
                        <c:v>-25.477447829588542</c:v>
                      </c:pt>
                      <c:pt idx="11" formatCode="General">
                        <c:v>-580.59478059598393</c:v>
                      </c:pt>
                      <c:pt idx="12" formatCode="General">
                        <c:v>-1446.1464434888014</c:v>
                      </c:pt>
                      <c:pt idx="13" formatCode="General">
                        <c:v>-2648.2099956923234</c:v>
                      </c:pt>
                      <c:pt idx="14" formatCode="General">
                        <c:v>-4125.8644659824431</c:v>
                      </c:pt>
                      <c:pt idx="15" formatCode="General">
                        <c:v>-5735.1009192843476</c:v>
                      </c:pt>
                      <c:pt idx="16" formatCode="General">
                        <c:v>-7317.9869908901283</c:v>
                      </c:pt>
                      <c:pt idx="17" formatCode="General">
                        <c:v>-8758.1165401914823</c:v>
                      </c:pt>
                      <c:pt idx="18" formatCode="General">
                        <c:v>-9982.2828998172135</c:v>
                      </c:pt>
                      <c:pt idx="19" formatCode="General">
                        <c:v>-10941.137467635344</c:v>
                      </c:pt>
                      <c:pt idx="20" formatCode="General">
                        <c:v>-11593.405098906624</c:v>
                      </c:pt>
                      <c:pt idx="21" formatCode="General">
                        <c:v>-11896.399138700093</c:v>
                      </c:pt>
                      <c:pt idx="22" formatCode="General">
                        <c:v>-11800.869060891881</c:v>
                      </c:pt>
                      <c:pt idx="23" formatCode="General">
                        <c:v>-11250.644764132247</c:v>
                      </c:pt>
                      <c:pt idx="24" formatCode="General">
                        <c:v>-10192.927132982944</c:v>
                      </c:pt>
                      <c:pt idx="25" formatCode="General">
                        <c:v>-8610.6561923647569</c:v>
                      </c:pt>
                      <c:pt idx="26" formatCode="General">
                        <c:v>-6573.0130698725106</c:v>
                      </c:pt>
                      <c:pt idx="27" formatCode="General">
                        <c:v>-4245.5807942716738</c:v>
                      </c:pt>
                      <c:pt idx="28" formatCode="General">
                        <c:v>-1814.6060313898649</c:v>
                      </c:pt>
                      <c:pt idx="29" formatCode="General">
                        <c:v>597.78138509711937</c:v>
                      </c:pt>
                      <c:pt idx="30" formatCode="General">
                        <c:v>2948.2328775483902</c:v>
                      </c:pt>
                      <c:pt idx="31" formatCode="General">
                        <c:v>5245.4913349528479</c:v>
                      </c:pt>
                      <c:pt idx="32" formatCode="General">
                        <c:v>7525.9718963109817</c:v>
                      </c:pt>
                      <c:pt idx="33" formatCode="General">
                        <c:v>9840.1718597083327</c:v>
                      </c:pt>
                      <c:pt idx="34" formatCode="General">
                        <c:v>12244.943311125386</c:v>
                      </c:pt>
                      <c:pt idx="35" formatCode="General">
                        <c:v>14794.875574956401</c:v>
                      </c:pt>
                      <c:pt idx="36" formatCode="General">
                        <c:v>17522.598329195564</c:v>
                      </c:pt>
                      <c:pt idx="37" formatCode="General">
                        <c:v>20391.642185488956</c:v>
                      </c:pt>
                      <c:pt idx="38" formatCode="General">
                        <c:v>23230.194083354585</c:v>
                      </c:pt>
                      <c:pt idx="39" formatCode="General">
                        <c:v>25761.36134486708</c:v>
                      </c:pt>
                      <c:pt idx="40" formatCode="General">
                        <c:v>27780.405187877077</c:v>
                      </c:pt>
                      <c:pt idx="41" formatCode="General">
                        <c:v>29248.402756937106</c:v>
                      </c:pt>
                      <c:pt idx="42" formatCode="General">
                        <c:v>30215.81270433875</c:v>
                      </c:pt>
                      <c:pt idx="43" formatCode="General">
                        <c:v>30745.101259605617</c:v>
                      </c:pt>
                      <c:pt idx="44" formatCode="General">
                        <c:v>30886.790392534094</c:v>
                      </c:pt>
                      <c:pt idx="45" formatCode="General">
                        <c:v>30677.461320887389</c:v>
                      </c:pt>
                      <c:pt idx="46" formatCode="General">
                        <c:v>30142.303506834975</c:v>
                      </c:pt>
                      <c:pt idx="47" formatCode="General">
                        <c:v>29297.777533785298</c:v>
                      </c:pt>
                      <c:pt idx="48" formatCode="General">
                        <c:v>28153.785104550865</c:v>
                      </c:pt>
                      <c:pt idx="49" formatCode="General">
                        <c:v>26715.716663000017</c:v>
                      </c:pt>
                      <c:pt idx="50" formatCode="General">
                        <c:v>24987.318013590739</c:v>
                      </c:pt>
                      <c:pt idx="51" formatCode="General">
                        <c:v>22976.472539850369</c:v>
                      </c:pt>
                      <c:pt idx="52" formatCode="General">
                        <c:v>20708.650299308556</c:v>
                      </c:pt>
                      <c:pt idx="53" formatCode="General">
                        <c:v>18256.048790721747</c:v>
                      </c:pt>
                      <c:pt idx="54" formatCode="General">
                        <c:v>15777.152184099688</c:v>
                      </c:pt>
                      <c:pt idx="55" formatCode="General">
                        <c:v>13493.520434419981</c:v>
                      </c:pt>
                      <c:pt idx="56" formatCode="General">
                        <c:v>11547.047691312633</c:v>
                      </c:pt>
                      <c:pt idx="57" formatCode="General">
                        <c:v>9910.9609676595592</c:v>
                      </c:pt>
                      <c:pt idx="58" formatCode="General">
                        <c:v>8462.8099801477911</c:v>
                      </c:pt>
                      <c:pt idx="59" formatCode="General">
                        <c:v>7068.3084532837529</c:v>
                      </c:pt>
                      <c:pt idx="60" formatCode="General">
                        <c:v>5601.6989169080825</c:v>
                      </c:pt>
                      <c:pt idx="61" formatCode="General">
                        <c:v>3940.3522252461503</c:v>
                      </c:pt>
                      <c:pt idx="62" formatCode="General">
                        <c:v>1962.7825789155049</c:v>
                      </c:pt>
                      <c:pt idx="63" formatCode="General">
                        <c:v>-425.67914039397073</c:v>
                      </c:pt>
                      <c:pt idx="64" formatCode="General">
                        <c:v>-3217.9260129039176</c:v>
                      </c:pt>
                      <c:pt idx="65" formatCode="General">
                        <c:v>-6247.2286321005122</c:v>
                      </c:pt>
                      <c:pt idx="66" formatCode="General">
                        <c:v>-9274.1001941297163</c:v>
                      </c:pt>
                      <c:pt idx="67" formatCode="General">
                        <c:v>-12128.453483572199</c:v>
                      </c:pt>
                      <c:pt idx="68" formatCode="General">
                        <c:v>-14737.842895389453</c:v>
                      </c:pt>
                      <c:pt idx="69" formatCode="General">
                        <c:v>-17083.8301350978</c:v>
                      </c:pt>
                      <c:pt idx="70" formatCode="General">
                        <c:v>-19168.468262468439</c:v>
                      </c:pt>
                      <c:pt idx="71" formatCode="General">
                        <c:v>-20999.620327114204</c:v>
                      </c:pt>
                      <c:pt idx="72" formatCode="General">
                        <c:v>-22585.524596539028</c:v>
                      </c:pt>
                      <c:pt idx="73" formatCode="General">
                        <c:v>-23932.944997394818</c:v>
                      </c:pt>
                      <c:pt idx="74" formatCode="General">
                        <c:v>-25046.625394282768</c:v>
                      </c:pt>
                      <c:pt idx="75" formatCode="General">
                        <c:v>-25929.19509765644</c:v>
                      </c:pt>
                      <c:pt idx="76" formatCode="General">
                        <c:v>-26581.209700666644</c:v>
                      </c:pt>
                      <c:pt idx="77" formatCode="General">
                        <c:v>-27001.212118284413</c:v>
                      </c:pt>
                      <c:pt idx="78" formatCode="General">
                        <c:v>-27185.77685578552</c:v>
                      </c:pt>
                      <c:pt idx="79" formatCode="General">
                        <c:v>-27129.535015349193</c:v>
                      </c:pt>
                      <c:pt idx="80" formatCode="General">
                        <c:v>-26825.199751947639</c:v>
                      </c:pt>
                      <c:pt idx="81" formatCode="General">
                        <c:v>-26263.637906131622</c:v>
                      </c:pt>
                      <c:pt idx="82" formatCode="General">
                        <c:v>-25434.077422908209</c:v>
                      </c:pt>
                      <c:pt idx="83" formatCode="General">
                        <c:v>-24324.621588823975</c:v>
                      </c:pt>
                      <c:pt idx="84" formatCode="General">
                        <c:v>-22923.391257416231</c:v>
                      </c:pt>
                      <c:pt idx="85" formatCode="General">
                        <c:v>-21220.874935733467</c:v>
                      </c:pt>
                      <c:pt idx="86" formatCode="General">
                        <c:v>-19214.425290645442</c:v>
                      </c:pt>
                      <c:pt idx="87" formatCode="General">
                        <c:v>-16915.943114739261</c:v>
                      </c:pt>
                      <c:pt idx="88" formatCode="General">
                        <c:v>-14361.983954495359</c:v>
                      </c:pt>
                      <c:pt idx="89" formatCode="General">
                        <c:v>-11618.596008085142</c:v>
                      </c:pt>
                      <c:pt idx="90" formatCode="General">
                        <c:v>-8766.2728338619654</c:v>
                      </c:pt>
                      <c:pt idx="91" formatCode="General">
                        <c:v>-5866.9099992255115</c:v>
                      </c:pt>
                      <c:pt idx="92" formatCode="General">
                        <c:v>-2942.0499743314431</c:v>
                      </c:pt>
                      <c:pt idx="93" formatCode="General">
                        <c:v>23.217842275216505</c:v>
                      </c:pt>
                      <c:pt idx="94" formatCode="General">
                        <c:v>3067.3982624692644</c:v>
                      </c:pt>
                      <c:pt idx="95" formatCode="General">
                        <c:v>6244.5152794712922</c:v>
                      </c:pt>
                      <c:pt idx="96" formatCode="General">
                        <c:v>9619.9472014950497</c:v>
                      </c:pt>
                      <c:pt idx="97" formatCode="General">
                        <c:v>13261.688861180904</c:v>
                      </c:pt>
                      <c:pt idx="98" formatCode="General">
                        <c:v>17207.795860301412</c:v>
                      </c:pt>
                      <c:pt idx="99" formatCode="General">
                        <c:v>21382.897160049939</c:v>
                      </c:pt>
                      <c:pt idx="100" formatCode="General">
                        <c:v>25527.780776295236</c:v>
                      </c:pt>
                      <c:pt idx="101" formatCode="General">
                        <c:v>29332.539046253863</c:v>
                      </c:pt>
                      <c:pt idx="102" formatCode="General">
                        <c:v>32647.263301223611</c:v>
                      </c:pt>
                      <c:pt idx="103" formatCode="General">
                        <c:v>35481.327162436552</c:v>
                      </c:pt>
                      <c:pt idx="104" formatCode="General">
                        <c:v>37895.804187629277</c:v>
                      </c:pt>
                      <c:pt idx="105" formatCode="General">
                        <c:v>39951.16129128763</c:v>
                      </c:pt>
                      <c:pt idx="106" formatCode="General">
                        <c:v>41696.165858058484</c:v>
                      </c:pt>
                      <c:pt idx="107" formatCode="General">
                        <c:v>43168.476126795089</c:v>
                      </c:pt>
                      <c:pt idx="108" formatCode="General">
                        <c:v>44397.134301028476</c:v>
                      </c:pt>
                      <c:pt idx="109" formatCode="General">
                        <c:v>45404.779111356998</c:v>
                      </c:pt>
                      <c:pt idx="110" formatCode="General">
                        <c:v>46209.290956353638</c:v>
                      </c:pt>
                      <c:pt idx="111" formatCode="General">
                        <c:v>46824.965117994805</c:v>
                      </c:pt>
                      <c:pt idx="112" formatCode="General">
                        <c:v>47263.34521703756</c:v>
                      </c:pt>
                      <c:pt idx="113" formatCode="General">
                        <c:v>47533.82069221235</c:v>
                      </c:pt>
                      <c:pt idx="114" formatCode="General">
                        <c:v>47644.060809450049</c:v>
                      </c:pt>
                      <c:pt idx="115" formatCode="General">
                        <c:v>47600.334290622995</c:v>
                      </c:pt>
                      <c:pt idx="116" formatCode="General">
                        <c:v>47407.747696505285</c:v>
                      </c:pt>
                      <c:pt idx="117" formatCode="General">
                        <c:v>47070.425113676894</c:v>
                      </c:pt>
                      <c:pt idx="118" formatCode="General">
                        <c:v>46591.644691714835</c:v>
                      </c:pt>
                      <c:pt idx="119" formatCode="General">
                        <c:v>45973.942911833874</c:v>
                      </c:pt>
                      <c:pt idx="120" formatCode="General">
                        <c:v>45219.194329256672</c:v>
                      </c:pt>
                      <c:pt idx="121" formatCode="General">
                        <c:v>44328.67239900594</c:v>
                      </c:pt>
                      <c:pt idx="122" formatCode="General">
                        <c:v>43303.095535655433</c:v>
                      </c:pt>
                      <c:pt idx="123" formatCode="General">
                        <c:v>42142.661555692532</c:v>
                      </c:pt>
                      <c:pt idx="124" formatCode="General">
                        <c:v>40847.072959610443</c:v>
                      </c:pt>
                      <c:pt idx="125" formatCode="General">
                        <c:v>39415.555016027334</c:v>
                      </c:pt>
                      <c:pt idx="126" formatCode="General">
                        <c:v>37846.868195776638</c:v>
                      </c:pt>
                      <c:pt idx="127" formatCode="General">
                        <c:v>36139.316000435167</c:v>
                      </c:pt>
                      <c:pt idx="128" formatCode="General">
                        <c:v>34290.748323710919</c:v>
                      </c:pt>
                      <c:pt idx="129" formatCode="General">
                        <c:v>32298.558541161769</c:v>
                      </c:pt>
                      <c:pt idx="130" formatCode="General">
                        <c:v>30159.668235805028</c:v>
                      </c:pt>
                      <c:pt idx="131" formatCode="General">
                        <c:v>27870.484161496799</c:v>
                      </c:pt>
                      <c:pt idx="132" formatCode="General">
                        <c:v>25426.792396761459</c:v>
                      </c:pt>
                      <c:pt idx="133" formatCode="General">
                        <c:v>22823.51451860696</c:v>
                      </c:pt>
                      <c:pt idx="134" formatCode="General">
                        <c:v>20054.172441460516</c:v>
                      </c:pt>
                      <c:pt idx="135" formatCode="General">
                        <c:v>17109.76790552364</c:v>
                      </c:pt>
                      <c:pt idx="136" formatCode="General">
                        <c:v>13976.569983367724</c:v>
                      </c:pt>
                      <c:pt idx="137" formatCode="General">
                        <c:v>10632.139535994247</c:v>
                      </c:pt>
                      <c:pt idx="138" formatCode="General">
                        <c:v>7039.5393114410945</c:v>
                      </c:pt>
                      <c:pt idx="139" formatCode="General">
                        <c:v>3144.2746556408611</c:v>
                      </c:pt>
                      <c:pt idx="140" formatCode="General">
                        <c:v>-1103.2054927395388</c:v>
                      </c:pt>
                      <c:pt idx="141" formatCode="General">
                        <c:v>-5651.6796163023773</c:v>
                      </c:pt>
                      <c:pt idx="142" formatCode="General">
                        <c:v>-10261.000359270049</c:v>
                      </c:pt>
                      <c:pt idx="143" formatCode="General">
                        <c:v>-14656.030853968152</c:v>
                      </c:pt>
                      <c:pt idx="144" formatCode="General">
                        <c:v>-18722.60105691737</c:v>
                      </c:pt>
                      <c:pt idx="145" formatCode="General">
                        <c:v>-22464.523100088049</c:v>
                      </c:pt>
                      <c:pt idx="146" formatCode="General">
                        <c:v>-25906.865482920122</c:v>
                      </c:pt>
                      <c:pt idx="147" formatCode="General">
                        <c:v>-29069.387473119885</c:v>
                      </c:pt>
                      <c:pt idx="148" formatCode="General">
                        <c:v>-31969.25997903218</c:v>
                      </c:pt>
                      <c:pt idx="149" formatCode="General">
                        <c:v>-34624.614037956148</c:v>
                      </c:pt>
                      <c:pt idx="150" formatCode="General">
                        <c:v>-37054.470478275362</c:v>
                      </c:pt>
                      <c:pt idx="151" formatCode="General">
                        <c:v>-39277.398102827909</c:v>
                      </c:pt>
                      <c:pt idx="152" formatCode="General">
                        <c:v>-41310.485900573884</c:v>
                      </c:pt>
                      <c:pt idx="153" formatCode="General">
                        <c:v>-43168.898096941615</c:v>
                      </c:pt>
                      <c:pt idx="154" formatCode="General">
                        <c:v>-44865.826030512697</c:v>
                      </c:pt>
                      <c:pt idx="155" formatCode="General">
                        <c:v>-46412.6348977159</c:v>
                      </c:pt>
                      <c:pt idx="156" formatCode="General">
                        <c:v>-47819.08025896937</c:v>
                      </c:pt>
                      <c:pt idx="157" formatCode="General">
                        <c:v>-49093.53171171336</c:v>
                      </c:pt>
                      <c:pt idx="158" formatCode="General">
                        <c:v>-50243.177200357313</c:v>
                      </c:pt>
                      <c:pt idx="159" formatCode="General">
                        <c:v>-51274.199432570014</c:v>
                      </c:pt>
                      <c:pt idx="160" formatCode="General">
                        <c:v>-52191.923969737007</c:v>
                      </c:pt>
                      <c:pt idx="161" formatCode="General">
                        <c:v>-53000.941746303091</c:v>
                      </c:pt>
                      <c:pt idx="162" formatCode="General">
                        <c:v>-53705.209683984292</c:v>
                      </c:pt>
                      <c:pt idx="163" formatCode="General">
                        <c:v>-54308.133001649447</c:v>
                      </c:pt>
                      <c:pt idx="164" formatCode="General">
                        <c:v>-54812.632391269792</c:v>
                      </c:pt>
                      <c:pt idx="165" formatCode="General">
                        <c:v>-55221.198708541393</c:v>
                      </c:pt>
                      <c:pt idx="166" formatCode="General">
                        <c:v>-55535.937327036467</c:v>
                      </c:pt>
                      <c:pt idx="167" formatCode="General">
                        <c:v>-55758.603866520338</c:v>
                      </c:pt>
                      <c:pt idx="168" formatCode="General">
                        <c:v>-55890.632636228082</c:v>
                      </c:pt>
                      <c:pt idx="169" formatCode="General">
                        <c:v>-55933.158825954757</c:v>
                      </c:pt>
                      <c:pt idx="170" formatCode="General">
                        <c:v>-55887.035220722144</c:v>
                      </c:pt>
                      <c:pt idx="171" formatCode="General">
                        <c:v>-55752.843996612719</c:v>
                      </c:pt>
                      <c:pt idx="172" formatCode="General">
                        <c:v>-55530.903964618752</c:v>
                      </c:pt>
                      <c:pt idx="173" formatCode="General">
                        <c:v>-55221.273455187584</c:v>
                      </c:pt>
                      <c:pt idx="174" formatCode="General">
                        <c:v>-54823.748867978022</c:v>
                      </c:pt>
                      <c:pt idx="175" formatCode="General">
                        <c:v>-54337.858738188224</c:v>
                      </c:pt>
                      <c:pt idx="176" formatCode="General">
                        <c:v>-53762.852980298012</c:v>
                      </c:pt>
                      <c:pt idx="177" formatCode="General">
                        <c:v>-53097.686747076958</c:v>
                      </c:pt>
                      <c:pt idx="178" formatCode="General">
                        <c:v>-52340.998066484615</c:v>
                      </c:pt>
                      <c:pt idx="179" formatCode="General">
                        <c:v>-51491.078064389621</c:v>
                      </c:pt>
                      <c:pt idx="180" formatCode="General">
                        <c:v>-50545.832107815899</c:v>
                      </c:pt>
                      <c:pt idx="181" formatCode="General">
                        <c:v>-49502.729554077683</c:v>
                      </c:pt>
                      <c:pt idx="182" formatCode="General">
                        <c:v>-48358.738878744174</c:v>
                      </c:pt>
                      <c:pt idx="183" formatCode="General">
                        <c:v>-47110.2436462685</c:v>
                      </c:pt>
                      <c:pt idx="184" formatCode="General">
                        <c:v>-45752.932873101679</c:v>
                      </c:pt>
                      <c:pt idx="185" formatCode="General">
                        <c:v>-44281.656486954911</c:v>
                      </c:pt>
                      <c:pt idx="186" formatCode="General">
                        <c:v>-42690.232294232679</c:v>
                      </c:pt>
                      <c:pt idx="187" formatCode="General">
                        <c:v>-40971.184344465219</c:v>
                      </c:pt>
                      <c:pt idx="188" formatCode="General">
                        <c:v>-39115.38271754689</c:v>
                      </c:pt>
                      <c:pt idx="189" formatCode="General">
                        <c:v>-37111.540408016917</c:v>
                      </c:pt>
                      <c:pt idx="190" formatCode="General">
                        <c:v>-34945.504856972206</c:v>
                      </c:pt>
                      <c:pt idx="191" formatCode="General">
                        <c:v>-32599.271441608129</c:v>
                      </c:pt>
                      <c:pt idx="192" formatCode="General">
                        <c:v>-30049.707072004221</c:v>
                      </c:pt>
                      <c:pt idx="193" formatCode="General">
                        <c:v>-27267.401590486494</c:v>
                      </c:pt>
                      <c:pt idx="194" formatCode="General">
                        <c:v>-24218.212106046034</c:v>
                      </c:pt>
                      <c:pt idx="195" formatCode="General">
                        <c:v>-20879.229067169224</c:v>
                      </c:pt>
                      <c:pt idx="196" formatCode="General">
                        <c:v>-17302.009455564716</c:v>
                      </c:pt>
                      <c:pt idx="197" formatCode="General">
                        <c:v>-13680.662973438371</c:v>
                      </c:pt>
                      <c:pt idx="198" formatCode="General">
                        <c:v>-10198.136658306055</c:v>
                      </c:pt>
                      <c:pt idx="199" formatCode="General">
                        <c:v>-6853.480021462693</c:v>
                      </c:pt>
                      <c:pt idx="200" formatCode="General">
                        <c:v>-3554.319591125633</c:v>
                      </c:pt>
                      <c:pt idx="201" formatCode="General">
                        <c:v>-230.11510165922746</c:v>
                      </c:pt>
                      <c:pt idx="202" formatCode="General">
                        <c:v>3144.6834798928371</c:v>
                      </c:pt>
                      <c:pt idx="203" formatCode="General">
                        <c:v>6547.3655718135542</c:v>
                      </c:pt>
                      <c:pt idx="204" formatCode="General">
                        <c:v>9914.6877992740538</c:v>
                      </c:pt>
                      <c:pt idx="205" formatCode="General">
                        <c:v>13170.42955534188</c:v>
                      </c:pt>
                      <c:pt idx="206" formatCode="General">
                        <c:v>16258.192591732774</c:v>
                      </c:pt>
                      <c:pt idx="207" formatCode="General">
                        <c:v>19154.204773715814</c:v>
                      </c:pt>
                      <c:pt idx="208" formatCode="General">
                        <c:v>21859.322395550887</c:v>
                      </c:pt>
                      <c:pt idx="209" formatCode="General">
                        <c:v>24386.329671334919</c:v>
                      </c:pt>
                      <c:pt idx="210" formatCode="General">
                        <c:v>26751.573464906625</c:v>
                      </c:pt>
                      <c:pt idx="211" formatCode="General">
                        <c:v>28971.09909463043</c:v>
                      </c:pt>
                      <c:pt idx="212" formatCode="General">
                        <c:v>31059.281313900821</c:v>
                      </c:pt>
                      <c:pt idx="213" formatCode="General">
                        <c:v>33028.544222235047</c:v>
                      </c:pt>
                      <c:pt idx="214" formatCode="General">
                        <c:v>34889.487105349632</c:v>
                      </c:pt>
                      <c:pt idx="215" formatCode="General">
                        <c:v>36651.129040375432</c:v>
                      </c:pt>
                      <c:pt idx="216" formatCode="General">
                        <c:v>38321.162308771141</c:v>
                      </c:pt>
                      <c:pt idx="217" formatCode="General">
                        <c:v>39906.177760244245</c:v>
                      </c:pt>
                      <c:pt idx="218" formatCode="General">
                        <c:v>41411.853820698088</c:v>
                      </c:pt>
                      <c:pt idx="219" formatCode="General">
                        <c:v>42843.111138430897</c:v>
                      </c:pt>
                      <c:pt idx="220" formatCode="General">
                        <c:v>44204.237916508173</c:v>
                      </c:pt>
                      <c:pt idx="221" formatCode="General">
                        <c:v>45498.991290987404</c:v>
                      </c:pt>
                      <c:pt idx="222" formatCode="General">
                        <c:v>46730.679500694911</c:v>
                      </c:pt>
                      <c:pt idx="223" formatCode="General">
                        <c:v>47902.228765194748</c:v>
                      </c:pt>
                      <c:pt idx="224" formatCode="General">
                        <c:v>49016.238002478291</c:v>
                      </c:pt>
                      <c:pt idx="225" formatCode="General">
                        <c:v>50075.023854487139</c:v>
                      </c:pt>
                      <c:pt idx="226" formatCode="General">
                        <c:v>51080.657955094044</c:v>
                      </c:pt>
                      <c:pt idx="227" formatCode="General">
                        <c:v>52034.997956108971</c:v>
                      </c:pt>
                      <c:pt idx="228" formatCode="General">
                        <c:v>52939.713501219449</c:v>
                      </c:pt>
                      <c:pt idx="229" formatCode="General">
                        <c:v>53796.308085671357</c:v>
                      </c:pt>
                      <c:pt idx="230" formatCode="General">
                        <c:v>54606.137544310033</c:v>
                      </c:pt>
                      <c:pt idx="231" formatCode="General">
                        <c:v>55370.425759105441</c:v>
                      </c:pt>
                      <c:pt idx="232" formatCode="General">
                        <c:v>56090.278059235185</c:v>
                      </c:pt>
                      <c:pt idx="233" formatCode="General">
                        <c:v>56766.692694366604</c:v>
                      </c:pt>
                      <c:pt idx="234" formatCode="General">
                        <c:v>57400.570689014836</c:v>
                      </c:pt>
                      <c:pt idx="235" formatCode="General">
                        <c:v>57992.724328245058</c:v>
                      </c:pt>
                      <c:pt idx="236" formatCode="General">
                        <c:v>58543.884479105953</c:v>
                      </c:pt>
                      <c:pt idx="237" formatCode="General">
                        <c:v>59054.706915418123</c:v>
                      </c:pt>
                      <c:pt idx="238" formatCode="General">
                        <c:v>59525.777783898942</c:v>
                      </c:pt>
                      <c:pt idx="239" formatCode="General">
                        <c:v>59957.618325551746</c:v>
                      </c:pt>
                      <c:pt idx="240" formatCode="General">
                        <c:v>60350.688946597664</c:v>
                      </c:pt>
                      <c:pt idx="241" formatCode="General">
                        <c:v>60705.392717063747</c:v>
                      </c:pt>
                      <c:pt idx="242" formatCode="General">
                        <c:v>61022.078361742191</c:v>
                      </c:pt>
                      <c:pt idx="243" formatCode="General">
                        <c:v>61301.042797037284</c:v>
                      </c:pt>
                      <c:pt idx="244" formatCode="General">
                        <c:v>61542.533257770374</c:v>
                      </c:pt>
                      <c:pt idx="245" formatCode="General">
                        <c:v>61746.749049961065</c:v>
                      </c:pt>
                      <c:pt idx="246" formatCode="General">
                        <c:v>61913.84295865435</c:v>
                      </c:pt>
                      <c:pt idx="247" formatCode="General">
                        <c:v>62043.922333782655</c:v>
                      </c:pt>
                      <c:pt idx="248" formatCode="General">
                        <c:v>62137.049871642019</c:v>
                      </c:pt>
                      <c:pt idx="249" formatCode="General">
                        <c:v>62193.244104656573</c:v>
                      </c:pt>
                      <c:pt idx="250" formatCode="General">
                        <c:v>62212.479607562171</c:v>
                      </c:pt>
                      <c:pt idx="251" formatCode="General">
                        <c:v>62194.686923829606</c:v>
                      </c:pt>
                      <c:pt idx="252" formatCode="General">
                        <c:v>62139.752211953848</c:v>
                      </c:pt>
                      <c:pt idx="253" formatCode="General">
                        <c:v>62047.516607044607</c:v>
                      </c:pt>
                      <c:pt idx="254" formatCode="General">
                        <c:v>61917.775288854507</c:v>
                      </c:pt>
                      <c:pt idx="255" formatCode="General">
                        <c:v>61750.276242857763</c:v>
                      </c:pt>
                      <c:pt idx="256" formatCode="General">
                        <c:v>61544.71869612005</c:v>
                      </c:pt>
                      <c:pt idx="257" formatCode="General">
                        <c:v>61300.75120434066</c:v>
                      </c:pt>
                      <c:pt idx="258" formatCode="General">
                        <c:v>61017.96936044193</c:v>
                      </c:pt>
                      <c:pt idx="259" formatCode="General">
                        <c:v>60695.91308824224</c:v>
                      </c:pt>
                      <c:pt idx="260" formatCode="General">
                        <c:v>60334.06347685455</c:v>
                      </c:pt>
                      <c:pt idx="261" formatCode="General">
                        <c:v>59931.839102232865</c:v>
                      </c:pt>
                      <c:pt idx="262" formatCode="General">
                        <c:v>59488.591771412488</c:v>
                      </c:pt>
                      <c:pt idx="263" formatCode="General">
                        <c:v>59003.601612045757</c:v>
                      </c:pt>
                      <c:pt idx="264" formatCode="General">
                        <c:v>58476.071414309641</c:v>
                      </c:pt>
                      <c:pt idx="265" formatCode="General">
                        <c:v>57905.120113509671</c:v>
                      </c:pt>
                      <c:pt idx="266" formatCode="General">
                        <c:v>57289.77527890831</c:v>
                      </c:pt>
                      <c:pt idx="267" formatCode="General">
                        <c:v>56628.964446425671</c:v>
                      </c:pt>
                      <c:pt idx="268" formatCode="General">
                        <c:v>55921.505098566486</c:v>
                      </c:pt>
                      <c:pt idx="269" formatCode="General">
                        <c:v>55166.093052514763</c:v>
                      </c:pt>
                      <c:pt idx="270" formatCode="General">
                        <c:v>54361.288964611587</c:v>
                      </c:pt>
                      <c:pt idx="271" formatCode="General">
                        <c:v>53505.502593564357</c:v>
                      </c:pt>
                      <c:pt idx="272" formatCode="General">
                        <c:v>52596.974382082546</c:v>
                      </c:pt>
                      <c:pt idx="273" formatCode="General">
                        <c:v>51633.753812512565</c:v>
                      </c:pt>
                      <c:pt idx="274" formatCode="General">
                        <c:v>50613.673860476752</c:v>
                      </c:pt>
                      <c:pt idx="275" formatCode="General">
                        <c:v>49534.320703990932</c:v>
                      </c:pt>
                      <c:pt idx="276" formatCode="General">
                        <c:v>48392.997634832427</c:v>
                      </c:pt>
                      <c:pt idx="277" formatCode="General">
                        <c:v>47186.681853340197</c:v>
                      </c:pt>
                      <c:pt idx="278" formatCode="General">
                        <c:v>45911.972496187955</c:v>
                      </c:pt>
                      <c:pt idx="279" formatCode="General">
                        <c:v>44565.027840505543</c:v>
                      </c:pt>
                      <c:pt idx="280" formatCode="General">
                        <c:v>43141.489149162611</c:v>
                      </c:pt>
                      <c:pt idx="281" formatCode="General">
                        <c:v>41636.388102520061</c:v>
                      </c:pt>
                      <c:pt idx="282" formatCode="General">
                        <c:v>40044.034305439542</c:v>
                      </c:pt>
                      <c:pt idx="283" formatCode="General">
                        <c:v>38357.879240238704</c:v>
                      </c:pt>
                      <c:pt idx="284" formatCode="General">
                        <c:v>36570.353931708632</c:v>
                      </c:pt>
                      <c:pt idx="285" formatCode="General">
                        <c:v>34672.68110693559</c:v>
                      </c:pt>
                      <c:pt idx="286" formatCode="General">
                        <c:v>32654.672574934692</c:v>
                      </c:pt>
                      <c:pt idx="287" formatCode="General">
                        <c:v>30504.547966305006</c:v>
                      </c:pt>
                      <c:pt idx="288" formatCode="General">
                        <c:v>28208.873543972295</c:v>
                      </c:pt>
                      <c:pt idx="289" formatCode="General">
                        <c:v>25752.871464089563</c:v>
                      </c:pt>
                      <c:pt idx="290" formatCode="General">
                        <c:v>23121.711123848985</c:v>
                      </c:pt>
                      <c:pt idx="291" formatCode="General">
                        <c:v>20304.209142964199</c:v>
                      </c:pt>
                      <c:pt idx="292" formatCode="General">
                        <c:v>17301.882039118427</c:v>
                      </c:pt>
                      <c:pt idx="293" formatCode="General">
                        <c:v>14147.232834402927</c:v>
                      </c:pt>
                      <c:pt idx="294" formatCode="General">
                        <c:v>10926.641999821983</c:v>
                      </c:pt>
                      <c:pt idx="295" formatCode="General">
                        <c:v>7773.0570673342718</c:v>
                      </c:pt>
                      <c:pt idx="296" formatCode="General">
                        <c:v>4797.8578715012018</c:v>
                      </c:pt>
                      <c:pt idx="297" formatCode="General">
                        <c:v>2029.4191830678121</c:v>
                      </c:pt>
                      <c:pt idx="298" formatCode="General">
                        <c:v>-570.29991048901525</c:v>
                      </c:pt>
                      <c:pt idx="299" formatCode="General">
                        <c:v>-3057.185484231542</c:v>
                      </c:pt>
                      <c:pt idx="300" formatCode="General">
                        <c:v>-5477.2334645733899</c:v>
                      </c:pt>
                      <c:pt idx="301" formatCode="General">
                        <c:v>-7857.9912098113919</c:v>
                      </c:pt>
                      <c:pt idx="302" formatCode="General">
                        <c:v>-10209.456845338374</c:v>
                      </c:pt>
                      <c:pt idx="303" formatCode="General">
                        <c:v>-12529.849266530127</c:v>
                      </c:pt>
                      <c:pt idx="304" formatCode="General">
                        <c:v>-14812.31949818855</c:v>
                      </c:pt>
                      <c:pt idx="305" formatCode="General">
                        <c:v>-17049.650880601039</c:v>
                      </c:pt>
                      <c:pt idx="306" formatCode="General">
                        <c:v>-19236.356860319593</c:v>
                      </c:pt>
                      <c:pt idx="307" formatCode="General">
                        <c:v>-21369.06640733319</c:v>
                      </c:pt>
                      <c:pt idx="308" formatCode="General">
                        <c:v>-23446.182401839265</c:v>
                      </c:pt>
                      <c:pt idx="309" formatCode="General">
                        <c:v>-25467.380314076156</c:v>
                      </c:pt>
                      <c:pt idx="310" formatCode="General">
                        <c:v>-27433.169758361746</c:v>
                      </c:pt>
                      <c:pt idx="311" formatCode="General">
                        <c:v>-29344.569860488326</c:v>
                      </c:pt>
                      <c:pt idx="312" formatCode="General">
                        <c:v>-31202.886975430851</c:v>
                      </c:pt>
                      <c:pt idx="313" formatCode="General">
                        <c:v>-33009.56900625753</c:v>
                      </c:pt>
                      <c:pt idx="314" formatCode="General">
                        <c:v>-34766.11272953132</c:v>
                      </c:pt>
                      <c:pt idx="315" formatCode="General">
                        <c:v>-36474.006402609062</c:v>
                      </c:pt>
                      <c:pt idx="316" formatCode="General">
                        <c:v>-38134.695366687592</c:v>
                      </c:pt>
                      <c:pt idx="317" formatCode="General">
                        <c:v>-39749.562445127507</c:v>
                      </c:pt>
                      <c:pt idx="318" formatCode="General">
                        <c:v>-41319.917763614576</c:v>
                      </c:pt>
                      <c:pt idx="319" formatCode="General">
                        <c:v>-42846.994502258145</c:v>
                      </c:pt>
                      <c:pt idx="320" formatCode="General">
                        <c:v>-44331.948322632627</c:v>
                      </c:pt>
                      <c:pt idx="321" formatCode="General">
                        <c:v>-45775.859013743386</c:v>
                      </c:pt>
                      <c:pt idx="322" formatCode="General">
                        <c:v>-47179.733420127151</c:v>
                      </c:pt>
                      <c:pt idx="323" formatCode="General">
                        <c:v>-48544.509052045665</c:v>
                      </c:pt>
                      <c:pt idx="324" formatCode="General">
                        <c:v>-49871.057996461124</c:v>
                      </c:pt>
                      <c:pt idx="325" formatCode="General">
                        <c:v>-51160.190889758953</c:v>
                      </c:pt>
                      <c:pt idx="326" formatCode="General">
                        <c:v>-52412.660805774671</c:v>
                      </c:pt>
                      <c:pt idx="327" formatCode="General">
                        <c:v>-53629.166972861829</c:v>
                      </c:pt>
                      <c:pt idx="328" formatCode="General">
                        <c:v>-54810.358272696649</c:v>
                      </c:pt>
                      <c:pt idx="329" formatCode="General">
                        <c:v>-55956.836498536519</c:v>
                      </c:pt>
                      <c:pt idx="330" formatCode="General">
                        <c:v>-57069.159366498607</c:v>
                      </c:pt>
                      <c:pt idx="331" formatCode="General">
                        <c:v>-58147.843283233742</c:v>
                      </c:pt>
                      <c:pt idx="332" formatCode="General">
                        <c:v>-59193.365879208366</c:v>
                      </c:pt>
                      <c:pt idx="333" formatCode="General">
                        <c:v>-60206.168320044213</c:v>
                      </c:pt>
                      <c:pt idx="334" formatCode="General">
                        <c:v>-61186.657409912754</c:v>
                      </c:pt>
                      <c:pt idx="335" formatCode="General">
                        <c:v>-62135.20750144546</c:v>
                      </c:pt>
                      <c:pt idx="336" formatCode="General">
                        <c:v>-63052.162226405257</c:v>
                      </c:pt>
                      <c:pt idx="337" formatCode="General">
                        <c:v>-63937.836060736481</c:v>
                      </c:pt>
                      <c:pt idx="338" formatCode="General">
                        <c:v>-64792.515736747388</c:v>
                      </c:pt>
                      <c:pt idx="339" formatCode="General">
                        <c:v>-65616.461514195966</c:v>
                      </c:pt>
                      <c:pt idx="340" formatCode="General">
                        <c:v>-66409.908321021416</c:v>
                      </c:pt>
                      <c:pt idx="341" formatCode="General">
                        <c:v>-67173.066773436411</c:v>
                      </c:pt>
                      <c:pt idx="342" formatCode="General">
                        <c:v>-67906.124084098134</c:v>
                      </c:pt>
                      <c:pt idx="343" formatCode="General">
                        <c:v>-68609.244866123947</c:v>
                      </c:pt>
                      <c:pt idx="344" formatCode="General">
                        <c:v>-69282.571839819022</c:v>
                      </c:pt>
                      <c:pt idx="345" formatCode="General">
                        <c:v>-69926.226448139772</c:v>
                      </c:pt>
                      <c:pt idx="346" formatCode="General">
                        <c:v>-70540.309386127614</c:v>
                      </c:pt>
                      <c:pt idx="347" formatCode="General">
                        <c:v>-71124.90104880881</c:v>
                      </c:pt>
                      <c:pt idx="348" formatCode="General">
                        <c:v>-71680.061901362715</c:v>
                      </c:pt>
                      <c:pt idx="349" formatCode="General">
                        <c:v>-72205.832774707567</c:v>
                      </c:pt>
                      <c:pt idx="350" formatCode="General">
                        <c:v>-72702.235089033318</c:v>
                      </c:pt>
                      <c:pt idx="351" formatCode="General">
                        <c:v>-73169.271007218646</c:v>
                      </c:pt>
                      <c:pt idx="352" formatCode="General">
                        <c:v>-73606.923519497359</c:v>
                      </c:pt>
                      <c:pt idx="353" formatCode="General">
                        <c:v>-74015.156460181795</c:v>
                      </c:pt>
                      <c:pt idx="354" formatCode="General">
                        <c:v>-74393.914456700091</c:v>
                      </c:pt>
                      <c:pt idx="355" formatCode="General">
                        <c:v>-74743.122810652989</c:v>
                      </c:pt>
                      <c:pt idx="356" formatCode="General">
                        <c:v>-75062.687310038498</c:v>
                      </c:pt>
                      <c:pt idx="357" formatCode="General">
                        <c:v>-75352.493971218981</c:v>
                      </c:pt>
                      <c:pt idx="358" formatCode="General">
                        <c:v>-75612.408708609611</c:v>
                      </c:pt>
                      <c:pt idx="359" formatCode="General">
                        <c:v>-75842.27692943874</c:v>
                      </c:pt>
                      <c:pt idx="360" formatCode="General">
                        <c:v>-76041.923050260855</c:v>
                      </c:pt>
                      <c:pt idx="361" formatCode="General">
                        <c:v>-76211.149931180727</c:v>
                      </c:pt>
                      <c:pt idx="362" formatCode="General">
                        <c:v>-76349.738222959975</c:v>
                      </c:pt>
                      <c:pt idx="363" formatCode="General">
                        <c:v>-76457.445621312479</c:v>
                      </c:pt>
                      <c:pt idx="364" formatCode="General">
                        <c:v>-76534.006021734953</c:v>
                      </c:pt>
                      <c:pt idx="365" formatCode="General">
                        <c:v>-76579.128567147025</c:v>
                      </c:pt>
                      <c:pt idx="366" formatCode="General">
                        <c:v>-76592.496579408631</c:v>
                      </c:pt>
                      <c:pt idx="367" formatCode="General">
                        <c:v>-76573.766364416952</c:v>
                      </c:pt>
                      <c:pt idx="368" formatCode="General">
                        <c:v>-76522.565878930312</c:v>
                      </c:pt>
                      <c:pt idx="369" formatCode="General">
                        <c:v>-76438.493245487567</c:v>
                      </c:pt>
                      <c:pt idx="370" formatCode="General">
                        <c:v>-76321.11509974541</c:v>
                      </c:pt>
                      <c:pt idx="371" formatCode="General">
                        <c:v>-76169.96475219306</c:v>
                      </c:pt>
                      <c:pt idx="372" formatCode="General">
                        <c:v>-75984.540143462262</c:v>
                      </c:pt>
                      <c:pt idx="373" formatCode="General">
                        <c:v>-75764.301569256713</c:v>
                      </c:pt>
                      <c:pt idx="374" formatCode="General">
                        <c:v>-75508.669147188819</c:v>
                      </c:pt>
                      <c:pt idx="375" formatCode="General">
                        <c:v>-75217.019993424386</c:v>
                      </c:pt>
                      <c:pt idx="376" formatCode="General">
                        <c:v>-74888.685071861735</c:v>
                      </c:pt>
                      <c:pt idx="377" formatCode="General">
                        <c:v>-74522.945672446614</c:v>
                      </c:pt>
                      <c:pt idx="378" formatCode="General">
                        <c:v>-74119.029467943517</c:v>
                      </c:pt>
                      <c:pt idx="379" formatCode="General">
                        <c:v>-73676.106089793728</c:v>
                      </c:pt>
                      <c:pt idx="380" formatCode="General">
                        <c:v>-73193.282153275242</c:v>
                      </c:pt>
                      <c:pt idx="381" formatCode="General">
                        <c:v>-72669.59564964399</c:v>
                      </c:pt>
                      <c:pt idx="382" formatCode="General">
                        <c:v>-72104.009607782602</c:v>
                      </c:pt>
                      <c:pt idx="383" formatCode="General">
                        <c:v>-71495.404909485835</c:v>
                      </c:pt>
                      <c:pt idx="384" formatCode="General">
                        <c:v>-70842.57212007638</c:v>
                      </c:pt>
                      <c:pt idx="385" formatCode="General">
                        <c:v>-70144.202168561489</c:v>
                      </c:pt>
                      <c:pt idx="386" formatCode="General">
                        <c:v>-69398.875677721822</c:v>
                      </c:pt>
                      <c:pt idx="387" formatCode="General">
                        <c:v>-68605.050702721535</c:v>
                      </c:pt>
                      <c:pt idx="388" formatCode="General">
                        <c:v>-67761.048584928998</c:v>
                      </c:pt>
                      <c:pt idx="389" formatCode="General">
                        <c:v>-66865.037562931699</c:v>
                      </c:pt>
                      <c:pt idx="390" formatCode="General">
                        <c:v>-65915.013701738164</c:v>
                      </c:pt>
                      <c:pt idx="391" formatCode="General">
                        <c:v>-64908.778599443765</c:v>
                      </c:pt>
                      <c:pt idx="392" formatCode="General">
                        <c:v>-63843.913202558411</c:v>
                      </c:pt>
                      <c:pt idx="393" formatCode="General">
                        <c:v>-62717.746899703139</c:v>
                      </c:pt>
                      <c:pt idx="394" formatCode="General">
                        <c:v>-61527.320859872416</c:v>
                      </c:pt>
                      <c:pt idx="395" formatCode="General">
                        <c:v>-60269.344325901402</c:v>
                      </c:pt>
                      <c:pt idx="396" formatCode="General">
                        <c:v>-58940.142255514249</c:v>
                      </c:pt>
                      <c:pt idx="397" formatCode="General">
                        <c:v>-57535.592312385408</c:v>
                      </c:pt>
                      <c:pt idx="398" formatCode="General">
                        <c:v>-56051.048746309694</c:v>
                      </c:pt>
                      <c:pt idx="399" formatCode="General">
                        <c:v>-54481.250182854121</c:v>
                      </c:pt>
                      <c:pt idx="400" formatCode="General">
                        <c:v>-52820.207833101071</c:v>
                      </c:pt>
                      <c:pt idx="401" formatCode="General">
                        <c:v>-51061.070299259278</c:v>
                      </c:pt>
                      <c:pt idx="402" formatCode="General">
                        <c:v>-49195.961371454454</c:v>
                      </c:pt>
                      <c:pt idx="403" formatCode="General">
                        <c:v>-47215.788796323075</c:v>
                      </c:pt>
                      <c:pt idx="404" formatCode="General">
                        <c:v>-45110.026594116956</c:v>
                      </c:pt>
                      <c:pt idx="405" formatCode="General">
                        <c:v>-42866.484233267853</c:v>
                      </c:pt>
                      <c:pt idx="406" formatCode="General">
                        <c:v>-40471.098139568901</c:v>
                      </c:pt>
                      <c:pt idx="407" formatCode="General">
                        <c:v>-37907.821403363298</c:v>
                      </c:pt>
                      <c:pt idx="408" formatCode="General">
                        <c:v>-35158.746670247594</c:v>
                      </c:pt>
                      <c:pt idx="409" formatCode="General">
                        <c:v>-32204.638554770761</c:v>
                      </c:pt>
                      <c:pt idx="410" formatCode="General">
                        <c:v>-29025.924301673844</c:v>
                      </c:pt>
                      <c:pt idx="411" formatCode="General">
                        <c:v>-25603.551531509838</c:v>
                      </c:pt>
                      <c:pt idx="412" formatCode="General">
                        <c:v>-21917.732294411591</c:v>
                      </c:pt>
                      <c:pt idx="413" formatCode="General">
                        <c:v>-17941.579979329868</c:v>
                      </c:pt>
                      <c:pt idx="414" formatCode="General">
                        <c:v>-13629.665781579599</c:v>
                      </c:pt>
                      <c:pt idx="415" formatCode="General">
                        <c:v>-8915.9371343537805</c:v>
                      </c:pt>
                      <c:pt idx="416" formatCode="General">
                        <c:v>-3787.6818650226719</c:v>
                      </c:pt>
                      <c:pt idx="417" formatCode="General">
                        <c:v>1494.3199314254055</c:v>
                      </c:pt>
                      <c:pt idx="418" formatCode="General">
                        <c:v>6517.3386449958189</c:v>
                      </c:pt>
                      <c:pt idx="419" formatCode="General">
                        <c:v>11137.282827633835</c:v>
                      </c:pt>
                      <c:pt idx="420" formatCode="General">
                        <c:v>15437.343842396458</c:v>
                      </c:pt>
                      <c:pt idx="421" formatCode="General">
                        <c:v>19498.771696221396</c:v>
                      </c:pt>
                      <c:pt idx="422" formatCode="General">
                        <c:v>23368.08985787155</c:v>
                      </c:pt>
                      <c:pt idx="423" formatCode="General">
                        <c:v>27070.929473583899</c:v>
                      </c:pt>
                      <c:pt idx="424" formatCode="General">
                        <c:v>30622.938837405065</c:v>
                      </c:pt>
                      <c:pt idx="425" formatCode="General">
                        <c:v>34035.341562664617</c:v>
                      </c:pt>
                      <c:pt idx="426" formatCode="General">
                        <c:v>37317.395086717319</c:v>
                      </c:pt>
                      <c:pt idx="427" formatCode="General">
                        <c:v>40477.368539952447</c:v>
                      </c:pt>
                      <c:pt idx="428" formatCode="General">
                        <c:v>43522.887570361621</c:v>
                      </c:pt>
                      <c:pt idx="429" formatCode="General">
                        <c:v>46461.037663473166</c:v>
                      </c:pt>
                      <c:pt idx="430" formatCode="General">
                        <c:v>49298.390514583669</c:v>
                      </c:pt>
                      <c:pt idx="431" formatCode="General">
                        <c:v>52041.015515036415</c:v>
                      </c:pt>
                      <c:pt idx="432" formatCode="General">
                        <c:v>54694.495761769176</c:v>
                      </c:pt>
                      <c:pt idx="433" formatCode="General">
                        <c:v>57263.951897373772</c:v>
                      </c:pt>
                      <c:pt idx="434" formatCode="General">
                        <c:v>59754.071967997632</c:v>
                      </c:pt>
                      <c:pt idx="435" formatCode="General">
                        <c:v>62169.144537129192</c:v>
                      </c:pt>
                      <c:pt idx="436" formatCode="General">
                        <c:v>64513.092707214848</c:v>
                      </c:pt>
                      <c:pt idx="437" formatCode="General">
                        <c:v>66789.507403597614</c:v>
                      </c:pt>
                      <c:pt idx="438" formatCode="General">
                        <c:v>69001.67890490088</c:v>
                      </c:pt>
                      <c:pt idx="439" formatCode="General">
                        <c:v>71152.626074383836</c:v>
                      </c:pt>
                      <c:pt idx="440" formatCode="General">
                        <c:v>73245.123066789354</c:v>
                      </c:pt>
                      <c:pt idx="441" formatCode="General">
                        <c:v>75281.723488649353</c:v>
                      </c:pt>
                      <c:pt idx="442" formatCode="General">
                        <c:v>77264.782110966946</c:v>
                      </c:pt>
                      <c:pt idx="443" formatCode="General">
                        <c:v>79196.474298870206</c:v>
                      </c:pt>
                      <c:pt idx="444" formatCode="General">
                        <c:v>81078.813352956859</c:v>
                      </c:pt>
                      <c:pt idx="445" formatCode="General">
                        <c:v>82913.665965190608</c:v>
                      </c:pt>
                      <c:pt idx="446" formatCode="General">
                        <c:v>84702.765987382241</c:v>
                      </c:pt>
                      <c:pt idx="447" formatCode="General">
                        <c:v>86447.726698322294</c:v>
                      </c:pt>
                      <c:pt idx="448" formatCode="General">
                        <c:v>88150.051740203809</c:v>
                      </c:pt>
                      <c:pt idx="449" formatCode="General">
                        <c:v>89811.144878341001</c:v>
                      </c:pt>
                      <c:pt idx="450" formatCode="General">
                        <c:v>91432.318721683783</c:v>
                      </c:pt>
                      <c:pt idx="451" formatCode="General">
                        <c:v>93014.802525993247</c:v>
                      </c:pt>
                      <c:pt idx="452" formatCode="General">
                        <c:v>94559.749187153415</c:v>
                      </c:pt>
                      <c:pt idx="453" formatCode="General">
                        <c:v>96068.241519098287</c:v>
                      </c:pt>
                      <c:pt idx="454" formatCode="General">
                        <c:v>97541.297899242549</c:v>
                      </c:pt>
                      <c:pt idx="455" formatCode="General">
                        <c:v>98979.877354058845</c:v>
                      </c:pt>
                      <c:pt idx="456" formatCode="General">
                        <c:v>100384.88414844016</c:v>
                      </c:pt>
                      <c:pt idx="457" formatCode="General">
                        <c:v>101757.17193460633</c:v>
                      </c:pt>
                      <c:pt idx="458" formatCode="General">
                        <c:v>103097.54750943556</c:v>
                      </c:pt>
                      <c:pt idx="459" formatCode="General">
                        <c:v>104406.77422310803</c:v>
                      </c:pt>
                      <c:pt idx="460" formatCode="General">
                        <c:v>105685.57507673001</c:v>
                      </c:pt>
                      <c:pt idx="461" formatCode="General">
                        <c:v>106934.635542064</c:v>
                      </c:pt>
                      <c:pt idx="462" formatCode="General">
                        <c:v>108154.60613253601</c:v>
                      </c:pt>
                      <c:pt idx="463" formatCode="General">
                        <c:v>109346.10475124489</c:v>
                      </c:pt>
                      <c:pt idx="464" formatCode="General">
                        <c:v>110509.71883869644</c:v>
                      </c:pt>
                      <c:pt idx="465" formatCode="General">
                        <c:v>111646.00734036276</c:v>
                      </c:pt>
                      <c:pt idx="466" formatCode="General">
                        <c:v>112755.50251187805</c:v>
                      </c:pt>
                      <c:pt idx="467" formatCode="General">
                        <c:v>113838.71157767814</c:v>
                      </c:pt>
                      <c:pt idx="468" formatCode="General">
                        <c:v>114896.11825713651</c:v>
                      </c:pt>
                      <c:pt idx="469" formatCode="General">
                        <c:v>115928.18417070899</c:v>
                      </c:pt>
                      <c:pt idx="470" formatCode="General">
                        <c:v>116935.35013724738</c:v>
                      </c:pt>
                      <c:pt idx="471" formatCode="General">
                        <c:v>117918.03737245071</c:v>
                      </c:pt>
                      <c:pt idx="472" formatCode="General">
                        <c:v>118876.64859737424</c:v>
                      </c:pt>
                      <c:pt idx="473" formatCode="General">
                        <c:v>119811.5690649896</c:v>
                      </c:pt>
                      <c:pt idx="474" formatCode="General">
                        <c:v>120723.16751197071</c:v>
                      </c:pt>
                      <c:pt idx="475" formatCode="General">
                        <c:v>121611.79704215443</c:v>
                      </c:pt>
                      <c:pt idx="476" formatCode="General">
                        <c:v>122477.79594748233</c:v>
                      </c:pt>
                      <c:pt idx="477" formatCode="General">
                        <c:v>123321.48847165762</c:v>
                      </c:pt>
                      <c:pt idx="478" formatCode="General">
                        <c:v>124143.18552124375</c:v>
                      </c:pt>
                      <c:pt idx="479" formatCode="General">
                        <c:v>124943.18532847756</c:v>
                      </c:pt>
                      <c:pt idx="480" formatCode="General">
                        <c:v>125721.77406966567</c:v>
                      </c:pt>
                      <c:pt idx="481" formatCode="General">
                        <c:v>126479.2264426719</c:v>
                      </c:pt>
                      <c:pt idx="482" formatCode="General">
                        <c:v>127215.80620667941</c:v>
                      </c:pt>
                      <c:pt idx="483" formatCode="General">
                        <c:v>127931.76668712198</c:v>
                      </c:pt>
                      <c:pt idx="484" formatCode="General">
                        <c:v>128627.35124841843</c:v>
                      </c:pt>
                      <c:pt idx="485" formatCode="General">
                        <c:v>129302.79373690995</c:v>
                      </c:pt>
                      <c:pt idx="486" formatCode="General">
                        <c:v>129958.31889619028</c:v>
                      </c:pt>
                      <c:pt idx="487" formatCode="General">
                        <c:v>130594.14275682818</c:v>
                      </c:pt>
                      <c:pt idx="488" formatCode="General">
                        <c:v>131210.47300231096</c:v>
                      </c:pt>
                      <c:pt idx="489" formatCode="General">
                        <c:v>131807.50931288264</c:v>
                      </c:pt>
                      <c:pt idx="490" formatCode="General">
                        <c:v>132385.44368881031</c:v>
                      </c:pt>
                      <c:pt idx="491" formatCode="General">
                        <c:v>132944.46075448583</c:v>
                      </c:pt>
                      <c:pt idx="492" formatCode="General">
                        <c:v>133484.73804465387</c:v>
                      </c:pt>
                      <c:pt idx="493" formatCode="General">
                        <c:v>134006.44627395403</c:v>
                      </c:pt>
                      <c:pt idx="494" formatCode="General">
                        <c:v>134509.74959086833</c:v>
                      </c:pt>
                      <c:pt idx="495" formatCode="General">
                        <c:v>134994.80581707988</c:v>
                      </c:pt>
                      <c:pt idx="496" formatCode="General">
                        <c:v>135461.76667316892</c:v>
                      </c:pt>
                      <c:pt idx="497" formatCode="General">
                        <c:v>135910.77799150054</c:v>
                      </c:pt>
                      <c:pt idx="498" formatCode="General">
                        <c:v>136341.9799170928</c:v>
                      </c:pt>
                      <c:pt idx="499" formatCode="General">
                        <c:v>136755.50709719324</c:v>
                      </c:pt>
                      <c:pt idx="500" formatCode="General">
                        <c:v>137151.48886023712</c:v>
                      </c:pt>
                      <c:pt idx="501" formatCode="General">
                        <c:v>137530.0493848098</c:v>
                      </c:pt>
                      <c:pt idx="502" formatCode="General">
                        <c:v>137891.3078591894</c:v>
                      </c:pt>
                      <c:pt idx="503" formatCode="General">
                        <c:v>138235.37863200309</c:v>
                      </c:pt>
                      <c:pt idx="504" formatCode="General">
                        <c:v>138562.37135449116</c:v>
                      </c:pt>
                      <c:pt idx="505" formatCode="General">
                        <c:v>138872.39111483676</c:v>
                      </c:pt>
                      <c:pt idx="506" formatCode="General">
                        <c:v>139165.53856498617</c:v>
                      </c:pt>
                      <c:pt idx="507" formatCode="General">
                        <c:v>139441.91004035273</c:v>
                      </c:pt>
                      <c:pt idx="508" formatCode="General">
                        <c:v>139701.59767277035</c:v>
                      </c:pt>
                      <c:pt idx="509" formatCode="General">
                        <c:v>139944.68949703517</c:v>
                      </c:pt>
                      <c:pt idx="510" formatCode="General">
                        <c:v>140171.2695513496</c:v>
                      </c:pt>
                      <c:pt idx="511" formatCode="General">
                        <c:v>140381.41797196082</c:v>
                      </c:pt>
                      <c:pt idx="512" formatCode="General">
                        <c:v>140575.21108226414</c:v>
                      </c:pt>
                      <c:pt idx="513" formatCode="General">
                        <c:v>140752.72147662219</c:v>
                      </c:pt>
                      <c:pt idx="514" formatCode="General">
                        <c:v>140914.01809913255</c:v>
                      </c:pt>
                      <c:pt idx="515" formatCode="General">
                        <c:v>141059.16631755966</c:v>
                      </c:pt>
                      <c:pt idx="516" formatCode="General">
                        <c:v>141188.22799263007</c:v>
                      </c:pt>
                      <c:pt idx="517" formatCode="General">
                        <c:v>141301.26154287611</c:v>
                      </c:pt>
                      <c:pt idx="518" formatCode="General">
                        <c:v>141398.32200519813</c:v>
                      </c:pt>
                      <c:pt idx="519" formatCode="General">
                        <c:v>141479.46109130286</c:v>
                      </c:pt>
                      <c:pt idx="520" formatCode="General">
                        <c:v>141544.72724016232</c:v>
                      </c:pt>
                      <c:pt idx="521" formatCode="General">
                        <c:v>141594.16566662688</c:v>
                      </c:pt>
                      <c:pt idx="522" formatCode="General">
                        <c:v>141627.81840631383</c:v>
                      </c:pt>
                      <c:pt idx="523" formatCode="General">
                        <c:v>141645.72435688306</c:v>
                      </c:pt>
                      <c:pt idx="524" formatCode="General">
                        <c:v>141647.919315801</c:v>
                      </c:pt>
                      <c:pt idx="525" formatCode="General">
                        <c:v>141634.43601468467</c:v>
                      </c:pt>
                      <c:pt idx="526" formatCode="General">
                        <c:v>141605.30415030778</c:v>
                      </c:pt>
                      <c:pt idx="527" formatCode="General">
                        <c:v>141560.55041234306</c:v>
                      </c:pt>
                      <c:pt idx="528" formatCode="General">
                        <c:v>141500.19850790562</c:v>
                      </c:pt>
                      <c:pt idx="529" formatCode="General">
                        <c:v>141424.26918295433</c:v>
                      </c:pt>
                      <c:pt idx="530" formatCode="General">
                        <c:v>141332.78024060011</c:v>
                      </c:pt>
                      <c:pt idx="531" formatCode="General">
                        <c:v>141225.74655636225</c:v>
                      </c:pt>
                      <c:pt idx="532" formatCode="General">
                        <c:v>141103.18009040647</c:v>
                      </c:pt>
                      <c:pt idx="533" formatCode="General">
                        <c:v>140965.0898967906</c:v>
                      </c:pt>
                      <c:pt idx="534" formatCode="General">
                        <c:v>140811.4821297368</c:v>
                      </c:pt>
                      <c:pt idx="535" formatCode="General">
                        <c:v>140642.36004694187</c:v>
                      </c:pt>
                      <c:pt idx="536" formatCode="General">
                        <c:v>140457.72400992954</c:v>
                      </c:pt>
                      <c:pt idx="537" formatCode="General">
                        <c:v>140257.57148144225</c:v>
                      </c:pt>
                      <c:pt idx="538" formatCode="General">
                        <c:v>140041.89701986164</c:v>
                      </c:pt>
                      <c:pt idx="539" formatCode="General">
                        <c:v>139810.69227064072</c:v>
                      </c:pt>
                      <c:pt idx="540" formatCode="General">
                        <c:v>139563.94595472238</c:v>
                      </c:pt>
                      <c:pt idx="541" formatCode="General">
                        <c:v>139301.64385391204</c:v>
                      </c:pt>
                      <c:pt idx="542" formatCode="General">
                        <c:v>139023.76879316391</c:v>
                      </c:pt>
                      <c:pt idx="543" formatCode="General">
                        <c:v>138730.3006197334</c:v>
                      </c:pt>
                      <c:pt idx="544" formatCode="General">
                        <c:v>138421.21617913916</c:v>
                      </c:pt>
                      <c:pt idx="545" formatCode="General">
                        <c:v>138096.4892878703</c:v>
                      </c:pt>
                      <c:pt idx="546" formatCode="General">
                        <c:v>137756.0907027658</c:v>
                      </c:pt>
                      <c:pt idx="547" formatCode="General">
                        <c:v>137399.988086984</c:v>
                      </c:pt>
                      <c:pt idx="548" formatCode="General">
                        <c:v>137028.14597247014</c:v>
                      </c:pt>
                      <c:pt idx="549" formatCode="General">
                        <c:v>136640.52571882121</c:v>
                      </c:pt>
                      <c:pt idx="550" formatCode="General">
                        <c:v>136237.08546843557</c:v>
                      </c:pt>
                      <c:pt idx="551" formatCode="General">
                        <c:v>135817.78009782522</c:v>
                      </c:pt>
                      <c:pt idx="552" formatCode="General">
                        <c:v>135382.56116495625</c:v>
                      </c:pt>
                      <c:pt idx="553" formatCode="General">
                        <c:v>134931.37685247083</c:v>
                      </c:pt>
                      <c:pt idx="554" formatCode="General">
                        <c:v>134464.17190663196</c:v>
                      </c:pt>
                      <c:pt idx="555" formatCode="General">
                        <c:v>133980.88757181738</c:v>
                      </c:pt>
                      <c:pt idx="556" formatCode="General">
                        <c:v>133481.46152037487</c:v>
                      </c:pt>
                      <c:pt idx="557" formatCode="General">
                        <c:v>132965.82777763598</c:v>
                      </c:pt>
                      <c:pt idx="558" formatCode="General">
                        <c:v>132433.91664186746</c:v>
                      </c:pt>
                      <c:pt idx="559" formatCode="General">
                        <c:v>131885.6545989227</c:v>
                      </c:pt>
                      <c:pt idx="560" formatCode="General">
                        <c:v>131320.96423133559</c:v>
                      </c:pt>
                      <c:pt idx="561" formatCode="General">
                        <c:v>130739.76412157869</c:v>
                      </c:pt>
                      <c:pt idx="562" formatCode="General">
                        <c:v>130141.96874918554</c:v>
                      </c:pt>
                      <c:pt idx="563" formatCode="General">
                        <c:v>129527.48838141255</c:v>
                      </c:pt>
                      <c:pt idx="564" formatCode="General">
                        <c:v>128896.22895709006</c:v>
                      </c:pt>
                      <c:pt idx="565" formatCode="General">
                        <c:v>128248.09196328424</c:v>
                      </c:pt>
                      <c:pt idx="566" formatCode="General">
                        <c:v>127582.97430436091</c:v>
                      </c:pt>
                      <c:pt idx="567" formatCode="General">
                        <c:v>126900.76816300952</c:v>
                      </c:pt>
                      <c:pt idx="568" formatCode="General">
                        <c:v>126201.36085274977</c:v>
                      </c:pt>
                      <c:pt idx="569" formatCode="General">
                        <c:v>125484.63466140439</c:v>
                      </c:pt>
                      <c:pt idx="570" formatCode="General">
                        <c:v>124750.46668497946</c:v>
                      </c:pt>
                      <c:pt idx="571" formatCode="General">
                        <c:v>123998.7286513475</c:v>
                      </c:pt>
                      <c:pt idx="572" formatCode="General">
                        <c:v>123229.28673307816</c:v>
                      </c:pt>
                      <c:pt idx="573" formatCode="General">
                        <c:v>122442.00134870701</c:v>
                      </c:pt>
                      <c:pt idx="574" formatCode="General">
                        <c:v>121636.72695167222</c:v>
                      </c:pt>
                      <c:pt idx="575" formatCode="General">
                        <c:v>120813.31180608388</c:v>
                      </c:pt>
                      <c:pt idx="576" formatCode="General">
                        <c:v>119971.59774841867</c:v>
                      </c:pt>
                      <c:pt idx="577" formatCode="General">
                        <c:v>119111.41993415347</c:v>
                      </c:pt>
                      <c:pt idx="578" formatCode="General">
                        <c:v>118232.60656826526</c:v>
                      </c:pt>
                      <c:pt idx="579" formatCode="General">
                        <c:v>117334.97861842917</c:v>
                      </c:pt>
                      <c:pt idx="580" formatCode="General">
                        <c:v>116418.34950964204</c:v>
                      </c:pt>
                      <c:pt idx="581" formatCode="General">
                        <c:v>115482.52479888289</c:v>
                      </c:pt>
                      <c:pt idx="582" formatCode="General">
                        <c:v>114527.30182829518</c:v>
                      </c:pt>
                      <c:pt idx="583" formatCode="General">
                        <c:v>113552.46935523412</c:v>
                      </c:pt>
                      <c:pt idx="584" formatCode="General">
                        <c:v>112557.80715736758</c:v>
                      </c:pt>
                      <c:pt idx="585" formatCode="General">
                        <c:v>111543.08561084686</c:v>
                      </c:pt>
                      <c:pt idx="586" formatCode="General">
                        <c:v>110508.06523937271</c:v>
                      </c:pt>
                      <c:pt idx="587" formatCode="General">
                        <c:v>109452.49623177089</c:v>
                      </c:pt>
                      <c:pt idx="588" formatCode="General">
                        <c:v>108376.11792545678</c:v>
                      </c:pt>
                      <c:pt idx="589" formatCode="General">
                        <c:v>107278.65825290733</c:v>
                      </c:pt>
                      <c:pt idx="590" formatCode="General">
                        <c:v>106159.83314796898</c:v>
                      </c:pt>
                      <c:pt idx="591" formatCode="General">
                        <c:v>105019.34590850644</c:v>
                      </c:pt>
                      <c:pt idx="592" formatCode="General">
                        <c:v>103856.88651153767</c:v>
                      </c:pt>
                      <c:pt idx="593" formatCode="General">
                        <c:v>102672.13087659824</c:v>
                      </c:pt>
                      <c:pt idx="594" formatCode="General">
                        <c:v>101464.74007263048</c:v>
                      </c:pt>
                      <c:pt idx="595" formatCode="General">
                        <c:v>100234.35946319181</c:v>
                      </c:pt>
                      <c:pt idx="596" formatCode="General">
                        <c:v>98980.617784218062</c:v>
                      </c:pt>
                      <c:pt idx="597" formatCode="General">
                        <c:v>97703.126147952498</c:v>
                      </c:pt>
                      <c:pt idx="598" formatCode="General">
                        <c:v>96401.476965953538</c:v>
                      </c:pt>
                      <c:pt idx="599" formatCode="General">
                        <c:v>95075.242783314825</c:v>
                      </c:pt>
                      <c:pt idx="600" formatCode="General">
                        <c:v>93723.975015361386</c:v>
                      </c:pt>
                      <c:pt idx="601" formatCode="General">
                        <c:v>92347.20257711655</c:v>
                      </c:pt>
                      <c:pt idx="602" formatCode="General">
                        <c:v>90944.430394756317</c:v>
                      </c:pt>
                      <c:pt idx="603" formatCode="General">
                        <c:v>89515.137787071682</c:v>
                      </c:pt>
                      <c:pt idx="604" formatCode="General">
                        <c:v>88058.776703639363</c:v>
                      </c:pt>
                      <c:pt idx="605" formatCode="General">
                        <c:v>86574.769804949581</c:v>
                      </c:pt>
                      <c:pt idx="606" formatCode="General">
                        <c:v>85062.508368158451</c:v>
                      </c:pt>
                      <c:pt idx="607" formatCode="General">
                        <c:v>83521.350000426901</c:v>
                      </c:pt>
                      <c:pt idx="608" formatCode="General">
                        <c:v>81950.616139997714</c:v>
                      </c:pt>
                      <c:pt idx="609" formatCode="General">
                        <c:v>80349.589323284512</c:v>
                      </c:pt>
                      <c:pt idx="610" formatCode="General">
                        <c:v>78717.510194366128</c:v>
                      </c:pt>
                      <c:pt idx="611" formatCode="General">
                        <c:v>77053.57423150618</c:v>
                      </c:pt>
                      <c:pt idx="612" formatCode="General">
                        <c:v>75356.928163824239</c:v>
                      </c:pt>
                      <c:pt idx="613" formatCode="General">
                        <c:v>73626.666050303218</c:v>
                      </c:pt>
                      <c:pt idx="614" formatCode="General">
                        <c:v>71861.824993347502</c:v>
                      </c:pt>
                      <c:pt idx="615" formatCode="General">
                        <c:v>70061.380460751359</c:v>
                      </c:pt>
                      <c:pt idx="616" formatCode="General">
                        <c:v>68224.241194176837</c:v>
                      </c:pt>
                      <c:pt idx="617" formatCode="General">
                        <c:v>66349.243690569798</c:v>
                      </c:pt>
                      <c:pt idx="618" formatCode="General">
                        <c:v>64435.146257637789</c:v>
                      </c:pt>
                      <c:pt idx="619" formatCode="General">
                        <c:v>62480.622669053002</c:v>
                      </c:pt>
                      <c:pt idx="620" formatCode="General">
                        <c:v>60484.255484763809</c:v>
                      </c:pt>
                      <c:pt idx="621" formatCode="General">
                        <c:v>58444.529164923515</c:v>
                      </c:pt>
                      <c:pt idx="622" formatCode="General">
                        <c:v>56359.823205231536</c:v>
                      </c:pt>
                      <c:pt idx="623" formatCode="General">
                        <c:v>54228.405676845323</c:v>
                      </c:pt>
                      <c:pt idx="624" formatCode="General">
                        <c:v>52048.427796783959</c:v>
                      </c:pt>
                      <c:pt idx="625" formatCode="General">
                        <c:v>49817.920534542769</c:v>
                      </c:pt>
                      <c:pt idx="626" formatCode="General">
                        <c:v>47534.794856718821</c:v>
                      </c:pt>
                      <c:pt idx="627" formatCode="General">
                        <c:v>45196.848151188671</c:v>
                      </c:pt>
                      <c:pt idx="628" formatCode="General">
                        <c:v>42801.780861602572</c:v>
                      </c:pt>
                      <c:pt idx="629" formatCode="General">
                        <c:v>40347.229734998953</c:v>
                      </c:pt>
                      <c:pt idx="630" formatCode="General">
                        <c:v>37830.827878411685</c:v>
                      </c:pt>
                      <c:pt idx="631" formatCode="General">
                        <c:v>35250.307892373807</c:v>
                      </c:pt>
                      <c:pt idx="632" formatCode="General">
                        <c:v>32603.674025078402</c:v>
                      </c:pt>
                      <c:pt idx="633" formatCode="General">
                        <c:v>29889.484472969714</c:v>
                      </c:pt>
                      <c:pt idx="634" formatCode="General">
                        <c:v>27107.307908023391</c:v>
                      </c:pt>
                      <c:pt idx="635" formatCode="General">
                        <c:v>24258.45019004506</c:v>
                      </c:pt>
                      <c:pt idx="636" formatCode="General">
                        <c:v>21347.082638314751</c:v>
                      </c:pt>
                      <c:pt idx="637" formatCode="General">
                        <c:v>18381.914476731454</c:v>
                      </c:pt>
                      <c:pt idx="638" formatCode="General">
                        <c:v>15378.452197181989</c:v>
                      </c:pt>
                      <c:pt idx="639" formatCode="General">
                        <c:v>12361.47623328028</c:v>
                      </c:pt>
                      <c:pt idx="640" formatCode="General">
                        <c:v>9366.3579971285544</c:v>
                      </c:pt>
                      <c:pt idx="641" formatCode="General">
                        <c:v>6436.3789257426306</c:v>
                      </c:pt>
                      <c:pt idx="642" formatCode="General">
                        <c:v>3613.0832049205628</c:v>
                      </c:pt>
                      <c:pt idx="643" formatCode="General">
                        <c:v>921.01376709525596</c:v>
                      </c:pt>
                      <c:pt idx="644" formatCode="General">
                        <c:v>-1644.3033883987757</c:v>
                      </c:pt>
                      <c:pt idx="645" formatCode="General">
                        <c:v>-4113.9242888203007</c:v>
                      </c:pt>
                      <c:pt idx="646" formatCode="General">
                        <c:v>-6523.5751044691697</c:v>
                      </c:pt>
                      <c:pt idx="647" formatCode="General">
                        <c:v>-8876.6994237424242</c:v>
                      </c:pt>
                      <c:pt idx="648" formatCode="General">
                        <c:v>-11104.739445447749</c:v>
                      </c:pt>
                      <c:pt idx="649" formatCode="General">
                        <c:v>-13046.74102935128</c:v>
                      </c:pt>
                      <c:pt idx="650" formatCode="General">
                        <c:v>-14524.941645850202</c:v>
                      </c:pt>
                      <c:pt idx="651" formatCode="General">
                        <c:v>-15500.489633323341</c:v>
                      </c:pt>
                      <c:pt idx="652" formatCode="General">
                        <c:v>-16080.667806319121</c:v>
                      </c:pt>
                      <c:pt idx="653" formatCode="General">
                        <c:v>-16392.111709441502</c:v>
                      </c:pt>
                      <c:pt idx="654" formatCode="General">
                        <c:v>-16522.871799258999</c:v>
                      </c:pt>
                      <c:pt idx="655" formatCode="General">
                        <c:v>-16527.664660970877</c:v>
                      </c:pt>
                      <c:pt idx="656" formatCode="General">
                        <c:v>-16440.834258197778</c:v>
                      </c:pt>
                      <c:pt idx="657" formatCode="General">
                        <c:v>-16284.826073730022</c:v>
                      </c:pt>
                      <c:pt idx="658" formatCode="General">
                        <c:v>-16074.960805531075</c:v>
                      </c:pt>
                      <c:pt idx="659" formatCode="General">
                        <c:v>-15822.114208753561</c:v>
                      </c:pt>
                      <c:pt idx="660" formatCode="General">
                        <c:v>-15534.270959061456</c:v>
                      </c:pt>
                      <c:pt idx="661" formatCode="General">
                        <c:v>-15217.462499324422</c:v>
                      </c:pt>
                      <c:pt idx="662" formatCode="General">
                        <c:v>-14876.355801542724</c:v>
                      </c:pt>
                      <c:pt idx="663" formatCode="General">
                        <c:v>-14514.636547402284</c:v>
                      </c:pt>
                      <c:pt idx="664" formatCode="General">
                        <c:v>-14135.266675071824</c:v>
                      </c:pt>
                      <c:pt idx="665" formatCode="General">
                        <c:v>-13740.662493104042</c:v>
                      </c:pt>
                      <c:pt idx="666" formatCode="General">
                        <c:v>-13332.82100569728</c:v>
                      </c:pt>
                      <c:pt idx="667" formatCode="General">
                        <c:v>-12913.411529388235</c:v>
                      </c:pt>
                      <c:pt idx="668" formatCode="General">
                        <c:v>-12483.843466803242</c:v>
                      </c:pt>
                      <c:pt idx="669" formatCode="General">
                        <c:v>-12045.317334994781</c:v>
                      </c:pt>
                      <c:pt idx="670" formatCode="General">
                        <c:v>-11598.86379683664</c:v>
                      </c:pt>
                      <c:pt idx="671" formatCode="General">
                        <c:v>-11145.373941976299</c:v>
                      </c:pt>
                      <c:pt idx="672" formatCode="General">
                        <c:v>-10685.623081041149</c:v>
                      </c:pt>
                      <c:pt idx="673" formatCode="General">
                        <c:v>-10220.289660001685</c:v>
                      </c:pt>
                      <c:pt idx="674" formatCode="General">
                        <c:v>-9749.9704541217707</c:v>
                      </c:pt>
                      <c:pt idx="675" formatCode="General">
                        <c:v>-9275.1928906286175</c:v>
                      </c:pt>
                      <c:pt idx="676" formatCode="General">
                        <c:v>-8796.4251305416892</c:v>
                      </c:pt>
                      <c:pt idx="677" formatCode="General">
                        <c:v>-8314.0843836488657</c:v>
                      </c:pt>
                      <c:pt idx="678" formatCode="General">
                        <c:v>-7828.5438171424785</c:v>
                      </c:pt>
                      <c:pt idx="679" formatCode="General">
                        <c:v>-7340.1383350675069</c:v>
                      </c:pt>
                      <c:pt idx="680" formatCode="General">
                        <c:v>-6849.169443770018</c:v>
                      </c:pt>
                      <c:pt idx="681" formatCode="General">
                        <c:v>-6355.9093719663551</c:v>
                      </c:pt>
                      <c:pt idx="682" formatCode="General">
                        <c:v>-5860.604578698164</c:v>
                      </c:pt>
                      <c:pt idx="683" formatCode="General">
                        <c:v>-5363.4787553390397</c:v>
                      </c:pt>
                      <c:pt idx="684" formatCode="General">
                        <c:v>-4864.7354068619507</c:v>
                      </c:pt>
                      <c:pt idx="685" formatCode="General">
                        <c:v>-4364.5600812349567</c:v>
                      </c:pt>
                      <c:pt idx="686" formatCode="General">
                        <c:v>-3863.1223029700045</c:v>
                      </c:pt>
                      <c:pt idx="687" formatCode="General">
                        <c:v>-3360.5772566823948</c:v>
                      </c:pt>
                      <c:pt idx="688" formatCode="General">
                        <c:v>-2857.0672584137965</c:v>
                      </c:pt>
                      <c:pt idx="689" formatCode="General">
                        <c:v>-2352.7230459689663</c:v>
                      </c:pt>
                      <c:pt idx="690" formatCode="General">
                        <c:v>-1847.664914266893</c:v>
                      </c:pt>
                      <c:pt idx="691" formatCode="General">
                        <c:v>-1342.0037174447295</c:v>
                      </c:pt>
                      <c:pt idx="692" formatCode="General">
                        <c:v>-835.84175597301657</c:v>
                      </c:pt>
                      <c:pt idx="693" formatCode="General">
                        <c:v>-329.27356418484487</c:v>
                      </c:pt>
                      <c:pt idx="694" formatCode="General">
                        <c:v>177.61338873369158</c:v>
                      </c:pt>
                      <c:pt idx="695" formatCode="General">
                        <c:v>684.73807319601588</c:v>
                      </c:pt>
                      <c:pt idx="696" formatCode="General">
                        <c:v>1192.0253396391497</c:v>
                      </c:pt>
                      <c:pt idx="697" formatCode="General">
                        <c:v>1699.4054168056239</c:v>
                      </c:pt>
                      <c:pt idx="698" formatCode="General">
                        <c:v>2206.813460908882</c:v>
                      </c:pt>
                      <c:pt idx="699" formatCode="General">
                        <c:v>2714.1891496677536</c:v>
                      </c:pt>
                      <c:pt idx="700" formatCode="General">
                        <c:v>3221.4763160072571</c:v>
                      </c:pt>
                      <c:pt idx="701" formatCode="General">
                        <c:v>3728.6226169117667</c:v>
                      </c:pt>
                      <c:pt idx="702" formatCode="General">
                        <c:v>4235.5792335030146</c:v>
                      </c:pt>
                      <c:pt idx="703" formatCode="General">
                        <c:v>4742.3005989163485</c:v>
                      </c:pt>
                      <c:pt idx="704" formatCode="General">
                        <c:v>5248.7441509778855</c:v>
                      </c:pt>
                      <c:pt idx="705" formatCode="General">
                        <c:v>5754.8701070540801</c:v>
                      </c:pt>
                      <c:pt idx="706" formatCode="General">
                        <c:v>6260.6412587631457</c:v>
                      </c:pt>
                      <c:pt idx="707" formatCode="General">
                        <c:v>6766.0227845125246</c:v>
                      </c:pt>
                      <c:pt idx="708" formatCode="General">
                        <c:v>7270.9820780646733</c:v>
                      </c:pt>
                      <c:pt idx="709" formatCode="General">
                        <c:v>7775.4885915402665</c:v>
                      </c:pt>
                      <c:pt idx="710" formatCode="General">
                        <c:v>8279.5136914480227</c:v>
                      </c:pt>
                      <c:pt idx="711" formatCode="General">
                        <c:v>8783.0305264875733</c:v>
                      </c:pt>
                      <c:pt idx="712" formatCode="General">
                        <c:v>9286.0139060093734</c:v>
                      </c:pt>
                      <c:pt idx="713" formatCode="General">
                        <c:v>9788.4401881362337</c:v>
                      </c:pt>
                      <c:pt idx="714" formatCode="General">
                        <c:v>10290.287176657041</c:v>
                      </c:pt>
                      <c:pt idx="715" formatCode="General">
                        <c:v>10791.534025896557</c:v>
                      </c:pt>
                      <c:pt idx="716" formatCode="General">
                        <c:v>11292.161152847511</c:v>
                      </c:pt>
                      <c:pt idx="717" formatCode="General">
                        <c:v>11792.150155923939</c:v>
                      </c:pt>
                      <c:pt idx="718" formatCode="General">
                        <c:v>12291.483739759216</c:v>
                      </c:pt>
                      <c:pt idx="719" formatCode="General">
                        <c:v>12790.145645529377</c:v>
                      </c:pt>
                      <c:pt idx="720" formatCode="General">
                        <c:v>13288.120586333096</c:v>
                      </c:pt>
                      <c:pt idx="721" formatCode="General">
                        <c:v>13785.394187205022</c:v>
                      </c:pt>
                      <c:pt idx="722" formatCode="General">
                        <c:v>14281.952929379393</c:v>
                      </c:pt>
                      <c:pt idx="723" formatCode="General">
                        <c:v>14777.784098456956</c:v>
                      </c:pt>
                      <c:pt idx="724" formatCode="General">
                        <c:v>15272.875736160404</c:v>
                      </c:pt>
                      <c:pt idx="725" formatCode="General">
                        <c:v>15767.216595392409</c:v>
                      </c:pt>
                      <c:pt idx="726" formatCode="General">
                        <c:v>16260.796098336255</c:v>
                      </c:pt>
                      <c:pt idx="727" formatCode="General">
                        <c:v>16753.604297362297</c:v>
                      </c:pt>
                      <c:pt idx="728" formatCode="General">
                        <c:v>17245.631838524438</c:v>
                      </c:pt>
                      <c:pt idx="729" formatCode="General">
                        <c:v>17736.869927449658</c:v>
                      </c:pt>
                      <c:pt idx="730" formatCode="General">
                        <c:v>18227.310297440672</c:v>
                      </c:pt>
                      <c:pt idx="731" formatCode="General">
                        <c:v>18716.945179627055</c:v>
                      </c:pt>
                      <c:pt idx="732" formatCode="General">
                        <c:v>19205.76727501423</c:v>
                      </c:pt>
                      <c:pt idx="733" formatCode="General">
                        <c:v>19693.769728292118</c:v>
                      </c:pt>
                      <c:pt idx="734" formatCode="General">
                        <c:v>20180.946103276794</c:v>
                      </c:pt>
                      <c:pt idx="735" formatCode="General">
                        <c:v>20667.290359868741</c:v>
                      </c:pt>
                      <c:pt idx="736" formatCode="General">
                        <c:v>21152.79683242074</c:v>
                      </c:pt>
                      <c:pt idx="737" formatCode="General">
                        <c:v>21637.460209416993</c:v>
                      </c:pt>
                      <c:pt idx="738" formatCode="General">
                        <c:v>22121.275514372843</c:v>
                      </c:pt>
                      <c:pt idx="739" formatCode="General">
                        <c:v>22604.238087871508</c:v>
                      </c:pt>
                      <c:pt idx="740" formatCode="General">
                        <c:v>23086.343570660847</c:v>
                      </c:pt>
                      <c:pt idx="741" formatCode="General">
                        <c:v>23567.587887738904</c:v>
                      </c:pt>
                      <c:pt idx="742" formatCode="General">
                        <c:v>24047.967233362549</c:v>
                      </c:pt>
                      <c:pt idx="743" formatCode="General">
                        <c:v>24527.478056918397</c:v>
                      </c:pt>
                      <c:pt idx="744" formatCode="General">
                        <c:v>25006.117049599699</c:v>
                      </c:pt>
                      <c:pt idx="745" formatCode="General">
                        <c:v>25483.881131837112</c:v>
                      </c:pt>
                      <c:pt idx="746" formatCode="General">
                        <c:v>25960.767441435004</c:v>
                      </c:pt>
                      <c:pt idx="747" formatCode="General">
                        <c:v>26436.773322368499</c:v>
                      </c:pt>
                      <c:pt idx="748" formatCode="General">
                        <c:v>26911.896314199614</c:v>
                      </c:pt>
                      <c:pt idx="749" formatCode="General">
                        <c:v>27386.134142073883</c:v>
                      </c:pt>
                      <c:pt idx="750" formatCode="General">
                        <c:v>27859.484707261527</c:v>
                      </c:pt>
                      <c:pt idx="751" formatCode="General">
                        <c:v>28331.94607820973</c:v>
                      </c:pt>
                      <c:pt idx="752" formatCode="General">
                        <c:v>28803.51648207492</c:v>
                      </c:pt>
                      <c:pt idx="753" formatCode="General">
                        <c:v>29274.194296706108</c:v>
                      </c:pt>
                      <c:pt idx="754" formatCode="General">
                        <c:v>29743.978043052222</c:v>
                      </c:pt>
                      <c:pt idx="755" formatCode="General">
                        <c:v>30212.866377968312</c:v>
                      </c:pt>
                      <c:pt idx="756" formatCode="General">
                        <c:v>30680.858087397079</c:v>
                      </c:pt>
                      <c:pt idx="757" formatCode="General">
                        <c:v>31147.952079903796</c:v>
                      </c:pt>
                      <c:pt idx="758" formatCode="General">
                        <c:v>31614.147380544142</c:v>
                      </c:pt>
                      <c:pt idx="759" formatCode="General">
                        <c:v>32079.443125045731</c:v>
                      </c:pt>
                      <c:pt idx="760" formatCode="General">
                        <c:v>32543.838554285467</c:v>
                      </c:pt>
                      <c:pt idx="761" formatCode="General">
                        <c:v>33007.333009045913</c:v>
                      </c:pt>
                      <c:pt idx="762" formatCode="General">
                        <c:v>33469.925925034964</c:v>
                      </c:pt>
                      <c:pt idx="763" formatCode="General">
                        <c:v>33931.616828154125</c:v>
                      </c:pt>
                      <c:pt idx="764" formatCode="General">
                        <c:v>34392.405330001609</c:v>
                      </c:pt>
                      <c:pt idx="765" formatCode="General">
                        <c:v>34852.291123597264</c:v>
                      </c:pt>
                      <c:pt idx="766" formatCode="General">
                        <c:v>35311.273979317251</c:v>
                      </c:pt>
                      <c:pt idx="767" formatCode="General">
                        <c:v>35769.353741027066</c:v>
                      </c:pt>
                      <c:pt idx="768" formatCode="General">
                        <c:v>36226.530322402126</c:v>
                      </c:pt>
                      <c:pt idx="769" formatCode="General">
                        <c:v>36682.80370342602</c:v>
                      </c:pt>
                      <c:pt idx="770" formatCode="General">
                        <c:v>37138.1739270568</c:v>
                      </c:pt>
                      <c:pt idx="771" formatCode="General">
                        <c:v>37592.641096052517</c:v>
                      </c:pt>
                      <c:pt idx="772" formatCode="General">
                        <c:v>38046.205369947653</c:v>
                      </c:pt>
                      <c:pt idx="773" formatCode="General">
                        <c:v>38498.866962172469</c:v>
                      </c:pt>
                      <c:pt idx="774" formatCode="General">
                        <c:v>38950.626137307954</c:v>
                      </c:pt>
                      <c:pt idx="775" formatCode="General">
                        <c:v>39401.483208469355</c:v>
                      </c:pt>
                      <c:pt idx="776" formatCode="General">
                        <c:v>39851.438534811641</c:v>
                      </c:pt>
                      <c:pt idx="777" formatCode="General">
                        <c:v>40300.492519150815</c:v>
                      </c:pt>
                      <c:pt idx="778" formatCode="General">
                        <c:v>40748.645605695077</c:v>
                      </c:pt>
                      <c:pt idx="779" formatCode="General">
                        <c:v>41195.898277880391</c:v>
                      </c:pt>
                      <c:pt idx="780" formatCode="General">
                        <c:v>41642.251056305227</c:v>
                      </c:pt>
                      <c:pt idx="781" formatCode="General">
                        <c:v>42087.704496759492</c:v>
                      </c:pt>
                      <c:pt idx="782" formatCode="General">
                        <c:v>42532.25918834308</c:v>
                      </c:pt>
                      <c:pt idx="783" formatCode="General">
                        <c:v>42975.915751669563</c:v>
                      </c:pt>
                      <c:pt idx="784" formatCode="General">
                        <c:v>43418.674837150866</c:v>
                      </c:pt>
                      <c:pt idx="785" formatCode="General">
                        <c:v>43860.537123359056</c:v>
                      </c:pt>
                      <c:pt idx="786" formatCode="General">
                        <c:v>44301.503315461421</c:v>
                      </c:pt>
                      <c:pt idx="787" formatCode="General">
                        <c:v>44741.574143725375</c:v>
                      </c:pt>
                      <c:pt idx="788" formatCode="General">
                        <c:v>45180.75036208985</c:v>
                      </c:pt>
                      <c:pt idx="789" formatCode="General">
                        <c:v>45619.032746799967</c:v>
                      </c:pt>
                      <c:pt idx="790" formatCode="General">
                        <c:v>46056.422095102032</c:v>
                      </c:pt>
                      <c:pt idx="791" formatCode="General">
                        <c:v>46492.919223996003</c:v>
                      </c:pt>
                      <c:pt idx="792" formatCode="General">
                        <c:v>46928.524969042715</c:v>
                      </c:pt>
                      <c:pt idx="793" formatCode="General">
                        <c:v>47363.240183223352</c:v>
                      </c:pt>
                      <c:pt idx="794" formatCode="General">
                        <c:v>47797.065735848693</c:v>
                      </c:pt>
                      <c:pt idx="795" formatCode="General">
                        <c:v>48230.002511515864</c:v>
                      </c:pt>
                      <c:pt idx="796" formatCode="General">
                        <c:v>48662.051409110405</c:v>
                      </c:pt>
                      <c:pt idx="797" formatCode="General">
                        <c:v>49093.213340851558</c:v>
                      </c:pt>
                      <c:pt idx="798" formatCode="General">
                        <c:v>49523.489231378873</c:v>
                      </c:pt>
                      <c:pt idx="799" formatCode="General">
                        <c:v>49952.880016878175</c:v>
                      </c:pt>
                      <c:pt idx="800" formatCode="General">
                        <c:v>50381.386644245147</c:v>
                      </c:pt>
                      <c:pt idx="801" formatCode="General">
                        <c:v>50809.010070284872</c:v>
                      </c:pt>
                      <c:pt idx="802" formatCode="General">
                        <c:v>51235.751260945697</c:v>
                      </c:pt>
                      <c:pt idx="803" formatCode="General">
                        <c:v>51661.611190585878</c:v>
                      </c:pt>
                      <c:pt idx="804" formatCode="General">
                        <c:v>52086.590841271565</c:v>
                      </c:pt>
                      <c:pt idx="805" formatCode="General">
                        <c:v>52510.691202104746</c:v>
                      </c:pt>
                      <c:pt idx="806" formatCode="General">
                        <c:v>52933.913268579854</c:v>
                      </c:pt>
                      <c:pt idx="807" formatCode="General">
                        <c:v>53356.258041967703</c:v>
                      </c:pt>
                      <c:pt idx="808" formatCode="General">
                        <c:v>53777.726528725667</c:v>
                      </c:pt>
                      <c:pt idx="809" formatCode="General">
                        <c:v>54198.319739932878</c:v>
                      </c:pt>
                      <c:pt idx="810" formatCode="General">
                        <c:v>54618.038690749388</c:v>
                      </c:pt>
                      <c:pt idx="811" formatCode="General">
                        <c:v>55036.884399898285</c:v>
                      </c:pt>
                      <c:pt idx="812" formatCode="General">
                        <c:v>55454.857889169711</c:v>
                      </c:pt>
                      <c:pt idx="813" formatCode="General">
                        <c:v>55871.960182945928</c:v>
                      </c:pt>
                      <c:pt idx="814" formatCode="General">
                        <c:v>56288.192307746474</c:v>
                      </c:pt>
                      <c:pt idx="815" formatCode="General">
                        <c:v>56703.555291792552</c:v>
                      </c:pt>
                      <c:pt idx="816" formatCode="General">
                        <c:v>57118.050164589877</c:v>
                      </c:pt>
                      <c:pt idx="817" formatCode="General">
                        <c:v>57531.67795652918</c:v>
                      </c:pt>
                      <c:pt idx="818" formatCode="General">
                        <c:v>57944.439698503615</c:v>
                      </c:pt>
                      <c:pt idx="819" formatCode="General">
                        <c:v>58356.336421542364</c:v>
                      </c:pt>
                      <c:pt idx="820" formatCode="General">
                        <c:v>58767.369156459783</c:v>
                      </c:pt>
                      <c:pt idx="821" formatCode="General">
                        <c:v>59177.53893351939</c:v>
                      </c:pt>
                      <c:pt idx="822" formatCode="General">
                        <c:v>59586.846782112181</c:v>
                      </c:pt>
                      <c:pt idx="823" formatCode="General">
                        <c:v>59995.293730448502</c:v>
                      </c:pt>
                      <c:pt idx="824" formatCode="General">
                        <c:v>60402.880805263143</c:v>
                      </c:pt>
                      <c:pt idx="825" formatCode="General">
                        <c:v>60809.609031532877</c:v>
                      </c:pt>
                      <c:pt idx="826" formatCode="General">
                        <c:v>61215.479432206135</c:v>
                      </c:pt>
                      <c:pt idx="827" formatCode="General">
                        <c:v>61620.493027944183</c:v>
                      </c:pt>
                      <c:pt idx="828" formatCode="General">
                        <c:v>62024.650836873348</c:v>
                      </c:pt>
                      <c:pt idx="829" formatCode="General">
                        <c:v>62427.953874347942</c:v>
                      </c:pt>
                      <c:pt idx="830" formatCode="General">
                        <c:v>62830.403152723309</c:v>
                      </c:pt>
                      <c:pt idx="831" formatCode="General">
                        <c:v>63231.999681138659</c:v>
                      </c:pt>
                      <c:pt idx="832" formatCode="General">
                        <c:v>63632.744465309326</c:v>
                      </c:pt>
                      <c:pt idx="833" formatCode="General">
                        <c:v>64032.63850732796</c:v>
                      </c:pt>
                      <c:pt idx="834" formatCode="General">
                        <c:v>64431.682805474396</c:v>
                      </c:pt>
                      <c:pt idx="835" formatCode="General">
                        <c:v>64829.878354033783</c:v>
                      </c:pt>
                      <c:pt idx="836" formatCode="General">
                        <c:v>65227.226143122716</c:v>
                      </c:pt>
                      <c:pt idx="837" formatCode="General">
                        <c:v>65623.727158522932</c:v>
                      </c:pt>
                      <c:pt idx="838" formatCode="General">
                        <c:v>66019.382381522344</c:v>
                      </c:pt>
                      <c:pt idx="839" formatCode="General">
                        <c:v>66414.192788763234</c:v>
                      </c:pt>
                      <c:pt idx="840" formatCode="General">
                        <c:v>66808.159352096962</c:v>
                      </c:pt>
                      <c:pt idx="841" formatCode="General">
                        <c:v>67201.283038445385</c:v>
                      </c:pt>
                      <c:pt idx="842" formatCode="General">
                        <c:v>67593.564809668358</c:v>
                      </c:pt>
                      <c:pt idx="843" formatCode="General">
                        <c:v>67985.005622437267</c:v>
                      </c:pt>
                      <c:pt idx="844" formatCode="General">
                        <c:v>68375.606428114319</c:v>
                      </c:pt>
                      <c:pt idx="845" formatCode="General">
                        <c:v>68765.368172637231</c:v>
                      </c:pt>
                      <c:pt idx="846" formatCode="General">
                        <c:v>69154.291796409394</c:v>
                      </c:pt>
                      <c:pt idx="847" formatCode="General">
                        <c:v>69542.378234194926</c:v>
                      </c:pt>
                      <c:pt idx="848" formatCode="General">
                        <c:v>69929.628415018742</c:v>
                      </c:pt>
                      <c:pt idx="849" formatCode="General">
                        <c:v>70316.043262071224</c:v>
                      </c:pt>
                      <c:pt idx="850" formatCode="General">
                        <c:v>70701.623692617432</c:v>
                      </c:pt>
                      <c:pt idx="851" formatCode="General">
                        <c:v>71086.370617910638</c:v>
                      </c:pt>
                      <c:pt idx="852" formatCode="General">
                        <c:v>71470.284943109975</c:v>
                      </c:pt>
                      <c:pt idx="853" formatCode="General">
                        <c:v>71853.367567202135</c:v>
                      </c:pt>
                      <c:pt idx="854" formatCode="General">
                        <c:v>72235.619382926801</c:v>
                      </c:pt>
                      <c:pt idx="855" formatCode="General">
                        <c:v>72617.041276705815</c:v>
                      </c:pt>
                      <c:pt idx="856" formatCode="General">
                        <c:v>72997.634128575926</c:v>
                      </c:pt>
                      <c:pt idx="857" formatCode="General">
                        <c:v>73377.398812124768</c:v>
                      </c:pt>
                      <c:pt idx="858" formatCode="General">
                        <c:v>73756.336194430289</c:v>
                      </c:pt>
                      <c:pt idx="859" formatCode="General">
                        <c:v>74134.447136003131</c:v>
                      </c:pt>
                      <c:pt idx="860" formatCode="General">
                        <c:v>74511.73249073216</c:v>
                      </c:pt>
                      <c:pt idx="861" formatCode="General">
                        <c:v>74888.193105832746</c:v>
                      </c:pt>
                      <c:pt idx="862" formatCode="General">
                        <c:v>75263.829821797888</c:v>
                      </c:pt>
                      <c:pt idx="863" formatCode="General">
                        <c:v>75638.643472352036</c:v>
                      </c:pt>
                      <c:pt idx="864" formatCode="General">
                        <c:v>76012.634884407307</c:v>
                      </c:pt>
                      <c:pt idx="865" formatCode="General">
                        <c:v>76385.804878022333</c:v>
                      </c:pt>
                      <c:pt idx="866" formatCode="General">
                        <c:v>76758.154266363301</c:v>
                      </c:pt>
                      <c:pt idx="867" formatCode="General">
                        <c:v>77129.683855667419</c:v>
                      </c:pt>
                      <c:pt idx="868" formatCode="General">
                        <c:v>77500.394445208338</c:v>
                      </c:pt>
                      <c:pt idx="869" formatCode="General">
                        <c:v>77870.286827263844</c:v>
                      </c:pt>
                      <c:pt idx="870" formatCode="General">
                        <c:v>78239.36178708545</c:v>
                      </c:pt>
                      <c:pt idx="871" formatCode="General">
                        <c:v>78607.620102869856</c:v>
                      </c:pt>
                      <c:pt idx="872" formatCode="General">
                        <c:v>78975.062545732348</c:v>
                      </c:pt>
                      <c:pt idx="873" formatCode="General">
                        <c:v>79341.689879681915</c:v>
                      </c:pt>
                      <c:pt idx="874" formatCode="General">
                        <c:v>79707.502861598026</c:v>
                      </c:pt>
                      <c:pt idx="875" formatCode="General">
                        <c:v>80072.502241209047</c:v>
                      </c:pt>
                      <c:pt idx="876" formatCode="General">
                        <c:v>80436.688761072204</c:v>
                      </c:pt>
                      <c:pt idx="877" formatCode="General">
                        <c:v>80800.063156555028</c:v>
                      </c:pt>
                      <c:pt idx="878" formatCode="General">
                        <c:v>81162.626155818245</c:v>
                      </c:pt>
                      <c:pt idx="879" formatCode="General">
                        <c:v>81524.378479800012</c:v>
                      </c:pt>
                      <c:pt idx="880" formatCode="General">
                        <c:v>81885.320842201472</c:v>
                      </c:pt>
                      <c:pt idx="881" formatCode="General">
                        <c:v>82245.453949473522</c:v>
                      </c:pt>
                      <c:pt idx="882" formatCode="General">
                        <c:v>82604.778500804852</c:v>
                      </c:pt>
                      <c:pt idx="883" formatCode="General">
                        <c:v>82963.295188111093</c:v>
                      </c:pt>
                      <c:pt idx="884" formatCode="General">
                        <c:v>83321.004696024989</c:v>
                      </c:pt>
                      <c:pt idx="885" formatCode="General">
                        <c:v>83677.907701887802</c:v>
                      </c:pt>
                      <c:pt idx="886" formatCode="General">
                        <c:v>84034.004875741506</c:v>
                      </c:pt>
                      <c:pt idx="887" formatCode="General">
                        <c:v>84389.296880322116</c:v>
                      </c:pt>
                      <c:pt idx="888" formatCode="General">
                        <c:v>84743.784371053815</c:v>
                      </c:pt>
                      <c:pt idx="889" formatCode="General">
                        <c:v>85097.467996044041</c:v>
                      </c:pt>
                      <c:pt idx="890" formatCode="General">
                        <c:v>85450.348396079324</c:v>
                      </c:pt>
                      <c:pt idx="891" formatCode="General">
                        <c:v>85802.426204622054</c:v>
                      </c:pt>
                      <c:pt idx="892" formatCode="General">
                        <c:v>86153.702047807834</c:v>
                      </c:pt>
                      <c:pt idx="893" formatCode="General">
                        <c:v>86504.176544443748</c:v>
                      </c:pt>
                      <c:pt idx="894" formatCode="General">
                        <c:v>86853.850306007138</c:v>
                      </c:pt>
                      <c:pt idx="895" formatCode="General">
                        <c:v>87202.723936645183</c:v>
                      </c:pt>
                      <c:pt idx="896" formatCode="General">
                        <c:v>87550.798033175059</c:v>
                      </c:pt>
                      <c:pt idx="897" formatCode="General">
                        <c:v>87898.07318508462</c:v>
                      </c:pt>
                      <c:pt idx="898" formatCode="General">
                        <c:v>88244.549974533773</c:v>
                      </c:pt>
                      <c:pt idx="899" formatCode="General">
                        <c:v>88590.228976356346</c:v>
                      </c:pt>
                      <c:pt idx="900" formatCode="General">
                        <c:v>88935.110758062394</c:v>
                      </c:pt>
                      <c:pt idx="901" formatCode="General">
                        <c:v>89279.195879841078</c:v>
                      </c:pt>
                      <c:pt idx="902" formatCode="General">
                        <c:v>89622.484894563982</c:v>
                      </c:pt>
                      <c:pt idx="903" formatCode="General">
                        <c:v>89964.978347788856</c:v>
                      </c:pt>
                      <c:pt idx="904" formatCode="General">
                        <c:v>90306.676777763743</c:v>
                      </c:pt>
                      <c:pt idx="905" formatCode="General">
                        <c:v>90647.580715431555</c:v>
                      </c:pt>
                      <c:pt idx="906" formatCode="General">
                        <c:v>90987.690684434943</c:v>
                      </c:pt>
                      <c:pt idx="907" formatCode="General">
                        <c:v>91327.007201121582</c:v>
                      </c:pt>
                      <c:pt idx="908" formatCode="General">
                        <c:v>91665.530774549741</c:v>
                      </c:pt>
                      <c:pt idx="909" formatCode="General">
                        <c:v>92003.261906494139</c:v>
                      </c:pt>
                      <c:pt idx="910" formatCode="General">
                        <c:v>92340.201091452109</c:v>
                      </c:pt>
                      <c:pt idx="911" formatCode="General">
                        <c:v>92676.348816650047</c:v>
                      </c:pt>
                      <c:pt idx="912" formatCode="General">
                        <c:v>93011.705562050091</c:v>
                      </c:pt>
                      <c:pt idx="913" formatCode="General">
                        <c:v>93346.271800357019</c:v>
                      </c:pt>
                      <c:pt idx="914" formatCode="General">
                        <c:v>93680.047997025365</c:v>
                      </c:pt>
                      <c:pt idx="915" formatCode="General">
                        <c:v>94013.034610266754</c:v>
                      </c:pt>
                      <c:pt idx="916" formatCode="General">
                        <c:v>94345.232091057376</c:v>
                      </c:pt>
                      <c:pt idx="917" formatCode="General">
                        <c:v>94676.640883145723</c:v>
                      </c:pt>
                      <c:pt idx="918" formatCode="General">
                        <c:v>95007.261423060321</c:v>
                      </c:pt>
                      <c:pt idx="919" formatCode="General">
                        <c:v>95337.09414011777</c:v>
                      </c:pt>
                      <c:pt idx="920" formatCode="General">
                        <c:v>95666.139456430828</c:v>
                      </c:pt>
                      <c:pt idx="921" formatCode="General">
                        <c:v>95994.397786916568</c:v>
                      </c:pt>
                      <c:pt idx="922" formatCode="General">
                        <c:v>96321.869539304709</c:v>
                      </c:pt>
                      <c:pt idx="923" formatCode="General">
                        <c:v>96648.555114146046</c:v>
                      </c:pt>
                      <c:pt idx="924" formatCode="General">
                        <c:v>96974.454904820857</c:v>
                      </c:pt>
                      <c:pt idx="925" formatCode="General">
                        <c:v>97299.569297547481</c:v>
                      </c:pt>
                      <c:pt idx="926" formatCode="General">
                        <c:v>97623.898671390882</c:v>
                      </c:pt>
                      <c:pt idx="927" formatCode="General">
                        <c:v>97947.443398271309</c:v>
                      </c:pt>
                      <c:pt idx="928" formatCode="General">
                        <c:v>98270.203842972944</c:v>
                      </c:pt>
                      <c:pt idx="929" formatCode="General">
                        <c:v>98592.180363152598</c:v>
                      </c:pt>
                      <c:pt idx="930" formatCode="General">
                        <c:v>98913.373309348419</c:v>
                      </c:pt>
                      <c:pt idx="931" formatCode="General">
                        <c:v>99233.783024988588</c:v>
                      </c:pt>
                      <c:pt idx="932" formatCode="General">
                        <c:v>99553.409846400085</c:v>
                      </c:pt>
                      <c:pt idx="933" formatCode="General">
                        <c:v>99872.254102817329</c:v>
                      </c:pt>
                      <c:pt idx="934" formatCode="General">
                        <c:v>100190.31611639085</c:v>
                      </c:pt>
                      <c:pt idx="935" formatCode="General">
                        <c:v>100507.59620219596</c:v>
                      </c:pt>
                      <c:pt idx="936" formatCode="General">
                        <c:v>100824.09466824138</c:v>
                      </c:pt>
                      <c:pt idx="937" formatCode="General">
                        <c:v>101139.81181547779</c:v>
                      </c:pt>
                      <c:pt idx="938" formatCode="General">
                        <c:v>101454.74793780634</c:v>
                      </c:pt>
                      <c:pt idx="939" formatCode="General">
                        <c:v>101768.90332208714</c:v>
                      </c:pt>
                      <c:pt idx="940" formatCode="General">
                        <c:v>102082.27824814757</c:v>
                      </c:pt>
                      <c:pt idx="941" formatCode="General">
                        <c:v>102394.87298879077</c:v>
                      </c:pt>
                      <c:pt idx="942" formatCode="General">
                        <c:v>102706.68780980371</c:v>
                      </c:pt>
                      <c:pt idx="943" formatCode="General">
                        <c:v>103017.72296996546</c:v>
                      </c:pt>
                      <c:pt idx="944" formatCode="General">
                        <c:v>103327.97872105525</c:v>
                      </c:pt>
                      <c:pt idx="945" formatCode="General">
                        <c:v>103637.45530786042</c:v>
                      </c:pt>
                      <c:pt idx="946" formatCode="General">
                        <c:v>103946.15296818437</c:v>
                      </c:pt>
                      <c:pt idx="947" formatCode="General">
                        <c:v>104254.0719328542</c:v>
                      </c:pt>
                      <c:pt idx="948" formatCode="General">
                        <c:v>104561.21242572855</c:v>
                      </c:pt>
                      <c:pt idx="949" formatCode="General">
                        <c:v>104867.574663705</c:v>
                      </c:pt>
                      <c:pt idx="950" formatCode="General">
                        <c:v>105173.15885672758</c:v>
                      </c:pt>
                      <c:pt idx="951" formatCode="General">
                        <c:v>105477.96520779403</c:v>
                      </c:pt>
                      <c:pt idx="952" formatCode="General">
                        <c:v>105781.99391296301</c:v>
                      </c:pt>
                      <c:pt idx="953" formatCode="General">
                        <c:v>106085.2451613611</c:v>
                      </c:pt>
                      <c:pt idx="954" formatCode="General">
                        <c:v>106387.71913518976</c:v>
                      </c:pt>
                      <c:pt idx="955" formatCode="General">
                        <c:v>106689.416009732</c:v>
                      </c:pt>
                      <c:pt idx="956" formatCode="General">
                        <c:v>106990.33595335906</c:v>
                      </c:pt>
                      <c:pt idx="957" formatCode="General">
                        <c:v>107290.4791275368</c:v>
                      </c:pt>
                      <c:pt idx="958" formatCode="General">
                        <c:v>107589.84568683209</c:v>
                      </c:pt>
                      <c:pt idx="959" formatCode="General">
                        <c:v>107888.43577891892</c:v>
                      </c:pt>
                      <c:pt idx="960" formatCode="General">
                        <c:v>108186.24954458434</c:v>
                      </c:pt>
                      <c:pt idx="961" formatCode="General">
                        <c:v>108483.28711773436</c:v>
                      </c:pt>
                      <c:pt idx="962" formatCode="General">
                        <c:v>108779.54862539955</c:v>
                      </c:pt>
                      <c:pt idx="963" formatCode="General">
                        <c:v>109075.03418774053</c:v>
                      </c:pt>
                      <c:pt idx="964" formatCode="General">
                        <c:v>109369.74391805327</c:v>
                      </c:pt>
                      <c:pt idx="965" formatCode="General">
                        <c:v>109663.67792277427</c:v>
                      </c:pt>
                      <c:pt idx="966" formatCode="General">
                        <c:v>109956.83630148541</c:v>
                      </c:pt>
                      <c:pt idx="967" formatCode="General">
                        <c:v>110249.21914691884</c:v>
                      </c:pt>
                      <c:pt idx="968" formatCode="General">
                        <c:v>110540.82654496141</c:v>
                      </c:pt>
                      <c:pt idx="969" formatCode="General">
                        <c:v>110831.6585746592</c:v>
                      </c:pt>
                      <c:pt idx="970" formatCode="General">
                        <c:v>111121.71530822164</c:v>
                      </c:pt>
                      <c:pt idx="971" formatCode="General">
                        <c:v>111410.99681102551</c:v>
                      </c:pt>
                      <c:pt idx="972" formatCode="General">
                        <c:v>111699.50314161878</c:v>
                      </c:pt>
                      <c:pt idx="973" formatCode="General">
                        <c:v>111987.23435172421</c:v>
                      </c:pt>
                      <c:pt idx="974" formatCode="General">
                        <c:v>112274.19048624273</c:v>
                      </c:pt>
                      <c:pt idx="975" formatCode="General">
                        <c:v>112560.37158325665</c:v>
                      </c:pt>
                      <c:pt idx="976" formatCode="General">
                        <c:v>112845.77767403271</c:v>
                      </c:pt>
                      <c:pt idx="977" formatCode="General">
                        <c:v>113130.40878302477</c:v>
                      </c:pt>
                      <c:pt idx="978" formatCode="General">
                        <c:v>113414.26492787649</c:v>
                      </c:pt>
                      <c:pt idx="979" formatCode="General">
                        <c:v>113697.34611942359</c:v>
                      </c:pt>
                      <c:pt idx="980" formatCode="General">
                        <c:v>113979.65236169606</c:v>
                      </c:pt>
                      <c:pt idx="981" formatCode="General">
                        <c:v>114261.18365192012</c:v>
                      </c:pt>
                      <c:pt idx="982" formatCode="General">
                        <c:v>114541.93998051983</c:v>
                      </c:pt>
                      <c:pt idx="983" formatCode="General">
                        <c:v>114821.92133111872</c:v>
                      </c:pt>
                      <c:pt idx="984" formatCode="General">
                        <c:v>115101.12768054094</c:v>
                      </c:pt>
                      <c:pt idx="985" formatCode="General">
                        <c:v>115379.55899881237</c:v>
                      </c:pt>
                      <c:pt idx="986" formatCode="General">
                        <c:v>115657.2152491614</c:v>
                      </c:pt>
                      <c:pt idx="987" formatCode="General">
                        <c:v>115934.09638801955</c:v>
                      </c:pt>
                      <c:pt idx="988" formatCode="General">
                        <c:v>116210.20236502185</c:v>
                      </c:pt>
                      <c:pt idx="989" formatCode="General">
                        <c:v>116485.5331230069</c:v>
                      </c:pt>
                      <c:pt idx="990" formatCode="General">
                        <c:v>116760.08859801682</c:v>
                      </c:pt>
                      <c:pt idx="991" formatCode="General">
                        <c:v>117033.86871929694</c:v>
                      </c:pt>
                      <c:pt idx="992" formatCode="General">
                        <c:v>117306.87340929511</c:v>
                      </c:pt>
                      <c:pt idx="993" formatCode="General">
                        <c:v>117579.10258366098</c:v>
                      </c:pt>
                      <c:pt idx="994" formatCode="General">
                        <c:v>117850.55615124495</c:v>
                      </c:pt>
                      <c:pt idx="995" formatCode="General">
                        <c:v>118121.23401409683</c:v>
                      </c:pt>
                      <c:pt idx="996" formatCode="General">
                        <c:v>118391.13606746432</c:v>
                      </c:pt>
                      <c:pt idx="997" formatCode="General">
                        <c:v>118660.26219979122</c:v>
                      </c:pt>
                      <c:pt idx="998" formatCode="General">
                        <c:v>118928.61229271538</c:v>
                      </c:pt>
                      <c:pt idx="999" formatCode="General">
                        <c:v>119196.18622106648</c:v>
                      </c:pt>
                      <c:pt idx="1000" formatCode="General">
                        <c:v>119462.98385286344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Feuil1!$BB$7:$BB$1007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-95.064598248307064</c:v>
                      </c:pt>
                      <c:pt idx="2">
                        <c:v>-380.61019739794943</c:v>
                      </c:pt>
                      <c:pt idx="3">
                        <c:v>-858.08206187528879</c:v>
                      </c:pt>
                      <c:pt idx="4">
                        <c:v>-1530.5260078326946</c:v>
                      </c:pt>
                      <c:pt idx="5">
                        <c:v>-2402.8919039074885</c:v>
                      </c:pt>
                      <c:pt idx="6">
                        <c:v>-3482.4241933422177</c:v>
                      </c:pt>
                      <c:pt idx="7">
                        <c:v>-4778.9530228093909</c:v>
                      </c:pt>
                      <c:pt idx="8">
                        <c:v>-6304.6130457349136</c:v>
                      </c:pt>
                      <c:pt idx="9">
                        <c:v>-8071.8575201374579</c:v>
                      </c:pt>
                      <c:pt idx="10">
                        <c:v>-10087.228798265898</c:v>
                      </c:pt>
                      <c:pt idx="11">
                        <c:v>-12335.933792409638</c:v>
                      </c:pt>
                      <c:pt idx="12">
                        <c:v>-14751.379595688099</c:v>
                      </c:pt>
                      <c:pt idx="13">
                        <c:v>-17178.304721569533</c:v>
                      </c:pt>
                      <c:pt idx="14">
                        <c:v>-19381.008160849116</c:v>
                      </c:pt>
                      <c:pt idx="15">
                        <c:v>-21137.533585479981</c:v>
                      </c:pt>
                      <c:pt idx="16">
                        <c:v>-22332.4257750904</c:v>
                      </c:pt>
                      <c:pt idx="17">
                        <c:v>-22951.587584638793</c:v>
                      </c:pt>
                      <c:pt idx="18">
                        <c:v>-23026.559508993098</c:v>
                      </c:pt>
                      <c:pt idx="19">
                        <c:v>-22597.394794901582</c:v>
                      </c:pt>
                      <c:pt idx="20">
                        <c:v>-21700.09864682001</c:v>
                      </c:pt>
                      <c:pt idx="21">
                        <c:v>-20366.305536938551</c:v>
                      </c:pt>
                      <c:pt idx="22">
                        <c:v>-18629.320466774254</c:v>
                      </c:pt>
                      <c:pt idx="23">
                        <c:v>-16536.860131991823</c:v>
                      </c:pt>
                      <c:pt idx="24">
                        <c:v>-14173.332774985527</c:v>
                      </c:pt>
                      <c:pt idx="25">
                        <c:v>-11686.793527809148</c:v>
                      </c:pt>
                      <c:pt idx="26">
                        <c:v>-9285.7153541049265</c:v>
                      </c:pt>
                      <c:pt idx="27">
                        <c:v>-7163.1148305357328</c:v>
                      </c:pt>
                      <c:pt idx="28">
                        <c:v>-5405.276643825574</c:v>
                      </c:pt>
                      <c:pt idx="29">
                        <c:v>-3988.1713399098535</c:v>
                      </c:pt>
                      <c:pt idx="30">
                        <c:v>-2836.422957448488</c:v>
                      </c:pt>
                      <c:pt idx="31">
                        <c:v>-1865.7641451009449</c:v>
                      </c:pt>
                      <c:pt idx="32">
                        <c:v>-995.84077041903572</c:v>
                      </c:pt>
                      <c:pt idx="33">
                        <c:v>-149.45993862990741</c:v>
                      </c:pt>
                      <c:pt idx="34">
                        <c:v>752.01156069470392</c:v>
                      </c:pt>
                      <c:pt idx="35">
                        <c:v>1793.222248023244</c:v>
                      </c:pt>
                      <c:pt idx="36">
                        <c:v>3064.3548369665714</c:v>
                      </c:pt>
                      <c:pt idx="37">
                        <c:v>4640.3231022983082</c:v>
                      </c:pt>
                      <c:pt idx="38">
                        <c:v>6517.110869631384</c:v>
                      </c:pt>
                      <c:pt idx="39">
                        <c:v>8555.3303777479105</c:v>
                      </c:pt>
                      <c:pt idx="40">
                        <c:v>10552.989439230751</c:v>
                      </c:pt>
                      <c:pt idx="41">
                        <c:v>12370.753548935412</c:v>
                      </c:pt>
                      <c:pt idx="42">
                        <c:v>13951.290731552541</c:v>
                      </c:pt>
                      <c:pt idx="43">
                        <c:v>15277.624296741053</c:v>
                      </c:pt>
                      <c:pt idx="44">
                        <c:v>16345.25275982528</c:v>
                      </c:pt>
                      <c:pt idx="45">
                        <c:v>17150.88766705693</c:v>
                      </c:pt>
                      <c:pt idx="46">
                        <c:v>17688.14489196573</c:v>
                      </c:pt>
                      <c:pt idx="47">
                        <c:v>17945.461661525394</c:v>
                      </c:pt>
                      <c:pt idx="48">
                        <c:v>17904.443116994149</c:v>
                      </c:pt>
                      <c:pt idx="49">
                        <c:v>17537.921990304272</c:v>
                      </c:pt>
                      <c:pt idx="50">
                        <c:v>16807.512750085363</c:v>
                      </c:pt>
                      <c:pt idx="51">
                        <c:v>15661.293878573861</c:v>
                      </c:pt>
                      <c:pt idx="52">
                        <c:v>14035.274457262505</c:v>
                      </c:pt>
                      <c:pt idx="53">
                        <c:v>11871.726623805887</c:v>
                      </c:pt>
                      <c:pt idx="54">
                        <c:v>9180.1518731434244</c:v>
                      </c:pt>
                      <c:pt idx="55">
                        <c:v>6115.9544614119377</c:v>
                      </c:pt>
                      <c:pt idx="56">
                        <c:v>2928.9194495982706</c:v>
                      </c:pt>
                      <c:pt idx="57">
                        <c:v>-203.40622836475819</c:v>
                      </c:pt>
                      <c:pt idx="58">
                        <c:v>-3233.8735887972898</c:v>
                      </c:pt>
                      <c:pt idx="59">
                        <c:v>-6187.576713603743</c:v>
                      </c:pt>
                      <c:pt idx="60">
                        <c:v>-9109.8575666724646</c:v>
                      </c:pt>
                      <c:pt idx="61">
                        <c:v>-12037.950819069474</c:v>
                      </c:pt>
                      <c:pt idx="62">
                        <c:v>-14973.64761488088</c:v>
                      </c:pt>
                      <c:pt idx="63">
                        <c:v>-17841.986679037003</c:v>
                      </c:pt>
                      <c:pt idx="64">
                        <c:v>-20461.303674818082</c:v>
                      </c:pt>
                      <c:pt idx="65">
                        <c:v>-22614.23788568702</c:v>
                      </c:pt>
                      <c:pt idx="66">
                        <c:v>-24193.519811073293</c:v>
                      </c:pt>
                      <c:pt idx="67">
                        <c:v>-25233.655823418056</c:v>
                      </c:pt>
                      <c:pt idx="68">
                        <c:v>-25825.203634257068</c:v>
                      </c:pt>
                      <c:pt idx="69">
                        <c:v>-26053.234388595109</c:v>
                      </c:pt>
                      <c:pt idx="70">
                        <c:v>-25983.187953881639</c:v>
                      </c:pt>
                      <c:pt idx="71">
                        <c:v>-25663.36078951809</c:v>
                      </c:pt>
                      <c:pt idx="72">
                        <c:v>-25129.631419452551</c:v>
                      </c:pt>
                      <c:pt idx="73">
                        <c:v>-24409.228859563933</c:v>
                      </c:pt>
                      <c:pt idx="74">
                        <c:v>-23523.352137807797</c:v>
                      </c:pt>
                      <c:pt idx="75">
                        <c:v>-22488.951393801799</c:v>
                      </c:pt>
                      <c:pt idx="76">
                        <c:v>-21319.958242700104</c:v>
                      </c:pt>
                      <c:pt idx="77">
                        <c:v>-20028.165312849429</c:v>
                      </c:pt>
                      <c:pt idx="78">
                        <c:v>-18623.885856717981</c:v>
                      </c:pt>
                      <c:pt idx="79">
                        <c:v>-17116.479184939035</c:v>
                      </c:pt>
                      <c:pt idx="80">
                        <c:v>-15514.798796082037</c:v>
                      </c:pt>
                      <c:pt idx="81">
                        <c:v>-13827.599542398479</c:v>
                      </c:pt>
                      <c:pt idx="82">
                        <c:v>-12063.920408815686</c:v>
                      </c:pt>
                      <c:pt idx="83">
                        <c:v>-10233.431953868547</c:v>
                      </c:pt>
                      <c:pt idx="84">
                        <c:v>-8346.6940818099647</c:v>
                      </c:pt>
                      <c:pt idx="85">
                        <c:v>-6415.2201001058247</c:v>
                      </c:pt>
                      <c:pt idx="86">
                        <c:v>-4451.2873606249577</c:v>
                      </c:pt>
                      <c:pt idx="87">
                        <c:v>-2467.9440497759401</c:v>
                      </c:pt>
                      <c:pt idx="88">
                        <c:v>-481.17231754291208</c:v>
                      </c:pt>
                      <c:pt idx="89">
                        <c:v>1483.2081229243392</c:v>
                      </c:pt>
                      <c:pt idx="90">
                        <c:v>3382.992426666046</c:v>
                      </c:pt>
                      <c:pt idx="91">
                        <c:v>5167.6443952447071</c:v>
                      </c:pt>
                      <c:pt idx="92">
                        <c:v>6798.0595336042225</c:v>
                      </c:pt>
                      <c:pt idx="93">
                        <c:v>8255.8633784172089</c:v>
                      </c:pt>
                      <c:pt idx="94">
                        <c:v>9536.3502339157421</c:v>
                      </c:pt>
                      <c:pt idx="95">
                        <c:v>10635.835458909156</c:v>
                      </c:pt>
                      <c:pt idx="96">
                        <c:v>11538.955607885611</c:v>
                      </c:pt>
                      <c:pt idx="97">
                        <c:v>12204.286018096145</c:v>
                      </c:pt>
                      <c:pt idx="98">
                        <c:v>12548.57757066705</c:v>
                      </c:pt>
                      <c:pt idx="99">
                        <c:v>12453.293705291053</c:v>
                      </c:pt>
                      <c:pt idx="100">
                        <c:v>11847.765648575838</c:v>
                      </c:pt>
                      <c:pt idx="101">
                        <c:v>10803.937300069356</c:v>
                      </c:pt>
                      <c:pt idx="102">
                        <c:v>9482.5547395786634</c:v>
                      </c:pt>
                      <c:pt idx="103">
                        <c:v>8017.0772215879506</c:v>
                      </c:pt>
                      <c:pt idx="104">
                        <c:v>6485.8648801435893</c:v>
                      </c:pt>
                      <c:pt idx="105">
                        <c:v>4931.6882811092846</c:v>
                      </c:pt>
                      <c:pt idx="106">
                        <c:v>3378.6501475908226</c:v>
                      </c:pt>
                      <c:pt idx="107">
                        <c:v>1841.191182408071</c:v>
                      </c:pt>
                      <c:pt idx="108">
                        <c:v>328.56661446246915</c:v>
                      </c:pt>
                      <c:pt idx="109">
                        <c:v>-1152.8722885641876</c:v>
                      </c:pt>
                      <c:pt idx="110">
                        <c:v>-2598.4582754780549</c:v>
                      </c:pt>
                      <c:pt idx="111">
                        <c:v>-4004.5211441125762</c:v>
                      </c:pt>
                      <c:pt idx="112">
                        <c:v>-5367.9806791397623</c:v>
                      </c:pt>
                      <c:pt idx="113">
                        <c:v>-6686.0929623099219</c:v>
                      </c:pt>
                      <c:pt idx="114">
                        <c:v>-7956.2837947796943</c:v>
                      </c:pt>
                      <c:pt idx="115">
                        <c:v>-9176.0329303308972</c:v>
                      </c:pt>
                      <c:pt idx="116">
                        <c:v>-10342.788340019661</c:v>
                      </c:pt>
                      <c:pt idx="117">
                        <c:v>-11453.898076526117</c:v>
                      </c:pt>
                      <c:pt idx="118">
                        <c:v>-12506.55194021177</c:v>
                      </c:pt>
                      <c:pt idx="119">
                        <c:v>-13497.727784781178</c:v>
                      </c:pt>
                      <c:pt idx="120">
                        <c:v>-14424.138824167341</c:v>
                      </c:pt>
                      <c:pt idx="121">
                        <c:v>-15282.179190789995</c:v>
                      </c:pt>
                      <c:pt idx="122">
                        <c:v>-16067.865520869744</c:v>
                      </c:pt>
                      <c:pt idx="123">
                        <c:v>-16776.772677570603</c:v>
                      </c:pt>
                      <c:pt idx="124">
                        <c:v>-17403.962001277519</c:v>
                      </c:pt>
                      <c:pt idx="125">
                        <c:v>-17943.900838059963</c:v>
                      </c:pt>
                      <c:pt idx="126">
                        <c:v>-18390.372733379631</c:v>
                      </c:pt>
                      <c:pt idx="127">
                        <c:v>-18736.378892231536</c:v>
                      </c:pt>
                      <c:pt idx="128">
                        <c:v>-18974.033812004098</c:v>
                      </c:pt>
                      <c:pt idx="129">
                        <c:v>-19094.462269071042</c:v>
                      </c:pt>
                      <c:pt idx="130">
                        <c:v>-19087.712582788532</c:v>
                      </c:pt>
                      <c:pt idx="131">
                        <c:v>-18942.714804661675</c:v>
                      </c:pt>
                      <c:pt idx="132">
                        <c:v>-18647.336294856854</c:v>
                      </c:pt>
                      <c:pt idx="133">
                        <c:v>-18188.627561812576</c:v>
                      </c:pt>
                      <c:pt idx="134">
                        <c:v>-17553.418402052168</c:v>
                      </c:pt>
                      <c:pt idx="135">
                        <c:v>-16729.535329882034</c:v>
                      </c:pt>
                      <c:pt idx="136">
                        <c:v>-15708.10361052623</c:v>
                      </c:pt>
                      <c:pt idx="137">
                        <c:v>-14487.785823812728</c:v>
                      </c:pt>
                      <c:pt idx="138">
                        <c:v>-13082.765452977554</c:v>
                      </c:pt>
                      <c:pt idx="139">
                        <c:v>-11538.586873204866</c:v>
                      </c:pt>
                      <c:pt idx="140">
                        <c:v>-9961.283327292982</c:v>
                      </c:pt>
                      <c:pt idx="141">
                        <c:v>-8535.9358821291116</c:v>
                      </c:pt>
                      <c:pt idx="142">
                        <c:v>-7431.3231169227756</c:v>
                      </c:pt>
                      <c:pt idx="143">
                        <c:v>-6648.5105592290492</c:v>
                      </c:pt>
                      <c:pt idx="144">
                        <c:v>-6055.2013786956604</c:v>
                      </c:pt>
                      <c:pt idx="145">
                        <c:v>-5522.6868888774497</c:v>
                      </c:pt>
                      <c:pt idx="146">
                        <c:v>-4973.5648439949573</c:v>
                      </c:pt>
                      <c:pt idx="147">
                        <c:v>-4374.8380365863386</c:v>
                      </c:pt>
                      <c:pt idx="148">
                        <c:v>-3721.1325508030345</c:v>
                      </c:pt>
                      <c:pt idx="149">
                        <c:v>-3019.8520523212565</c:v>
                      </c:pt>
                      <c:pt idx="150">
                        <c:v>-2282.034045030985</c:v>
                      </c:pt>
                      <c:pt idx="151">
                        <c:v>-1518.2399421430607</c:v>
                      </c:pt>
                      <c:pt idx="152">
                        <c:v>-737.27842005781929</c:v>
                      </c:pt>
                      <c:pt idx="153">
                        <c:v>53.881036693447868</c:v>
                      </c:pt>
                      <c:pt idx="154">
                        <c:v>849.81942886798959</c:v>
                      </c:pt>
                      <c:pt idx="155">
                        <c:v>1646.3248328116763</c:v>
                      </c:pt>
                      <c:pt idx="156">
                        <c:v>2440.0952127692885</c:v>
                      </c:pt>
                      <c:pt idx="157">
                        <c:v>3228.5061810661691</c:v>
                      </c:pt>
                      <c:pt idx="158">
                        <c:v>4009.4365409540646</c:v>
                      </c:pt>
                      <c:pt idx="159">
                        <c:v>4781.1389877705396</c:v>
                      </c:pt>
                      <c:pt idx="160">
                        <c:v>5542.1443421241638</c:v>
                      </c:pt>
                      <c:pt idx="161">
                        <c:v>6291.1901634826836</c:v>
                      </c:pt>
                      <c:pt idx="162">
                        <c:v>7027.1669593521019</c:v>
                      </c:pt>
                      <c:pt idx="163">
                        <c:v>7749.0770794095397</c:v>
                      </c:pt>
                      <c:pt idx="164">
                        <c:v>8456.002765561374</c:v>
                      </c:pt>
                      <c:pt idx="165">
                        <c:v>9147.080815848698</c:v>
                      </c:pt>
                      <c:pt idx="166">
                        <c:v>9821.4820151700696</c:v>
                      </c:pt>
                      <c:pt idx="167">
                        <c:v>10478.393971940719</c:v>
                      </c:pt>
                      <c:pt idx="168">
                        <c:v>11117.006338086043</c:v>
                      </c:pt>
                      <c:pt idx="169">
                        <c:v>11736.497623102325</c:v>
                      </c:pt>
                      <c:pt idx="170">
                        <c:v>12336.022970716953</c:v>
                      </c:pt>
                      <c:pt idx="171">
                        <c:v>12914.702368602635</c:v>
                      </c:pt>
                      <c:pt idx="172">
                        <c:v>13471.60882027528</c:v>
                      </c:pt>
                      <c:pt idx="173">
                        <c:v>14005.756031137716</c:v>
                      </c:pt>
                      <c:pt idx="174">
                        <c:v>14516.085150858822</c:v>
                      </c:pt>
                      <c:pt idx="175">
                        <c:v>15001.4500714109</c:v>
                      </c:pt>
                      <c:pt idx="176">
                        <c:v>15460.600699766912</c:v>
                      </c:pt>
                      <c:pt idx="177">
                        <c:v>15892.163497452122</c:v>
                      </c:pt>
                      <c:pt idx="178">
                        <c:v>16294.618390469985</c:v>
                      </c:pt>
                      <c:pt idx="179">
                        <c:v>16666.270877833416</c:v>
                      </c:pt>
                      <c:pt idx="180">
                        <c:v>17005.217765710913</c:v>
                      </c:pt>
                      <c:pt idx="181">
                        <c:v>17309.304364154646</c:v>
                      </c:pt>
                      <c:pt idx="182">
                        <c:v>17576.070102277772</c:v>
                      </c:pt>
                      <c:pt idx="183">
                        <c:v>17802.678175679692</c:v>
                      </c:pt>
                      <c:pt idx="184">
                        <c:v>17985.822747035596</c:v>
                      </c:pt>
                      <c:pt idx="185">
                        <c:v>18121.603867871978</c:v>
                      </c:pt>
                      <c:pt idx="186">
                        <c:v>18205.354752577783</c:v>
                      </c:pt>
                      <c:pt idx="187">
                        <c:v>18231.39657758905</c:v>
                      </c:pt>
                      <c:pt idx="188">
                        <c:v>18192.67920955196</c:v>
                      </c:pt>
                      <c:pt idx="189">
                        <c:v>18080.235313880003</c:v>
                      </c:pt>
                      <c:pt idx="190">
                        <c:v>17882.31573606508</c:v>
                      </c:pt>
                      <c:pt idx="191">
                        <c:v>17582.95500246622</c:v>
                      </c:pt>
                      <c:pt idx="192">
                        <c:v>17159.473195456911</c:v>
                      </c:pt>
                      <c:pt idx="193">
                        <c:v>16577.951921846932</c:v>
                      </c:pt>
                      <c:pt idx="194">
                        <c:v>15785.152089589326</c:v>
                      </c:pt>
                      <c:pt idx="195">
                        <c:v>14697.666904232226</c:v>
                      </c:pt>
                      <c:pt idx="196">
                        <c:v>13213.427474679918</c:v>
                      </c:pt>
                      <c:pt idx="197">
                        <c:v>11311.634631926194</c:v>
                      </c:pt>
                      <c:pt idx="198">
                        <c:v>9109.2189747441862</c:v>
                      </c:pt>
                      <c:pt idx="199">
                        <c:v>6724.0356366762917</c:v>
                      </c:pt>
                      <c:pt idx="200">
                        <c:v>4183.1020181491995</c:v>
                      </c:pt>
                      <c:pt idx="201">
                        <c:v>1471.1519262481579</c:v>
                      </c:pt>
                      <c:pt idx="202">
                        <c:v>-1422.0427005525685</c:v>
                      </c:pt>
                      <c:pt idx="203">
                        <c:v>-4469.0212837756062</c:v>
                      </c:pt>
                      <c:pt idx="204">
                        <c:v>-7586.8205361057226</c:v>
                      </c:pt>
                      <c:pt idx="205">
                        <c:v>-10658.290339719502</c:v>
                      </c:pt>
                      <c:pt idx="206">
                        <c:v>-13584.183685310922</c:v>
                      </c:pt>
                      <c:pt idx="207">
                        <c:v>-16314.499180828261</c:v>
                      </c:pt>
                      <c:pt idx="208">
                        <c:v>-18840.536556469666</c:v>
                      </c:pt>
                      <c:pt idx="209">
                        <c:v>-21174.25275798604</c:v>
                      </c:pt>
                      <c:pt idx="210">
                        <c:v>-23334.20716098322</c:v>
                      </c:pt>
                      <c:pt idx="211">
                        <c:v>-25339.209403189077</c:v>
                      </c:pt>
                      <c:pt idx="212">
                        <c:v>-27206.124966968644</c:v>
                      </c:pt>
                      <c:pt idx="213">
                        <c:v>-28949.412857395619</c:v>
                      </c:pt>
                      <c:pt idx="214">
                        <c:v>-30581.27770646763</c:v>
                      </c:pt>
                      <c:pt idx="215">
                        <c:v>-32111.991658345327</c:v>
                      </c:pt>
                      <c:pt idx="216">
                        <c:v>-33550.22522185331</c:v>
                      </c:pt>
                      <c:pt idx="217">
                        <c:v>-34903.336889082326</c:v>
                      </c:pt>
                      <c:pt idx="218">
                        <c:v>-36177.612068796887</c:v>
                      </c:pt>
                      <c:pt idx="219">
                        <c:v>-37378.455562949421</c:v>
                      </c:pt>
                      <c:pt idx="220">
                        <c:v>-38510.545341539713</c:v>
                      </c:pt>
                      <c:pt idx="221">
                        <c:v>-39577.955315365747</c:v>
                      </c:pt>
                      <c:pt idx="222">
                        <c:v>-40584.253674054336</c:v>
                      </c:pt>
                      <c:pt idx="223">
                        <c:v>-41532.582066026807</c:v>
                      </c:pt>
                      <c:pt idx="224">
                        <c:v>-42425.719750167933</c:v>
                      </c:pt>
                      <c:pt idx="225">
                        <c:v>-43266.135916248772</c:v>
                      </c:pt>
                      <c:pt idx="226">
                        <c:v>-44056.032641552061</c:v>
                      </c:pt>
                      <c:pt idx="227">
                        <c:v>-44797.380390437553</c:v>
                      </c:pt>
                      <c:pt idx="228">
                        <c:v>-45491.947535714506</c:v>
                      </c:pt>
                      <c:pt idx="229">
                        <c:v>-46141.325054617213</c:v>
                      </c:pt>
                      <c:pt idx="230">
                        <c:v>-46746.947303190485</c:v>
                      </c:pt>
                      <c:pt idx="231">
                        <c:v>-47310.109582012214</c:v>
                      </c:pt>
                      <c:pt idx="232">
                        <c:v>-47831.983059100065</c:v>
                      </c:pt>
                      <c:pt idx="233">
                        <c:v>-48313.627501864205</c:v>
                      </c:pt>
                      <c:pt idx="234">
                        <c:v>-48756.002181086245</c:v>
                      </c:pt>
                      <c:pt idx="235">
                        <c:v>-49159.97524015831</c:v>
                      </c:pt>
                      <c:pt idx="236">
                        <c:v>-49526.33176773219</c:v>
                      </c:pt>
                      <c:pt idx="237">
                        <c:v>-49855.780768143231</c:v>
                      </c:pt>
                      <c:pt idx="238">
                        <c:v>-50148.961188941998</c:v>
                      </c:pt>
                      <c:pt idx="239">
                        <c:v>-50406.447136655268</c:v>
                      </c:pt>
                      <c:pt idx="240">
                        <c:v>-50628.752389026326</c:v>
                      </c:pt>
                      <c:pt idx="241">
                        <c:v>-50816.334293314714</c:v>
                      </c:pt>
                      <c:pt idx="242">
                        <c:v>-50969.597124884989</c:v>
                      </c:pt>
                      <c:pt idx="243">
                        <c:v>-51088.894967595341</c:v>
                      </c:pt>
                      <c:pt idx="244">
                        <c:v>-51174.5341668685</c:v>
                      </c:pt>
                      <c:pt idx="245">
                        <c:v>-51226.775397362326</c:v>
                      </c:pt>
                      <c:pt idx="246">
                        <c:v>-51245.83537951202</c:v>
                      </c:pt>
                      <c:pt idx="247">
                        <c:v>-51231.888272614407</c:v>
                      </c:pt>
                      <c:pt idx="248">
                        <c:v>-51185.066766339973</c:v>
                      </c:pt>
                      <c:pt idx="249">
                        <c:v>-51105.4628874017</c:v>
                      </c:pt>
                      <c:pt idx="250">
                        <c:v>-50993.128533420902</c:v>
                      </c:pt>
                      <c:pt idx="251">
                        <c:v>-50848.075741669258</c:v>
                      </c:pt>
                      <c:pt idx="252">
                        <c:v>-50670.276696207242</c:v>
                      </c:pt>
                      <c:pt idx="253">
                        <c:v>-50459.66347286458</c:v>
                      </c:pt>
                      <c:pt idx="254">
                        <c:v>-50216.127517403795</c:v>
                      </c:pt>
                      <c:pt idx="255">
                        <c:v>-49939.518847956933</c:v>
                      </c:pt>
                      <c:pt idx="256">
                        <c:v>-49629.644968305067</c:v>
                      </c:pt>
                      <c:pt idx="257">
                        <c:v>-49286.269473643537</c:v>
                      </c:pt>
                      <c:pt idx="258">
                        <c:v>-48909.110324988367</c:v>
                      </c:pt>
                      <c:pt idx="259">
                        <c:v>-48497.837762147938</c:v>
                      </c:pt>
                      <c:pt idx="260">
                        <c:v>-48052.071817989374</c:v>
                      </c:pt>
                      <c:pt idx="261">
                        <c:v>-47571.37938830303</c:v>
                      </c:pt>
                      <c:pt idx="262">
                        <c:v>-47055.270801576538</c:v>
                      </c:pt>
                      <c:pt idx="263">
                        <c:v>-46503.19582101125</c:v>
                      </c:pt>
                      <c:pt idx="264">
                        <c:v>-45914.538996613919</c:v>
                      </c:pt>
                      <c:pt idx="265">
                        <c:v>-45288.614267485602</c:v>
                      </c:pt>
                      <c:pt idx="266">
                        <c:v>-44624.658692615762</c:v>
                      </c:pt>
                      <c:pt idx="267">
                        <c:v>-43921.825161403387</c:v>
                      </c:pt>
                      <c:pt idx="268">
                        <c:v>-43179.173901225229</c:v>
                      </c:pt>
                      <c:pt idx="269">
                        <c:v>-42395.66255659968</c:v>
                      </c:pt>
                      <c:pt idx="270">
                        <c:v>-41570.134560091436</c:v>
                      </c:pt>
                      <c:pt idx="271">
                        <c:v>-40701.305445322316</c:v>
                      </c:pt>
                      <c:pt idx="272">
                        <c:v>-39787.746662169222</c:v>
                      </c:pt>
                      <c:pt idx="273">
                        <c:v>-38827.866336348212</c:v>
                      </c:pt>
                      <c:pt idx="274">
                        <c:v>-37819.886260191801</c:v>
                      </c:pt>
                      <c:pt idx="275">
                        <c:v>-36761.814194520739</c:v>
                      </c:pt>
                      <c:pt idx="276">
                        <c:v>-35651.410283085337</c:v>
                      </c:pt>
                      <c:pt idx="277">
                        <c:v>-34486.146002198046</c:v>
                      </c:pt>
                      <c:pt idx="278">
                        <c:v>-33263.153546649301</c:v>
                      </c:pt>
                      <c:pt idx="279">
                        <c:v>-31979.162826360604</c:v>
                      </c:pt>
                      <c:pt idx="280">
                        <c:v>-30630.422223292742</c:v>
                      </c:pt>
                      <c:pt idx="281">
                        <c:v>-29212.59779470136</c:v>
                      </c:pt>
                      <c:pt idx="282">
                        <c:v>-27720.643495303619</c:v>
                      </c:pt>
                      <c:pt idx="283">
                        <c:v>-26148.631909656586</c:v>
                      </c:pt>
                      <c:pt idx="284">
                        <c:v>-24489.530471938106</c:v>
                      </c:pt>
                      <c:pt idx="285">
                        <c:v>-22734.901569200498</c:v>
                      </c:pt>
                      <c:pt idx="286">
                        <c:v>-20874.495585246816</c:v>
                      </c:pt>
                      <c:pt idx="287">
                        <c:v>-18895.693769343208</c:v>
                      </c:pt>
                      <c:pt idx="288">
                        <c:v>-16782.746095758939</c:v>
                      </c:pt>
                      <c:pt idx="289">
                        <c:v>-14515.754891103627</c:v>
                      </c:pt>
                      <c:pt idx="290">
                        <c:v>-12069.44493039766</c:v>
                      </c:pt>
                      <c:pt idx="291">
                        <c:v>-9412.1758119087717</c:v>
                      </c:pt>
                      <c:pt idx="292">
                        <c:v>-6507.1581126164965</c:v>
                      </c:pt>
                      <c:pt idx="293">
                        <c:v>-3322.0735546177784</c:v>
                      </c:pt>
                      <c:pt idx="294">
                        <c:v>141.41580077241429</c:v>
                      </c:pt>
                      <c:pt idx="295">
                        <c:v>3804.836855364807</c:v>
                      </c:pt>
                      <c:pt idx="296">
                        <c:v>7518.1603127453172</c:v>
                      </c:pt>
                      <c:pt idx="297">
                        <c:v>11137.270225542918</c:v>
                      </c:pt>
                      <c:pt idx="298">
                        <c:v>14580.933656673391</c:v>
                      </c:pt>
                      <c:pt idx="299">
                        <c:v>17818.848765080282</c:v>
                      </c:pt>
                      <c:pt idx="300">
                        <c:v>20841.631153812486</c:v>
                      </c:pt>
                      <c:pt idx="301">
                        <c:v>23645.983550319863</c:v>
                      </c:pt>
                      <c:pt idx="302">
                        <c:v>26232.733850113709</c:v>
                      </c:pt>
                      <c:pt idx="303">
                        <c:v>28608.463614548378</c:v>
                      </c:pt>
                      <c:pt idx="304">
                        <c:v>30785.454132656068</c:v>
                      </c:pt>
                      <c:pt idx="305">
                        <c:v>32779.618275681045</c:v>
                      </c:pt>
                      <c:pt idx="306">
                        <c:v>34608.049221783578</c:v>
                      </c:pt>
                      <c:pt idx="307">
                        <c:v>36287.267647860019</c:v>
                      </c:pt>
                      <c:pt idx="308">
                        <c:v>37832.32017659914</c:v>
                      </c:pt>
                      <c:pt idx="309">
                        <c:v>39256.477385400598</c:v>
                      </c:pt>
                      <c:pt idx="310">
                        <c:v>40571.257469778655</c:v>
                      </c:pt>
                      <c:pt idx="311">
                        <c:v>41786.592613992412</c:v>
                      </c:pt>
                      <c:pt idx="312">
                        <c:v>42911.03879600369</c:v>
                      </c:pt>
                      <c:pt idx="313">
                        <c:v>43951.982331901243</c:v>
                      </c:pt>
                      <c:pt idx="314">
                        <c:v>44915.824574852326</c:v>
                      </c:pt>
                      <c:pt idx="315">
                        <c:v>45808.139751556191</c:v>
                      </c:pt>
                      <c:pt idx="316">
                        <c:v>46633.806844651735</c:v>
                      </c:pt>
                      <c:pt idx="317">
                        <c:v>47397.118628227327</c:v>
                      </c:pt>
                      <c:pt idx="318">
                        <c:v>48101.871461264273</c:v>
                      </c:pt>
                      <c:pt idx="319">
                        <c:v>48751.439232271994</c:v>
                      </c:pt>
                      <c:pt idx="320">
                        <c:v>49348.83439138814</c:v>
                      </c:pt>
                      <c:pt idx="321">
                        <c:v>49896.75850890002</c:v>
                      </c:pt>
                      <c:pt idx="322">
                        <c:v>50397.644343739725</c:v>
                      </c:pt>
                      <c:pt idx="323">
                        <c:v>50853.691018064732</c:v>
                      </c:pt>
                      <c:pt idx="324">
                        <c:v>51266.893576350012</c:v>
                      </c:pt>
                      <c:pt idx="325">
                        <c:v>51639.067951954363</c:v>
                      </c:pt>
                      <c:pt idx="326">
                        <c:v>51971.872160754407</c:v>
                      </c:pt>
                      <c:pt idx="327">
                        <c:v>52266.824380278893</c:v>
                      </c:pt>
                      <c:pt idx="328">
                        <c:v>52525.31844521228</c:v>
                      </c:pt>
                      <c:pt idx="329">
                        <c:v>52748.637189067187</c:v>
                      </c:pt>
                      <c:pt idx="330">
                        <c:v>52937.963981557084</c:v>
                      </c:pt>
                      <c:pt idx="331">
                        <c:v>53094.392747243641</c:v>
                      </c:pt>
                      <c:pt idx="332">
                        <c:v>53218.936699876824</c:v>
                      </c:pt>
                      <c:pt idx="333">
                        <c:v>53312.535985755836</c:v>
                      </c:pt>
                      <c:pt idx="334">
                        <c:v>53376.064396289323</c:v>
                      </c:pt>
                      <c:pt idx="335">
                        <c:v>53410.335283068496</c:v>
                      </c:pt>
                      <c:pt idx="336">
                        <c:v>53416.10678689702</c:v>
                      </c:pt>
                      <c:pt idx="337">
                        <c:v>53394.086474337513</c:v>
                      </c:pt>
                      <c:pt idx="338">
                        <c:v>53344.93546064468</c:v>
                      </c:pt>
                      <c:pt idx="339">
                        <c:v>53269.272085836506</c:v>
                      </c:pt>
                      <c:pt idx="340">
                        <c:v>53167.675200614562</c:v>
                      </c:pt>
                      <c:pt idx="341">
                        <c:v>53040.68711049165</c:v>
                      </c:pt>
                      <c:pt idx="342">
                        <c:v>52888.816219507687</c:v>
                      </c:pt>
                      <c:pt idx="343">
                        <c:v>52712.539409063676</c:v>
                      </c:pt>
                      <c:pt idx="344">
                        <c:v>52512.304182478489</c:v>
                      </c:pt>
                      <c:pt idx="345">
                        <c:v>52288.530601711762</c:v>
                      </c:pt>
                      <c:pt idx="346">
                        <c:v>52041.613039167925</c:v>
                      </c:pt>
                      <c:pt idx="347">
                        <c:v>51771.921764494335</c:v>
                      </c:pt>
                      <c:pt idx="348">
                        <c:v>51479.804383723662</c:v>
                      </c:pt>
                      <c:pt idx="349">
                        <c:v>51165.587145915764</c:v>
                      </c:pt>
                      <c:pt idx="350">
                        <c:v>50829.576130568588</c:v>
                      </c:pt>
                      <c:pt idx="351">
                        <c:v>50472.058327442704</c:v>
                      </c:pt>
                      <c:pt idx="352">
                        <c:v>50093.302619039991</c:v>
                      </c:pt>
                      <c:pt idx="353">
                        <c:v>49693.560674760076</c:v>
                      </c:pt>
                      <c:pt idx="354">
                        <c:v>49273.067764701227</c:v>
                      </c:pt>
                      <c:pt idx="355">
                        <c:v>48832.043500151776</c:v>
                      </c:pt>
                      <c:pt idx="356">
                        <c:v>48370.692507015148</c:v>
                      </c:pt>
                      <c:pt idx="357">
                        <c:v>47889.205037709551</c:v>
                      </c:pt>
                      <c:pt idx="358">
                        <c:v>47387.757526469104</c:v>
                      </c:pt>
                      <c:pt idx="359">
                        <c:v>46866.513092435423</c:v>
                      </c:pt>
                      <c:pt idx="360">
                        <c:v>46325.621994458241</c:v>
                      </c:pt>
                      <c:pt idx="361">
                        <c:v>45765.222041112676</c:v>
                      </c:pt>
                      <c:pt idx="362">
                        <c:v>45185.438959083425</c:v>
                      </c:pt>
                      <c:pt idx="363">
                        <c:v>44586.386722757685</c:v>
                      </c:pt>
                      <c:pt idx="364">
                        <c:v>43968.167847605509</c:v>
                      </c:pt>
                      <c:pt idx="365">
                        <c:v>43330.873649706395</c:v>
                      </c:pt>
                      <c:pt idx="366">
                        <c:v>42674.584473603318</c:v>
                      </c:pt>
                      <c:pt idx="367">
                        <c:v>41999.369890530776</c:v>
                      </c:pt>
                      <c:pt idx="368">
                        <c:v>41305.288868973432</c:v>
                      </c:pt>
                      <c:pt idx="369">
                        <c:v>40592.389919470879</c:v>
                      </c:pt>
                      <c:pt idx="370">
                        <c:v>39860.711215597454</c:v>
                      </c:pt>
                      <c:pt idx="371">
                        <c:v>39110.280693122346</c:v>
                      </c:pt>
                      <c:pt idx="372">
                        <c:v>38341.116129507085</c:v>
                      </c:pt>
                      <c:pt idx="373">
                        <c:v>37553.225206139679</c:v>
                      </c:pt>
                      <c:pt idx="374">
                        <c:v>36746.605556059367</c:v>
                      </c:pt>
                      <c:pt idx="375">
                        <c:v>35921.244800421366</c:v>
                      </c:pt>
                      <c:pt idx="376">
                        <c:v>35077.120577624315</c:v>
                      </c:pt>
                      <c:pt idx="377">
                        <c:v>34214.20056992444</c:v>
                      </c:pt>
                      <c:pt idx="378">
                        <c:v>33332.442533555659</c:v>
                      </c:pt>
                      <c:pt idx="379">
                        <c:v>32431.794339951735</c:v>
                      </c:pt>
                      <c:pt idx="380">
                        <c:v>31512.1940377424</c:v>
                      </c:pt>
                      <c:pt idx="381">
                        <c:v>30573.569947927968</c:v>
                      </c:pt>
                      <c:pt idx="382">
                        <c:v>29615.84080823863</c:v>
                      </c:pt>
                      <c:pt idx="383">
                        <c:v>28638.915987443928</c:v>
                      </c:pt>
                      <c:pt idx="384">
                        <c:v>27642.69579668899</c:v>
                      </c:pt>
                      <c:pt idx="385">
                        <c:v>26627.071933337891</c:v>
                      </c:pt>
                      <c:pt idx="386">
                        <c:v>25591.928104050752</c:v>
                      </c:pt>
                      <c:pt idx="387">
                        <c:v>24537.140888953334</c:v>
                      </c:pt>
                      <c:pt idx="388">
                        <c:v>23462.580929242729</c:v>
                      </c:pt>
                      <c:pt idx="389">
                        <c:v>22368.11454848442</c:v>
                      </c:pt>
                      <c:pt idx="390">
                        <c:v>21253.605956153995</c:v>
                      </c:pt>
                      <c:pt idx="391">
                        <c:v>20118.92023491548</c:v>
                      </c:pt>
                      <c:pt idx="392">
                        <c:v>18963.927386874086</c:v>
                      </c:pt>
                      <c:pt idx="393">
                        <c:v>17788.507817601268</c:v>
                      </c:pt>
                      <c:pt idx="394">
                        <c:v>16592.559783359007</c:v>
                      </c:pt>
                      <c:pt idx="395">
                        <c:v>15376.009536277967</c:v>
                      </c:pt>
                      <c:pt idx="396">
                        <c:v>14138.825203488055</c:v>
                      </c:pt>
                      <c:pt idx="397">
                        <c:v>12881.035872942368</c:v>
                      </c:pt>
                      <c:pt idx="398">
                        <c:v>11602.757995787353</c:v>
                      </c:pt>
                      <c:pt idx="399">
                        <c:v>10304.232148201691</c:v>
                      </c:pt>
                      <c:pt idx="400">
                        <c:v>8985.8745620964783</c:v>
                      </c:pt>
                      <c:pt idx="401">
                        <c:v>7648.3498211299147</c:v>
                      </c:pt>
                      <c:pt idx="402">
                        <c:v>6292.6739503331664</c:v>
                      </c:pt>
                      <c:pt idx="403">
                        <c:v>4920.360979820116</c:v>
                      </c:pt>
                      <c:pt idx="404">
                        <c:v>3533.6307590532633</c:v>
                      </c:pt>
                      <c:pt idx="405">
                        <c:v>2135.6999114681876</c:v>
                      </c:pt>
                      <c:pt idx="406">
                        <c:v>731.17627986737966</c:v>
                      </c:pt>
                      <c:pt idx="407">
                        <c:v>-673.44441474990333</c:v>
                      </c:pt>
                      <c:pt idx="408">
                        <c:v>-2069.2578340545592</c:v>
                      </c:pt>
                      <c:pt idx="409">
                        <c:v>-3444.6854006012504</c:v>
                      </c:pt>
                      <c:pt idx="410">
                        <c:v>-4786.1486952658261</c:v>
                      </c:pt>
                      <c:pt idx="411">
                        <c:v>-6080.8961638186438</c:v>
                      </c:pt>
                      <c:pt idx="412">
                        <c:v>-7323.216158413813</c:v>
                      </c:pt>
                      <c:pt idx="413">
                        <c:v>-8523.8380232603467</c:v>
                      </c:pt>
                      <c:pt idx="414">
                        <c:v>-9720.4160254198869</c:v>
                      </c:pt>
                      <c:pt idx="415">
                        <c:v>-10987.270226980725</c:v>
                      </c:pt>
                      <c:pt idx="416">
                        <c:v>-12429.707348747206</c:v>
                      </c:pt>
                      <c:pt idx="417">
                        <c:v>-14079.300794576589</c:v>
                      </c:pt>
                      <c:pt idx="418">
                        <c:v>-15787.958180456046</c:v>
                      </c:pt>
                      <c:pt idx="419">
                        <c:v>-17375.479725222158</c:v>
                      </c:pt>
                      <c:pt idx="420">
                        <c:v>-18770.46913257198</c:v>
                      </c:pt>
                      <c:pt idx="421">
                        <c:v>-19961.55082673701</c:v>
                      </c:pt>
                      <c:pt idx="422">
                        <c:v>-20957.534215981203</c:v>
                      </c:pt>
                      <c:pt idx="423">
                        <c:v>-21774.927278946572</c:v>
                      </c:pt>
                      <c:pt idx="424">
                        <c:v>-22432.918017626285</c:v>
                      </c:pt>
                      <c:pt idx="425">
                        <c:v>-22950.732675556814</c:v>
                      </c:pt>
                      <c:pt idx="426">
                        <c:v>-23346.250875082937</c:v>
                      </c:pt>
                      <c:pt idx="427">
                        <c:v>-23635.409126116869</c:v>
                      </c:pt>
                      <c:pt idx="428">
                        <c:v>-23832.068688092491</c:v>
                      </c:pt>
                      <c:pt idx="429">
                        <c:v>-23948.124430915566</c:v>
                      </c:pt>
                      <c:pt idx="430">
                        <c:v>-23993.717303907233</c:v>
                      </c:pt>
                      <c:pt idx="431">
                        <c:v>-23977.47471918516</c:v>
                      </c:pt>
                      <c:pt idx="432">
                        <c:v>-23906.74158549268</c:v>
                      </c:pt>
                      <c:pt idx="433">
                        <c:v>-23787.786381370908</c:v>
                      </c:pt>
                      <c:pt idx="434">
                        <c:v>-23625.977888727564</c:v>
                      </c:pt>
                      <c:pt idx="435">
                        <c:v>-23425.933527113455</c:v>
                      </c:pt>
                      <c:pt idx="436">
                        <c:v>-23191.642406421739</c:v>
                      </c:pt>
                      <c:pt idx="437">
                        <c:v>-22926.566823206831</c:v>
                      </c:pt>
                      <c:pt idx="438">
                        <c:v>-22633.725808297382</c:v>
                      </c:pt>
                      <c:pt idx="439">
                        <c:v>-22315.76392493851</c:v>
                      </c:pt>
                      <c:pt idx="440">
                        <c:v>-21975.008029463374</c:v>
                      </c:pt>
                      <c:pt idx="441">
                        <c:v>-21613.514236754898</c:v>
                      </c:pt>
                      <c:pt idx="442">
                        <c:v>-21233.10691842133</c:v>
                      </c:pt>
                      <c:pt idx="443">
                        <c:v>-20835.411212441813</c:v>
                      </c:pt>
                      <c:pt idx="444">
                        <c:v>-20421.880236202218</c:v>
                      </c:pt>
                      <c:pt idx="445">
                        <c:v>-19993.817962636906</c:v>
                      </c:pt>
                      <c:pt idx="446">
                        <c:v>-19552.398532752868</c:v>
                      </c:pt>
                      <c:pt idx="447">
                        <c:v>-19098.682628744129</c:v>
                      </c:pt>
                      <c:pt idx="448">
                        <c:v>-18633.631412900573</c:v>
                      </c:pt>
                      <c:pt idx="449">
                        <c:v>-18158.118442491774</c:v>
                      </c:pt>
                      <c:pt idx="450">
                        <c:v>-17672.939894823045</c:v>
                      </c:pt>
                      <c:pt idx="451">
                        <c:v>-17178.823375765616</c:v>
                      </c:pt>
                      <c:pt idx="452">
                        <c:v>-16676.435536122026</c:v>
                      </c:pt>
                      <c:pt idx="453">
                        <c:v>-16166.38868072874</c:v>
                      </c:pt>
                      <c:pt idx="454">
                        <c:v>-15649.246523273612</c:v>
                      </c:pt>
                      <c:pt idx="455">
                        <c:v>-15125.52921388422</c:v>
                      </c:pt>
                      <c:pt idx="456">
                        <c:v>-14595.7177454175</c:v>
                      </c:pt>
                      <c:pt idx="457">
                        <c:v>-14060.257827099897</c:v>
                      </c:pt>
                      <c:pt idx="458">
                        <c:v>-13519.563299977888</c:v>
                      </c:pt>
                      <c:pt idx="459">
                        <c:v>-12974.019156944882</c:v>
                      </c:pt>
                      <c:pt idx="460">
                        <c:v>-12423.984220437775</c:v>
                      </c:pt>
                      <c:pt idx="461">
                        <c:v>-11869.793522866916</c:v>
                      </c:pt>
                      <c:pt idx="462">
                        <c:v>-11311.760428153942</c:v>
                      </c:pt>
                      <c:pt idx="463">
                        <c:v>-10750.178527160206</c:v>
                      </c:pt>
                      <c:pt idx="464">
                        <c:v>-10185.323335098235</c:v>
                      </c:pt>
                      <c:pt idx="465">
                        <c:v>-9617.453815071829</c:v>
                      </c:pt>
                      <c:pt idx="466">
                        <c:v>-9046.8137485583175</c:v>
                      </c:pt>
                      <c:pt idx="467">
                        <c:v>-8473.632970824905</c:v>
                      </c:pt>
                      <c:pt idx="468">
                        <c:v>-7898.1284868743041</c:v>
                      </c:pt>
                      <c:pt idx="469">
                        <c:v>-7320.5054814731466</c:v>
                      </c:pt>
                      <c:pt idx="470">
                        <c:v>-6740.9582350724231</c:v>
                      </c:pt>
                      <c:pt idx="471">
                        <c:v>-6159.6709559349138</c:v>
                      </c:pt>
                      <c:pt idx="472">
                        <c:v>-5576.818537501068</c:v>
                      </c:pt>
                      <c:pt idx="473">
                        <c:v>-4992.5672489193676</c:v>
                      </c:pt>
                      <c:pt idx="474">
                        <c:v>-4407.075365712838</c:v>
                      </c:pt>
                      <c:pt idx="475">
                        <c:v>-3820.4937467273398</c:v>
                      </c:pt>
                      <c:pt idx="476">
                        <c:v>-3232.966362790622</c:v>
                      </c:pt>
                      <c:pt idx="477">
                        <c:v>-2644.6307818879827</c:v>
                      </c:pt>
                      <c:pt idx="478">
                        <c:v>-2055.6186151172465</c:v>
                      </c:pt>
                      <c:pt idx="479">
                        <c:v>-1466.0559272114431</c:v>
                      </c:pt>
                      <c:pt idx="480">
                        <c:v>-876.06361500236812</c:v>
                      </c:pt>
                      <c:pt idx="481">
                        <c:v>-285.75775683408784</c:v>
                      </c:pt>
                      <c:pt idx="482">
                        <c:v>304.75006438456592</c:v>
                      </c:pt>
                      <c:pt idx="483">
                        <c:v>895.35246208121532</c:v>
                      </c:pt>
                      <c:pt idx="484">
                        <c:v>1485.9459687161302</c:v>
                      </c:pt>
                      <c:pt idx="485">
                        <c:v>2076.4307783343111</c:v>
                      </c:pt>
                      <c:pt idx="486">
                        <c:v>2666.7105072288336</c:v>
                      </c:pt>
                      <c:pt idx="487">
                        <c:v>3256.6919711432906</c:v>
                      </c:pt>
                      <c:pt idx="488">
                        <c:v>3846.2849775943337</c:v>
                      </c:pt>
                      <c:pt idx="489">
                        <c:v>4435.4021320316306</c:v>
                      </c:pt>
                      <c:pt idx="490">
                        <c:v>5023.9586566739845</c:v>
                      </c:pt>
                      <c:pt idx="491">
                        <c:v>5611.8722209687594</c:v>
                      </c:pt>
                      <c:pt idx="492">
                        <c:v>6199.0627827186117</c:v>
                      </c:pt>
                      <c:pt idx="493">
                        <c:v>6785.4524390062434</c:v>
                      </c:pt>
                      <c:pt idx="494">
                        <c:v>7370.9652861255618</c:v>
                      </c:pt>
                      <c:pt idx="495">
                        <c:v>7955.5272877973748</c:v>
                      </c:pt>
                      <c:pt idx="496">
                        <c:v>8539.0661510103928</c:v>
                      </c:pt>
                      <c:pt idx="497">
                        <c:v>9121.511208884649</c:v>
                      </c:pt>
                      <c:pt idx="498">
                        <c:v>9702.793310005216</c:v>
                      </c:pt>
                      <c:pt idx="499">
                        <c:v>10282.844713719851</c:v>
                      </c:pt>
                      <c:pt idx="500">
                        <c:v>10861.59899093547</c:v>
                      </c:pt>
                      <c:pt idx="501">
                        <c:v>11438.990929985703</c:v>
                      </c:pt>
                      <c:pt idx="502">
                        <c:v>12014.956447175444</c:v>
                      </c:pt>
                      <c:pt idx="503">
                        <c:v>12589.432501638905</c:v>
                      </c:pt>
                      <c:pt idx="504">
                        <c:v>13162.357014175224</c:v>
                      </c:pt>
                      <c:pt idx="505">
                        <c:v>13733.668789750818</c:v>
                      </c:pt>
                      <c:pt idx="506">
                        <c:v>14303.307443380265</c:v>
                      </c:pt>
                      <c:pt idx="507">
                        <c:v>14871.213329118204</c:v>
                      </c:pt>
                      <c:pt idx="508">
                        <c:v>15437.327471913301</c:v>
                      </c:pt>
                      <c:pt idx="509">
                        <c:v>16001.591502092368</c:v>
                      </c:pt>
                      <c:pt idx="510">
                        <c:v>16563.947592258046</c:v>
                      </c:pt>
                      <c:pt idx="511">
                        <c:v>17124.338396397441</c:v>
                      </c:pt>
                      <c:pt idx="512">
                        <c:v>17682.706991011728</c:v>
                      </c:pt>
                      <c:pt idx="513">
                        <c:v>18238.996818088195</c:v>
                      </c:pt>
                      <c:pt idx="514">
                        <c:v>18793.151629746622</c:v>
                      </c:pt>
                      <c:pt idx="515">
                        <c:v>19345.115434401214</c:v>
                      </c:pt>
                      <c:pt idx="516">
                        <c:v>19894.832444287771</c:v>
                      </c:pt>
                      <c:pt idx="517">
                        <c:v>20442.247024213448</c:v>
                      </c:pt>
                      <c:pt idx="518">
                        <c:v>20987.303641393264</c:v>
                      </c:pt>
                      <c:pt idx="519">
                        <c:v>21529.946816243617</c:v>
                      </c:pt>
                      <c:pt idx="520">
                        <c:v>22070.121074008559</c:v>
                      </c:pt>
                      <c:pt idx="521">
                        <c:v>22607.77089709937</c:v>
                      </c:pt>
                      <c:pt idx="522">
                        <c:v>23142.840678032182</c:v>
                      </c:pt>
                      <c:pt idx="523">
                        <c:v>23675.274672852123</c:v>
                      </c:pt>
                      <c:pt idx="524">
                        <c:v>24205.016954935578</c:v>
                      </c:pt>
                      <c:pt idx="525">
                        <c:v>24732.0113690648</c:v>
                      </c:pt>
                      <c:pt idx="526">
                        <c:v>25256.201485671307</c:v>
                      </c:pt>
                      <c:pt idx="527">
                        <c:v>25777.530555146212</c:v>
                      </c:pt>
                      <c:pt idx="528">
                        <c:v>26295.94146211688</c:v>
                      </c:pt>
                      <c:pt idx="529">
                        <c:v>26811.376679590216</c:v>
                      </c:pt>
                      <c:pt idx="530">
                        <c:v>27323.778222863217</c:v>
                      </c:pt>
                      <c:pt idx="531">
                        <c:v>27833.087603101518</c:v>
                      </c:pt>
                      <c:pt idx="532">
                        <c:v>28339.245780486188</c:v>
                      </c:pt>
                      <c:pt idx="533">
                        <c:v>28842.193116828286</c:v>
                      </c:pt>
                      <c:pt idx="534">
                        <c:v>29341.869327549332</c:v>
                      </c:pt>
                      <c:pt idx="535">
                        <c:v>29838.213432924356</c:v>
                      </c:pt>
                      <c:pt idx="536">
                        <c:v>30331.163708481985</c:v>
                      </c:pt>
                      <c:pt idx="537">
                        <c:v>30820.657634453528</c:v>
                      </c:pt>
                      <c:pt idx="538">
                        <c:v>31306.631844160096</c:v>
                      </c:pt>
                      <c:pt idx="539">
                        <c:v>31789.022071223306</c:v>
                      </c:pt>
                      <c:pt idx="540">
                        <c:v>32267.763095481208</c:v>
                      </c:pt>
                      <c:pt idx="541">
                        <c:v>32742.788687486591</c:v>
                      </c:pt>
                      <c:pt idx="542">
                        <c:v>33214.031551459884</c:v>
                      </c:pt>
                      <c:pt idx="543">
                        <c:v>33681.423266563266</c:v>
                      </c:pt>
                      <c:pt idx="544">
                        <c:v>34144.89422635649</c:v>
                      </c:pt>
                      <c:pt idx="545">
                        <c:v>34604.373576287973</c:v>
                      </c:pt>
                      <c:pt idx="546">
                        <c:v>35059.789149067401</c:v>
                      </c:pt>
                      <c:pt idx="547">
                        <c:v>35511.06739775763</c:v>
                      </c:pt>
                      <c:pt idx="548">
                        <c:v>35958.133326414718</c:v>
                      </c:pt>
                      <c:pt idx="549">
                        <c:v>36400.910418095045</c:v>
                      </c:pt>
                      <c:pt idx="550">
                        <c:v>36839.320560037486</c:v>
                      </c:pt>
                      <c:pt idx="551">
                        <c:v>37273.28396581683</c:v>
                      </c:pt>
                      <c:pt idx="552">
                        <c:v>37702.71909425169</c:v>
                      </c:pt>
                      <c:pt idx="553">
                        <c:v>38127.542564835901</c:v>
                      </c:pt>
                      <c:pt idx="554">
                        <c:v>38547.669069446936</c:v>
                      </c:pt>
                      <c:pt idx="555">
                        <c:v>38963.011280068073</c:v>
                      </c:pt>
                      <c:pt idx="556">
                        <c:v>39373.4797522425</c:v>
                      </c:pt>
                      <c:pt idx="557">
                        <c:v>39778.98282395734</c:v>
                      </c:pt>
                      <c:pt idx="558">
                        <c:v>40179.426509633631</c:v>
                      </c:pt>
                      <c:pt idx="559">
                        <c:v>40574.714388874119</c:v>
                      </c:pt>
                      <c:pt idx="560">
                        <c:v>40964.747489594316</c:v>
                      </c:pt>
                      <c:pt idx="561">
                        <c:v>41349.424165133467</c:v>
                      </c:pt>
                      <c:pt idx="562">
                        <c:v>41728.639964910362</c:v>
                      </c:pt>
                      <c:pt idx="563">
                        <c:v>42102.287498154117</c:v>
                      </c:pt>
                      <c:pt idx="564">
                        <c:v>42470.256290202226</c:v>
                      </c:pt>
                      <c:pt idx="565">
                        <c:v>42832.432630815958</c:v>
                      </c:pt>
                      <c:pt idx="566">
                        <c:v>43188.699413917464</c:v>
                      </c:pt>
                      <c:pt idx="567">
                        <c:v>43538.935968102145</c:v>
                      </c:pt>
                      <c:pt idx="568">
                        <c:v>43883.017877224054</c:v>
                      </c:pt>
                      <c:pt idx="569">
                        <c:v>44220.816790290482</c:v>
                      </c:pt>
                      <c:pt idx="570">
                        <c:v>44552.200219833991</c:v>
                      </c:pt>
                      <c:pt idx="571">
                        <c:v>44877.031327854835</c:v>
                      </c:pt>
                      <c:pt idx="572">
                        <c:v>45195.168698343579</c:v>
                      </c:pt>
                      <c:pt idx="573">
                        <c:v>45506.466095301374</c:v>
                      </c:pt>
                      <c:pt idx="574">
                        <c:v>45810.772205073001</c:v>
                      </c:pt>
                      <c:pt idx="575">
                        <c:v>46107.930361693892</c:v>
                      </c:pt>
                      <c:pt idx="576">
                        <c:v>46397.778253825643</c:v>
                      </c:pt>
                      <c:pt idx="577">
                        <c:v>46680.147611713321</c:v>
                      </c:pt>
                      <c:pt idx="578">
                        <c:v>46954.863872440081</c:v>
                      </c:pt>
                      <c:pt idx="579">
                        <c:v>47221.745821578275</c:v>
                      </c:pt>
                      <c:pt idx="580">
                        <c:v>47480.605209138841</c:v>
                      </c:pt>
                      <c:pt idx="581">
                        <c:v>47731.246337498975</c:v>
                      </c:pt>
                      <c:pt idx="582">
                        <c:v>47973.46561873937</c:v>
                      </c:pt>
                      <c:pt idx="583">
                        <c:v>48207.051098541633</c:v>
                      </c:pt>
                      <c:pt idx="584">
                        <c:v>48431.781943480681</c:v>
                      </c:pt>
                      <c:pt idx="585">
                        <c:v>48647.427888189341</c:v>
                      </c:pt>
                      <c:pt idx="586">
                        <c:v>48853.748638468234</c:v>
                      </c:pt>
                      <c:pt idx="587">
                        <c:v>49050.493225954851</c:v>
                      </c:pt>
                      <c:pt idx="588">
                        <c:v>49237.399309444401</c:v>
                      </c:pt>
                      <c:pt idx="589">
                        <c:v>49414.192417360631</c:v>
                      </c:pt>
                      <c:pt idx="590">
                        <c:v>49580.585125196412</c:v>
                      </c:pt>
                      <c:pt idx="591">
                        <c:v>49736.276160967587</c:v>
                      </c:pt>
                      <c:pt idx="592">
                        <c:v>49880.949430833018</c:v>
                      </c:pt>
                      <c:pt idx="593">
                        <c:v>50014.272956009918</c:v>
                      </c:pt>
                      <c:pt idx="594">
                        <c:v>50135.897710933205</c:v>
                      </c:pt>
                      <c:pt idx="595">
                        <c:v>50245.456351243673</c:v>
                      </c:pt>
                      <c:pt idx="596">
                        <c:v>50342.561818608985</c:v>
                      </c:pt>
                      <c:pt idx="597">
                        <c:v>50426.805807544719</c:v>
                      </c:pt>
                      <c:pt idx="598">
                        <c:v>50497.757077261987</c:v>
                      </c:pt>
                      <c:pt idx="599">
                        <c:v>50554.959589065904</c:v>
                      </c:pt>
                      <c:pt idx="600">
                        <c:v>50597.930446895407</c:v>
                      </c:pt>
                      <c:pt idx="601">
                        <c:v>50626.15761514382</c:v>
                      </c:pt>
                      <c:pt idx="602">
                        <c:v>50639.097383826782</c:v>
                      </c:pt>
                      <c:pt idx="603">
                        <c:v>50636.171546340971</c:v>
                      </c:pt>
                      <c:pt idx="604">
                        <c:v>50616.764249324704</c:v>
                      </c:pt>
                      <c:pt idx="605">
                        <c:v>50580.218467293678</c:v>
                      </c:pt>
                      <c:pt idx="606">
                        <c:v>50525.832046536882</c:v>
                      </c:pt>
                      <c:pt idx="607">
                        <c:v>50452.853252913977</c:v>
                      </c:pt>
                      <c:pt idx="608">
                        <c:v>50360.4757463118</c:v>
                      </c:pt>
                      <c:pt idx="609">
                        <c:v>50247.832890111153</c:v>
                      </c:pt>
                      <c:pt idx="610">
                        <c:v>50113.991286472068</c:v>
                      </c:pt>
                      <c:pt idx="611">
                        <c:v>49957.94340678634</c:v>
                      </c:pt>
                      <c:pt idx="612">
                        <c:v>49778.599160272141</c:v>
                      </c:pt>
                      <c:pt idx="613">
                        <c:v>49574.776211113975</c:v>
                      </c:pt>
                      <c:pt idx="614">
                        <c:v>49345.188814125417</c:v>
                      </c:pt>
                      <c:pt idx="615">
                        <c:v>49088.434888482348</c:v>
                      </c:pt>
                      <c:pt idx="616">
                        <c:v>48802.980985838512</c:v>
                      </c:pt>
                      <c:pt idx="617">
                        <c:v>48487.144729426887</c:v>
                      </c:pt>
                      <c:pt idx="618">
                        <c:v>48139.074199752613</c:v>
                      </c:pt>
                      <c:pt idx="619">
                        <c:v>47756.723613853203</c:v>
                      </c:pt>
                      <c:pt idx="620">
                        <c:v>47337.824480471478</c:v>
                      </c:pt>
                      <c:pt idx="621">
                        <c:v>46879.85120182352</c:v>
                      </c:pt>
                      <c:pt idx="622">
                        <c:v>46379.979819449029</c:v>
                      </c:pt>
                      <c:pt idx="623">
                        <c:v>45835.038248005359</c:v>
                      </c:pt>
                      <c:pt idx="624">
                        <c:v>45241.445882561238</c:v>
                      </c:pt>
                      <c:pt idx="625">
                        <c:v>44595.13987176941</c:v>
                      </c:pt>
                      <c:pt idx="626">
                        <c:v>43891.48458577499</c:v>
                      </c:pt>
                      <c:pt idx="627">
                        <c:v>43125.159837122294</c:v>
                      </c:pt>
                      <c:pt idx="628">
                        <c:v>42290.022209444098</c:v>
                      </c:pt>
                      <c:pt idx="629">
                        <c:v>41378.932428224245</c:v>
                      </c:pt>
                      <c:pt idx="630">
                        <c:v>40383.540200175688</c:v>
                      </c:pt>
                      <c:pt idx="631">
                        <c:v>39294.016758961414</c:v>
                      </c:pt>
                      <c:pt idx="632">
                        <c:v>38098.725523409179</c:v>
                      </c:pt>
                      <c:pt idx="633">
                        <c:v>36783.825226893103</c:v>
                      </c:pt>
                      <c:pt idx="634">
                        <c:v>35332.812971448075</c:v>
                      </c:pt>
                      <c:pt idx="635">
                        <c:v>33726.048094298647</c:v>
                      </c:pt>
                      <c:pt idx="636">
                        <c:v>31940.373095941348</c:v>
                      </c:pt>
                      <c:pt idx="637">
                        <c:v>29949.100622685521</c:v>
                      </c:pt>
                      <c:pt idx="638">
                        <c:v>27722.901867046858</c:v>
                      </c:pt>
                      <c:pt idx="639">
                        <c:v>25232.468432329377</c:v>
                      </c:pt>
                      <c:pt idx="640">
                        <c:v>22453.868954097285</c:v>
                      </c:pt>
                      <c:pt idx="641">
                        <c:v>19376.338080039561</c:v>
                      </c:pt>
                      <c:pt idx="642">
                        <c:v>16009.034210110489</c:v>
                      </c:pt>
                      <c:pt idx="643">
                        <c:v>12380.473674417928</c:v>
                      </c:pt>
                      <c:pt idx="644">
                        <c:v>8527.8266408687341</c:v>
                      </c:pt>
                      <c:pt idx="645">
                        <c:v>4482.0863649657713</c:v>
                      </c:pt>
                      <c:pt idx="646">
                        <c:v>256.14217716440464</c:v>
                      </c:pt>
                      <c:pt idx="647">
                        <c:v>-4166.1736342722597</c:v>
                      </c:pt>
                      <c:pt idx="648">
                        <c:v>-8829.3669557485173</c:v>
                      </c:pt>
                      <c:pt idx="649">
                        <c:v>-13738.95686603212</c:v>
                      </c:pt>
                      <c:pt idx="650">
                        <c:v>-18746.928212942712</c:v>
                      </c:pt>
                      <c:pt idx="651">
                        <c:v>-23614.264001911812</c:v>
                      </c:pt>
                      <c:pt idx="652">
                        <c:v>-28200.919702384883</c:v>
                      </c:pt>
                      <c:pt idx="653">
                        <c:v>-32493.263343781578</c:v>
                      </c:pt>
                      <c:pt idx="654">
                        <c:v>-36525.226880212504</c:v>
                      </c:pt>
                      <c:pt idx="655">
                        <c:v>-40335.943664344442</c:v>
                      </c:pt>
                      <c:pt idx="656">
                        <c:v>-43958.867772804137</c:v>
                      </c:pt>
                      <c:pt idx="657">
                        <c:v>-47420.764648469863</c:v>
                      </c:pt>
                      <c:pt idx="658">
                        <c:v>-50742.839925609172</c:v>
                      </c:pt>
                      <c:pt idx="659">
                        <c:v>-53942.023579190369</c:v>
                      </c:pt>
                      <c:pt idx="660">
                        <c:v>-57032.00888155985</c:v>
                      </c:pt>
                      <c:pt idx="661">
                        <c:v>-60024.027926904746</c:v>
                      </c:pt>
                      <c:pt idx="662">
                        <c:v>-62927.41949040108</c:v>
                      </c:pt>
                      <c:pt idx="663">
                        <c:v>-65750.045580815873</c:v>
                      </c:pt>
                      <c:pt idx="664">
                        <c:v>-68498.600039590034</c:v>
                      </c:pt>
                      <c:pt idx="665">
                        <c:v>-71178.840132597412</c:v>
                      </c:pt>
                      <c:pt idx="666">
                        <c:v>-73795.762751764865</c:v>
                      </c:pt>
                      <c:pt idx="667">
                        <c:v>-76353.740302433333</c:v>
                      </c:pt>
                      <c:pt idx="668">
                        <c:v>-78856.62686367135</c:v>
                      </c:pt>
                      <c:pt idx="669">
                        <c:v>-81307.842136723411</c:v>
                      </c:pt>
                      <c:pt idx="670">
                        <c:v>-83710.438582020957</c:v>
                      </c:pt>
                      <c:pt idx="671">
                        <c:v>-86067.155675150017</c:v>
                      </c:pt>
                      <c:pt idx="672">
                        <c:v>-88380.464178486945</c:v>
                      </c:pt>
                      <c:pt idx="673">
                        <c:v>-90652.602589485687</c:v>
                      </c:pt>
                      <c:pt idx="674">
                        <c:v>-92885.607396528168</c:v>
                      </c:pt>
                      <c:pt idx="675">
                        <c:v>-95081.338386774616</c:v>
                      </c:pt>
                      <c:pt idx="676">
                        <c:v>-97241.499965422525</c:v>
                      </c:pt>
                      <c:pt idx="677">
                        <c:v>-99367.65923326186</c:v>
                      </c:pt>
                      <c:pt idx="678">
                        <c:v>-101461.26140929786</c:v>
                      </c:pt>
                      <c:pt idx="679">
                        <c:v>-103523.64306338879</c:v>
                      </c:pt>
                      <c:pt idx="680">
                        <c:v>-105556.04353028977</c:v>
                      </c:pt>
                      <c:pt idx="681">
                        <c:v>-107559.61480401333</c:v>
                      </c:pt>
                      <c:pt idx="682">
                        <c:v>-109535.4301547978</c:v>
                      </c:pt>
                      <c:pt idx="683">
                        <c:v>-111484.49166639746</c:v>
                      </c:pt>
                      <c:pt idx="684">
                        <c:v>-113407.73685605293</c:v>
                      </c:pt>
                      <c:pt idx="685">
                        <c:v>-115306.04451126112</c:v>
                      </c:pt>
                      <c:pt idx="686">
                        <c:v>-117180.23985476077</c:v>
                      </c:pt>
                      <c:pt idx="687">
                        <c:v>-119031.09913078119</c:v>
                      </c:pt>
                      <c:pt idx="688">
                        <c:v>-120859.35369065352</c:v>
                      </c:pt>
                      <c:pt idx="689">
                        <c:v>-122665.69364364883</c:v>
                      </c:pt>
                      <c:pt idx="690">
                        <c:v>-124450.7711288415</c:v>
                      </c:pt>
                      <c:pt idx="691">
                        <c:v>-126215.20325547059</c:v>
                      </c:pt>
                      <c:pt idx="692">
                        <c:v>-127959.57475235481</c:v>
                      </c:pt>
                      <c:pt idx="693">
                        <c:v>-129684.44036114072</c:v>
                      </c:pt>
                      <c:pt idx="694">
                        <c:v>-131390.32700332234</c:v>
                      </c:pt>
                      <c:pt idx="695">
                        <c:v>-133077.73574689237</c:v>
                      </c:pt>
                      <c:pt idx="696">
                        <c:v>-134747.14359503938</c:v>
                      </c:pt>
                      <c:pt idx="697">
                        <c:v>-136399.00511637994</c:v>
                      </c:pt>
                      <c:pt idx="698">
                        <c:v>-138033.75393372448</c:v>
                      </c:pt>
                      <c:pt idx="699">
                        <c:v>-139651.80408624667</c:v>
                      </c:pt>
                      <c:pt idx="700">
                        <c:v>-141253.55127809994</c:v>
                      </c:pt>
                      <c:pt idx="701">
                        <c:v>-142839.37402495588</c:v>
                      </c:pt>
                      <c:pt idx="702">
                        <c:v>-144409.63470858254</c:v>
                      </c:pt>
                      <c:pt idx="703">
                        <c:v>-145964.68054840923</c:v>
                      </c:pt>
                      <c:pt idx="704">
                        <c:v>-147504.84449800552</c:v>
                      </c:pt>
                      <c:pt idx="705">
                        <c:v>-149030.44607351694</c:v>
                      </c:pt>
                      <c:pt idx="706">
                        <c:v>-150541.79212032672</c:v>
                      </c:pt>
                      <c:pt idx="707">
                        <c:v>-152039.17752353669</c:v>
                      </c:pt>
                      <c:pt idx="708">
                        <c:v>-153522.88586726726</c:v>
                      </c:pt>
                      <c:pt idx="709">
                        <c:v>-154993.19004725566</c:v>
                      </c:pt>
                      <c:pt idx="710">
                        <c:v>-156450.35284077196</c:v>
                      </c:pt>
                      <c:pt idx="711">
                        <c:v>-157894.62743746751</c:v>
                      </c:pt>
                      <c:pt idx="712">
                        <c:v>-159326.25793441074</c:v>
                      </c:pt>
                      <c:pt idx="713">
                        <c:v>-160745.47979824847</c:v>
                      </c:pt>
                      <c:pt idx="714">
                        <c:v>-162152.52029714745</c:v>
                      </c:pt>
                      <c:pt idx="715">
                        <c:v>-163547.59890491943</c:v>
                      </c:pt>
                      <c:pt idx="716">
                        <c:v>-164930.92767950951</c:v>
                      </c:pt>
                      <c:pt idx="717">
                        <c:v>-166302.71161782625</c:v>
                      </c:pt>
                      <c:pt idx="718">
                        <c:v>-167663.14898871351</c:v>
                      </c:pt>
                      <c:pt idx="719">
                        <c:v>-169012.43164570292</c:v>
                      </c:pt>
                      <c:pt idx="720">
                        <c:v>-170350.74532104167</c:v>
                      </c:pt>
                      <c:pt idx="721">
                        <c:v>-171678.26990236077</c:v>
                      </c:pt>
                      <c:pt idx="722">
                        <c:v>-172995.17969323165</c:v>
                      </c:pt>
                      <c:pt idx="723">
                        <c:v>-174301.64365875412</c:v>
                      </c:pt>
                      <c:pt idx="724">
                        <c:v>-175597.82565722326</c:v>
                      </c:pt>
                      <c:pt idx="725">
                        <c:v>-176883.88465883621</c:v>
                      </c:pt>
                      <c:pt idx="726">
                        <c:v>-178159.97495232281</c:v>
                      </c:pt>
                      <c:pt idx="727">
                        <c:v>-179426.24634031241</c:v>
                      </c:pt>
                      <c:pt idx="728">
                        <c:v>-180682.84432418534</c:v>
                      </c:pt>
                      <c:pt idx="729">
                        <c:v>-181929.91027909869</c:v>
                      </c:pt>
                      <c:pt idx="730">
                        <c:v>-183167.58161982373</c:v>
                      </c:pt>
                      <c:pt idx="731">
                        <c:v>-184395.9919579823</c:v>
                      </c:pt>
                      <c:pt idx="732">
                        <c:v>-185615.27125122689</c:v>
                      </c:pt>
                      <c:pt idx="733">
                        <c:v>-186825.54594486725</c:v>
                      </c:pt>
                      <c:pt idx="734">
                        <c:v>-188026.93910641051</c:v>
                      </c:pt>
                      <c:pt idx="735">
                        <c:v>-189219.57055344697</c:v>
                      </c:pt>
                      <c:pt idx="736">
                        <c:v>-190403.55697528322</c:v>
                      </c:pt>
                      <c:pt idx="737">
                        <c:v>-191579.0120486957</c:v>
                      </c:pt>
                      <c:pt idx="738">
                        <c:v>-192746.04654815144</c:v>
                      </c:pt>
                      <c:pt idx="739">
                        <c:v>-193904.76845081852</c:v>
                      </c:pt>
                      <c:pt idx="740">
                        <c:v>-195055.28303666718</c:v>
                      </c:pt>
                      <c:pt idx="741">
                        <c:v>-196197.6929839417</c:v>
                      </c:pt>
                      <c:pt idx="742">
                        <c:v>-197332.09846026395</c:v>
                      </c:pt>
                      <c:pt idx="743">
                        <c:v>-198458.5972096133</c:v>
                      </c:pt>
                      <c:pt idx="744">
                        <c:v>-199577.28463541032</c:v>
                      </c:pt>
                      <c:pt idx="745">
                        <c:v>-200688.25387991747</c:v>
                      </c:pt>
                      <c:pt idx="746">
                        <c:v>-201791.59590015622</c:v>
                      </c:pt>
                      <c:pt idx="747">
                        <c:v>-202887.3995405274</c:v>
                      </c:pt>
                      <c:pt idx="748">
                        <c:v>-203975.75160230926</c:v>
                      </c:pt>
                      <c:pt idx="749">
                        <c:v>-205056.73691019759</c:v>
                      </c:pt>
                      <c:pt idx="750">
                        <c:v>-206130.43837604162</c:v>
                      </c:pt>
                      <c:pt idx="751">
                        <c:v>-207196.93705991979</c:v>
                      </c:pt>
                      <c:pt idx="752">
                        <c:v>-208256.31222869156</c:v>
                      </c:pt>
                      <c:pt idx="753">
                        <c:v>-209308.64141215224</c:v>
                      </c:pt>
                      <c:pt idx="754">
                        <c:v>-210354.00045691102</c:v>
                      </c:pt>
                      <c:pt idx="755">
                        <c:v>-211392.46357810489</c:v>
                      </c:pt>
                      <c:pt idx="756">
                        <c:v>-212424.10340905481</c:v>
                      </c:pt>
                      <c:pt idx="757">
                        <c:v>-213448.99104896412</c:v>
                      </c:pt>
                      <c:pt idx="758">
                        <c:v>-214467.1961087535</c:v>
                      </c:pt>
                      <c:pt idx="759">
                        <c:v>-215478.78675512163</c:v>
                      </c:pt>
                      <c:pt idx="760">
                        <c:v>-216483.82975291539</c:v>
                      </c:pt>
                      <c:pt idx="761">
                        <c:v>-217482.39050588896</c:v>
                      </c:pt>
                      <c:pt idx="762">
                        <c:v>-218474.53309592669</c:v>
                      </c:pt>
                      <c:pt idx="763">
                        <c:v>-219460.32032080059</c:v>
                      </c:pt>
                      <c:pt idx="764">
                        <c:v>-220439.81373052931</c:v>
                      </c:pt>
                      <c:pt idx="765">
                        <c:v>-221413.07366240205</c:v>
                      </c:pt>
                      <c:pt idx="766">
                        <c:v>-222380.15927472731</c:v>
                      </c:pt>
                      <c:pt idx="767">
                        <c:v>-223341.12857936329</c:v>
                      </c:pt>
                      <c:pt idx="768">
                        <c:v>-224296.03847308355</c:v>
                      </c:pt>
                      <c:pt idx="769">
                        <c:v>-225244.94476782941</c:v>
                      </c:pt>
                      <c:pt idx="770">
                        <c:v>-226187.9022198969</c:v>
                      </c:pt>
                      <c:pt idx="771">
                        <c:v>-227124.96455810452</c:v>
                      </c:pt>
                      <c:pt idx="772">
                        <c:v>-228056.1845109851</c:v>
                      </c:pt>
                      <c:pt idx="773">
                        <c:v>-228981.61383304338</c:v>
                      </c:pt>
                      <c:pt idx="774">
                        <c:v>-229901.30333011842</c:v>
                      </c:pt>
                      <c:pt idx="775">
                        <c:v>-230815.30288388819</c:v>
                      </c:pt>
                      <c:pt idx="776">
                        <c:v>-231723.66147555195</c:v>
                      </c:pt>
                      <c:pt idx="777">
                        <c:v>-232626.42720872414</c:v>
                      </c:pt>
                      <c:pt idx="778">
                        <c:v>-233523.64733157176</c:v>
                      </c:pt>
                      <c:pt idx="779">
                        <c:v>-234415.36825822602</c:v>
                      </c:pt>
                      <c:pt idx="780">
                        <c:v>-235301.63558949737</c:v>
                      </c:pt>
                      <c:pt idx="781">
                        <c:v>-236182.49413292148</c:v>
                      </c:pt>
                      <c:pt idx="782">
                        <c:v>-237057.98792216292</c:v>
                      </c:pt>
                      <c:pt idx="783">
                        <c:v>-237928.1602358013</c:v>
                      </c:pt>
                      <c:pt idx="784">
                        <c:v>-238793.05361552449</c:v>
                      </c:pt>
                      <c:pt idx="785">
                        <c:v>-239652.7098837512</c:v>
                      </c:pt>
                      <c:pt idx="786">
                        <c:v>-240507.17016070537</c:v>
                      </c:pt>
                      <c:pt idx="787">
                        <c:v>-241356.47488096287</c:v>
                      </c:pt>
                      <c:pt idx="788">
                        <c:v>-242200.66380949083</c:v>
                      </c:pt>
                      <c:pt idx="789">
                        <c:v>-243039.77605719827</c:v>
                      </c:pt>
                      <c:pt idx="790">
                        <c:v>-243873.85009601648</c:v>
                      </c:pt>
                      <c:pt idx="791">
                        <c:v>-244702.92377352668</c:v>
                      </c:pt>
                      <c:pt idx="792">
                        <c:v>-245527.03432715117</c:v>
                      </c:pt>
                      <c:pt idx="793">
                        <c:v>-246346.21839792444</c:v>
                      </c:pt>
                      <c:pt idx="794">
                        <c:v>-247160.51204385914</c:v>
                      </c:pt>
                      <c:pt idx="795">
                        <c:v>-247969.95075292143</c:v>
                      </c:pt>
                      <c:pt idx="796">
                        <c:v>-248774.56945563018</c:v>
                      </c:pt>
                      <c:pt idx="797">
                        <c:v>-249574.40253729271</c:v>
                      </c:pt>
                      <c:pt idx="798">
                        <c:v>-250369.48384989047</c:v>
                      </c:pt>
                      <c:pt idx="799">
                        <c:v>-251159.84672362657</c:v>
                      </c:pt>
                      <c:pt idx="800">
                        <c:v>-251945.52397814707</c:v>
                      </c:pt>
                      <c:pt idx="801">
                        <c:v>-252726.54793344735</c:v>
                      </c:pt>
                      <c:pt idx="802">
                        <c:v>-253502.95042047443</c:v>
                      </c:pt>
                      <c:pt idx="803">
                        <c:v>-254274.76279143538</c:v>
                      </c:pt>
                      <c:pt idx="804">
                        <c:v>-255042.01592982202</c:v>
                      </c:pt>
                      <c:pt idx="805">
                        <c:v>-255804.74026016149</c:v>
                      </c:pt>
                      <c:pt idx="806">
                        <c:v>-256562.96575750166</c:v>
                      </c:pt>
                      <c:pt idx="807">
                        <c:v>-257316.72195664054</c:v>
                      </c:pt>
                      <c:pt idx="808">
                        <c:v>-258066.03796110774</c:v>
                      </c:pt>
                      <c:pt idx="809">
                        <c:v>-258810.94245190639</c:v>
                      </c:pt>
                      <c:pt idx="810">
                        <c:v>-259551.46369602354</c:v>
                      </c:pt>
                      <c:pt idx="811">
                        <c:v>-260287.62955471603</c:v>
                      </c:pt>
                      <c:pt idx="812">
                        <c:v>-261019.46749157956</c:v>
                      </c:pt>
                      <c:pt idx="813">
                        <c:v>-261747.00458040761</c:v>
                      </c:pt>
                      <c:pt idx="814">
                        <c:v>-262470.2675128472</c:v>
                      </c:pt>
                      <c:pt idx="815">
                        <c:v>-263189.28260585741</c:v>
                      </c:pt>
                      <c:pt idx="816">
                        <c:v>-263904.07580897777</c:v>
                      </c:pt>
                      <c:pt idx="817">
                        <c:v>-264614.6727114112</c:v>
                      </c:pt>
                      <c:pt idx="818">
                        <c:v>-265321.09854892874</c:v>
                      </c:pt>
                      <c:pt idx="819">
                        <c:v>-266023.37821060017</c:v>
                      </c:pt>
                      <c:pt idx="820">
                        <c:v>-266721.53624535719</c:v>
                      </c:pt>
                      <c:pt idx="821">
                        <c:v>-267415.59686839295</c:v>
                      </c:pt>
                      <c:pt idx="822">
                        <c:v>-268105.58396740415</c:v>
                      </c:pt>
                      <c:pt idx="823">
                        <c:v>-268791.52110867959</c:v>
                      </c:pt>
                      <c:pt idx="824">
                        <c:v>-269473.43154304038</c:v>
                      </c:pt>
                      <c:pt idx="825">
                        <c:v>-270151.33821163548</c:v>
                      </c:pt>
                      <c:pt idx="826">
                        <c:v>-270825.26375159802</c:v>
                      </c:pt>
                      <c:pt idx="827">
                        <c:v>-271495.23050156521</c:v>
                      </c:pt>
                      <c:pt idx="828">
                        <c:v>-272161.26050706703</c:v>
                      </c:pt>
                      <c:pt idx="829">
                        <c:v>-272823.3755257866</c:v>
                      </c:pt>
                      <c:pt idx="830">
                        <c:v>-273481.59703269659</c:v>
                      </c:pt>
                      <c:pt idx="831">
                        <c:v>-274135.94622507499</c:v>
                      </c:pt>
                      <c:pt idx="832">
                        <c:v>-274786.44402740343</c:v>
                      </c:pt>
                      <c:pt idx="833">
                        <c:v>-275433.11109615228</c:v>
                      </c:pt>
                      <c:pt idx="834">
                        <c:v>-276075.96782445483</c:v>
                      </c:pt>
                      <c:pt idx="835">
                        <c:v>-276715.03434667381</c:v>
                      </c:pt>
                      <c:pt idx="836">
                        <c:v>-277350.3305428641</c:v>
                      </c:pt>
                      <c:pt idx="837">
                        <c:v>-277981.8760431335</c:v>
                      </c:pt>
                      <c:pt idx="838">
                        <c:v>-278609.69023190497</c:v>
                      </c:pt>
                      <c:pt idx="839">
                        <c:v>-279233.79225208302</c:v>
                      </c:pt>
                      <c:pt idx="840">
                        <c:v>-279854.20100912655</c:v>
                      </c:pt>
                      <c:pt idx="841">
                        <c:v>-280470.93517503142</c:v>
                      </c:pt>
                      <c:pt idx="842">
                        <c:v>-281084.01319222414</c:v>
                      </c:pt>
                      <c:pt idx="843">
                        <c:v>-281693.45327737025</c:v>
                      </c:pt>
                      <c:pt idx="844">
                        <c:v>-282299.27342509892</c:v>
                      </c:pt>
                      <c:pt idx="845">
                        <c:v>-282901.49141164625</c:v>
                      </c:pt>
                      <c:pt idx="846">
                        <c:v>-283500.12479841925</c:v>
                      </c:pt>
                      <c:pt idx="847">
                        <c:v>-284095.1909354832</c:v>
                      </c:pt>
                      <c:pt idx="848">
                        <c:v>-284686.70696497353</c:v>
                      </c:pt>
                      <c:pt idx="849">
                        <c:v>-285274.68982443528</c:v>
                      </c:pt>
                      <c:pt idx="850">
                        <c:v>-285859.15625009069</c:v>
                      </c:pt>
                      <c:pt idx="851">
                        <c:v>-286440.12278003799</c:v>
                      </c:pt>
                      <c:pt idx="852">
                        <c:v>-287017.60575738287</c:v>
                      </c:pt>
                      <c:pt idx="853">
                        <c:v>-287591.6213333038</c:v>
                      </c:pt>
                      <c:pt idx="854">
                        <c:v>-288162.18547005346</c:v>
                      </c:pt>
                      <c:pt idx="855">
                        <c:v>-288729.3139438979</c:v>
                      </c:pt>
                      <c:pt idx="856">
                        <c:v>-289293.02234799461</c:v>
                      </c:pt>
                      <c:pt idx="857">
                        <c:v>-289853.32609521167</c:v>
                      </c:pt>
                      <c:pt idx="858">
                        <c:v>-290410.24042088876</c:v>
                      </c:pt>
                      <c:pt idx="859">
                        <c:v>-290963.78038554179</c:v>
                      </c:pt>
                      <c:pt idx="860">
                        <c:v>-291513.96087751311</c:v>
                      </c:pt>
                      <c:pt idx="861">
                        <c:v>-292060.79661556741</c:v>
                      </c:pt>
                      <c:pt idx="862">
                        <c:v>-292604.30215143593</c:v>
                      </c:pt>
                      <c:pt idx="863">
                        <c:v>-293144.49187230936</c:v>
                      </c:pt>
                      <c:pt idx="864">
                        <c:v>-293681.38000328117</c:v>
                      </c:pt>
                      <c:pt idx="865">
                        <c:v>-294214.9806097424</c:v>
                      </c:pt>
                      <c:pt idx="866">
                        <c:v>-294745.3075997291</c:v>
                      </c:pt>
                      <c:pt idx="867">
                        <c:v>-295272.37472622341</c:v>
                      </c:pt>
                      <c:pt idx="868">
                        <c:v>-295796.19558940985</c:v>
                      </c:pt>
                      <c:pt idx="869">
                        <c:v>-296316.78363888728</c:v>
                      </c:pt>
                      <c:pt idx="870">
                        <c:v>-296834.15217583813</c:v>
                      </c:pt>
                      <c:pt idx="871">
                        <c:v>-297348.31435515557</c:v>
                      </c:pt>
                      <c:pt idx="872">
                        <c:v>-297859.28318752965</c:v>
                      </c:pt>
                      <c:pt idx="873">
                        <c:v>-298367.07154149347</c:v>
                      </c:pt>
                      <c:pt idx="874">
                        <c:v>-298871.69214543054</c:v>
                      </c:pt>
                      <c:pt idx="875">
                        <c:v>-299373.15758954344</c:v>
                      </c:pt>
                      <c:pt idx="876">
                        <c:v>-299871.48032778577</c:v>
                      </c:pt>
                      <c:pt idx="877">
                        <c:v>-300366.67267975729</c:v>
                      </c:pt>
                      <c:pt idx="878">
                        <c:v>-300858.74683256366</c:v>
                      </c:pt>
                      <c:pt idx="879">
                        <c:v>-301347.7148426412</c:v>
                      </c:pt>
                      <c:pt idx="880">
                        <c:v>-301833.58863754809</c:v>
                      </c:pt>
                      <c:pt idx="881">
                        <c:v>-302316.38001772179</c:v>
                      </c:pt>
                      <c:pt idx="882">
                        <c:v>-302796.10065820452</c:v>
                      </c:pt>
                      <c:pt idx="883">
                        <c:v>-303272.76211033657</c:v>
                      </c:pt>
                      <c:pt idx="884">
                        <c:v>-303746.37580341904</c:v>
                      </c:pt>
                      <c:pt idx="885">
                        <c:v>-304216.95304634573</c:v>
                      </c:pt>
                      <c:pt idx="886">
                        <c:v>-304684.5050292057</c:v>
                      </c:pt>
                      <c:pt idx="887">
                        <c:v>-305149.04282485676</c:v>
                      </c:pt>
                      <c:pt idx="888">
                        <c:v>-305610.57739047066</c:v>
                      </c:pt>
                      <c:pt idx="889">
                        <c:v>-306069.11956905026</c:v>
                      </c:pt>
                      <c:pt idx="890">
                        <c:v>-306524.68009091972</c:v>
                      </c:pt>
                      <c:pt idx="891">
                        <c:v>-306977.26957518817</c:v>
                      </c:pt>
                      <c:pt idx="892">
                        <c:v>-307426.89853118756</c:v>
                      </c:pt>
                      <c:pt idx="893">
                        <c:v>-307873.5773598844</c:v>
                      </c:pt>
                      <c:pt idx="894">
                        <c:v>-308317.31635526754</c:v>
                      </c:pt>
                      <c:pt idx="895">
                        <c:v>-308758.12570571073</c:v>
                      </c:pt>
                      <c:pt idx="896">
                        <c:v>-309196.01549531217</c:v>
                      </c:pt>
                      <c:pt idx="897">
                        <c:v>-309630.99570520991</c:v>
                      </c:pt>
                      <c:pt idx="898">
                        <c:v>-310063.07621487504</c:v>
                      </c:pt>
                      <c:pt idx="899">
                        <c:v>-310492.26680338208</c:v>
                      </c:pt>
                      <c:pt idx="900">
                        <c:v>-310918.57715065789</c:v>
                      </c:pt>
                      <c:pt idx="901">
                        <c:v>-311342.01683870866</c:v>
                      </c:pt>
                      <c:pt idx="902">
                        <c:v>-311762.59535282641</c:v>
                      </c:pt>
                      <c:pt idx="903">
                        <c:v>-312180.32208277448</c:v>
                      </c:pt>
                      <c:pt idx="904">
                        <c:v>-312595.206323953</c:v>
                      </c:pt>
                      <c:pt idx="905">
                        <c:v>-313007.25727854489</c:v>
                      </c:pt>
                      <c:pt idx="906">
                        <c:v>-313416.48405664228</c:v>
                      </c:pt>
                      <c:pt idx="907">
                        <c:v>-313822.89567735384</c:v>
                      </c:pt>
                      <c:pt idx="908">
                        <c:v>-314226.50106989394</c:v>
                      </c:pt>
                      <c:pt idx="909">
                        <c:v>-314627.30907465349</c:v>
                      </c:pt>
                      <c:pt idx="910">
                        <c:v>-315025.32844425272</c:v>
                      </c:pt>
                      <c:pt idx="911">
                        <c:v>-315420.56784457684</c:v>
                      </c:pt>
                      <c:pt idx="912">
                        <c:v>-315813.03585579444</c:v>
                      </c:pt>
                      <c:pt idx="913">
                        <c:v>-316202.74097335897</c:v>
                      </c:pt>
                      <c:pt idx="914">
                        <c:v>-316589.69160899398</c:v>
                      </c:pt>
                      <c:pt idx="915">
                        <c:v>-316973.89609166229</c:v>
                      </c:pt>
                      <c:pt idx="916">
                        <c:v>-317355.36266851902</c:v>
                      </c:pt>
                      <c:pt idx="917">
                        <c:v>-317734.09950584959</c:v>
                      </c:pt>
                      <c:pt idx="918">
                        <c:v>-318110.11468999204</c:v>
                      </c:pt>
                      <c:pt idx="919">
                        <c:v>-318483.41622824472</c:v>
                      </c:pt>
                      <c:pt idx="920">
                        <c:v>-318854.01204975939</c:v>
                      </c:pt>
                      <c:pt idx="921">
                        <c:v>-319221.91000641993</c:v>
                      </c:pt>
                      <c:pt idx="922">
                        <c:v>-319587.1178737068</c:v>
                      </c:pt>
                      <c:pt idx="923">
                        <c:v>-319949.643351548</c:v>
                      </c:pt>
                      <c:pt idx="924">
                        <c:v>-320309.49406515644</c:v>
                      </c:pt>
                      <c:pt idx="925">
                        <c:v>-320666.67756585364</c:v>
                      </c:pt>
                      <c:pt idx="926">
                        <c:v>-321021.20133188111</c:v>
                      </c:pt>
                      <c:pt idx="927">
                        <c:v>-321373.07276919828</c:v>
                      </c:pt>
                      <c:pt idx="928">
                        <c:v>-321722.2992122682</c:v>
                      </c:pt>
                      <c:pt idx="929">
                        <c:v>-322068.88792483107</c:v>
                      </c:pt>
                      <c:pt idx="930">
                        <c:v>-322412.84610066522</c:v>
                      </c:pt>
                      <c:pt idx="931">
                        <c:v>-322754.18086433661</c:v>
                      </c:pt>
                      <c:pt idx="932">
                        <c:v>-323092.89927193674</c:v>
                      </c:pt>
                      <c:pt idx="933">
                        <c:v>-323429.00831180869</c:v>
                      </c:pt>
                      <c:pt idx="934">
                        <c:v>-323762.51490526239</c:v>
                      </c:pt>
                      <c:pt idx="935">
                        <c:v>-324093.42590727872</c:v>
                      </c:pt>
                      <c:pt idx="936">
                        <c:v>-324421.74810720258</c:v>
                      </c:pt>
                      <c:pt idx="937">
                        <c:v>-324747.48822942574</c:v>
                      </c:pt>
                      <c:pt idx="938">
                        <c:v>-325070.65293405886</c:v>
                      </c:pt>
                      <c:pt idx="939">
                        <c:v>-325391.24881759356</c:v>
                      </c:pt>
                      <c:pt idx="940">
                        <c:v>-325709.28241355432</c:v>
                      </c:pt>
                      <c:pt idx="941">
                        <c:v>-326024.76019314025</c:v>
                      </c:pt>
                      <c:pt idx="942">
                        <c:v>-326337.68856585771</c:v>
                      </c:pt>
                      <c:pt idx="943">
                        <c:v>-326648.07388014277</c:v>
                      </c:pt>
                      <c:pt idx="944">
                        <c:v>-326955.92242397461</c:v>
                      </c:pt>
                      <c:pt idx="945">
                        <c:v>-327261.24042547995</c:v>
                      </c:pt>
                      <c:pt idx="946">
                        <c:v>-327564.03405352781</c:v>
                      </c:pt>
                      <c:pt idx="947">
                        <c:v>-327864.30941831594</c:v>
                      </c:pt>
                      <c:pt idx="948">
                        <c:v>-328162.07257194823</c:v>
                      </c:pt>
                      <c:pt idx="949">
                        <c:v>-328457.32950900355</c:v>
                      </c:pt>
                      <c:pt idx="950">
                        <c:v>-328750.08616709628</c:v>
                      </c:pt>
                      <c:pt idx="951">
                        <c:v>-329040.3484274284</c:v>
                      </c:pt>
                      <c:pt idx="952">
                        <c:v>-329328.12211533351</c:v>
                      </c:pt>
                      <c:pt idx="953">
                        <c:v>-329613.4130008127</c:v>
                      </c:pt>
                      <c:pt idx="954">
                        <c:v>-329896.2267990628</c:v>
                      </c:pt>
                      <c:pt idx="955">
                        <c:v>-330176.56917099666</c:v>
                      </c:pt>
                      <c:pt idx="956">
                        <c:v>-330454.44572375575</c:v>
                      </c:pt>
                      <c:pt idx="957">
                        <c:v>-330729.86201121547</c:v>
                      </c:pt>
                      <c:pt idx="958">
                        <c:v>-331002.82353448303</c:v>
                      </c:pt>
                      <c:pt idx="959">
                        <c:v>-331273.33574238798</c:v>
                      </c:pt>
                      <c:pt idx="960">
                        <c:v>-331541.40403196571</c:v>
                      </c:pt>
                      <c:pt idx="961">
                        <c:v>-331807.03374893387</c:v>
                      </c:pt>
                      <c:pt idx="962">
                        <c:v>-332070.23018816207</c:v>
                      </c:pt>
                      <c:pt idx="963">
                        <c:v>-332330.99859413435</c:v>
                      </c:pt>
                      <c:pt idx="964">
                        <c:v>-332589.34416140569</c:v>
                      </c:pt>
                      <c:pt idx="965">
                        <c:v>-332845.2720350512</c:v>
                      </c:pt>
                      <c:pt idx="966">
                        <c:v>-333098.78731110931</c:v>
                      </c:pt>
                      <c:pt idx="967">
                        <c:v>-333349.89503701864</c:v>
                      </c:pt>
                      <c:pt idx="968">
                        <c:v>-333598.6002120481</c:v>
                      </c:pt>
                      <c:pt idx="969">
                        <c:v>-333844.90778772155</c:v>
                      </c:pt>
                      <c:pt idx="970">
                        <c:v>-334088.82266823581</c:v>
                      </c:pt>
                      <c:pt idx="971">
                        <c:v>-334330.34971087304</c:v>
                      </c:pt>
                      <c:pt idx="972">
                        <c:v>-334569.493726407</c:v>
                      </c:pt>
                      <c:pt idx="973">
                        <c:v>-334806.2594795039</c:v>
                      </c:pt>
                      <c:pt idx="974">
                        <c:v>-335040.65168911713</c:v>
                      </c:pt>
                      <c:pt idx="975">
                        <c:v>-335272.67502887669</c:v>
                      </c:pt>
                      <c:pt idx="976">
                        <c:v>-335502.33412747306</c:v>
                      </c:pt>
                      <c:pt idx="977">
                        <c:v>-335729.63356903539</c:v>
                      </c:pt>
                      <c:pt idx="978">
                        <c:v>-335954.57789350481</c:v>
                      </c:pt>
                      <c:pt idx="979">
                        <c:v>-336177.17159700196</c:v>
                      </c:pt>
                      <c:pt idx="980">
                        <c:v>-336397.41913218965</c:v>
                      </c:pt>
                      <c:pt idx="981">
                        <c:v>-336615.32490863046</c:v>
                      </c:pt>
                      <c:pt idx="982">
                        <c:v>-336830.89329313906</c:v>
                      </c:pt>
                      <c:pt idx="983">
                        <c:v>-337044.12861012982</c:v>
                      </c:pt>
                      <c:pt idx="984">
                        <c:v>-337255.03514195926</c:v>
                      </c:pt>
                      <c:pt idx="985">
                        <c:v>-337463.61712926411</c:v>
                      </c:pt>
                      <c:pt idx="986">
                        <c:v>-337669.87877129408</c:v>
                      </c:pt>
                      <c:pt idx="987">
                        <c:v>-337873.82422624051</c:v>
                      </c:pt>
                      <c:pt idx="988">
                        <c:v>-338075.45761156006</c:v>
                      </c:pt>
                      <c:pt idx="989">
                        <c:v>-338274.78300429409</c:v>
                      </c:pt>
                      <c:pt idx="990">
                        <c:v>-338471.80444138334</c:v>
                      </c:pt>
                      <c:pt idx="991">
                        <c:v>-338666.52591997839</c:v>
                      </c:pt>
                      <c:pt idx="992">
                        <c:v>-338858.9513977457</c:v>
                      </c:pt>
                      <c:pt idx="993">
                        <c:v>-339049.08479316946</c:v>
                      </c:pt>
                      <c:pt idx="994">
                        <c:v>-339236.92998584924</c:v>
                      </c:pt>
                      <c:pt idx="995">
                        <c:v>-339422.49081679317</c:v>
                      </c:pt>
                      <c:pt idx="996">
                        <c:v>-339605.77108870749</c:v>
                      </c:pt>
                      <c:pt idx="997">
                        <c:v>-339786.77456628188</c:v>
                      </c:pt>
                      <c:pt idx="998">
                        <c:v>-339965.50497647049</c:v>
                      </c:pt>
                      <c:pt idx="999">
                        <c:v>-340141.96600876958</c:v>
                      </c:pt>
                      <c:pt idx="1000">
                        <c:v>-340316.16131549096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F73F-4584-B119-E3CC2E63D94B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cercle v.</c:v>
                </c:tx>
                <c:spPr>
                  <a:ln w="95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dPt>
                  <c:idx val="51"/>
                  <c:marker>
                    <c:symbol val="none"/>
                  </c:marker>
                  <c:bubble3D val="0"/>
                  <c:spPr>
                    <a:ln w="9525" cap="rnd">
                      <a:solidFill>
                        <a:srgbClr val="FF0000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045F-4BA8-BFC6-22DFB9BB0556}"/>
                    </c:ext>
                  </c:extLst>
                </c:dPt>
                <c:dPt>
                  <c:idx val="69"/>
                  <c:marker>
                    <c:symbol val="none"/>
                  </c:marker>
                  <c:bubble3D val="0"/>
                  <c:spPr>
                    <a:ln w="9525" cap="rnd">
                      <a:solidFill>
                        <a:srgbClr val="FF0000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C-045F-4BA8-BFC6-22DFB9BB0556}"/>
                    </c:ext>
                  </c:extLst>
                </c:dPt>
                <c:dPt>
                  <c:idx val="80"/>
                  <c:marker>
                    <c:symbol val="none"/>
                  </c:marker>
                  <c:bubble3D val="0"/>
                  <c:spPr>
                    <a:ln w="9525" cap="rnd">
                      <a:solidFill>
                        <a:srgbClr val="FF0000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E-045F-4BA8-BFC6-22DFB9BB055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Feuil2!$AF$3:$AF$103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121962.98385286344</c:v>
                      </c:pt>
                      <c:pt idx="1">
                        <c:v>121958.05067393412</c:v>
                      </c:pt>
                      <c:pt idx="2">
                        <c:v>121943.27060614964</c:v>
                      </c:pt>
                      <c:pt idx="3">
                        <c:v>121918.70197968517</c:v>
                      </c:pt>
                      <c:pt idx="4">
                        <c:v>121884.44175568502</c:v>
                      </c:pt>
                      <c:pt idx="5">
                        <c:v>121840.62514360133</c:v>
                      </c:pt>
                      <c:pt idx="6">
                        <c:v>121787.42506758407</c:v>
                      </c:pt>
                      <c:pt idx="7">
                        <c:v>121725.05148402849</c:v>
                      </c:pt>
                      <c:pt idx="8">
                        <c:v>121653.7505529731</c:v>
                      </c:pt>
                      <c:pt idx="9">
                        <c:v>121573.80366661848</c:v>
                      </c:pt>
                      <c:pt idx="10">
                        <c:v>121485.52633880082</c:v>
                      </c:pt>
                      <c:pt idx="11">
                        <c:v>121389.26695980292</c:v>
                      </c:pt>
                      <c:pt idx="12">
                        <c:v>121285.40542141697</c:v>
                      </c:pt>
                      <c:pt idx="13">
                        <c:v>121174.35161768517</c:v>
                      </c:pt>
                      <c:pt idx="14">
                        <c:v>121056.54382723516</c:v>
                      </c:pt>
                      <c:pt idx="15">
                        <c:v>120932.44698359462</c:v>
                      </c:pt>
                      <c:pt idx="16">
                        <c:v>120802.55084031094</c:v>
                      </c:pt>
                      <c:pt idx="17">
                        <c:v>120667.36803811773</c:v>
                      </c:pt>
                      <c:pt idx="18">
                        <c:v>120527.43208177612</c:v>
                      </c:pt>
                      <c:pt idx="19">
                        <c:v>120383.29523457514</c:v>
                      </c:pt>
                      <c:pt idx="20">
                        <c:v>120235.52633880082</c:v>
                      </c:pt>
                      <c:pt idx="21">
                        <c:v>120084.70857077558</c:v>
                      </c:pt>
                      <c:pt idx="22">
                        <c:v>119931.43713932775</c:v>
                      </c:pt>
                      <c:pt idx="23">
                        <c:v>119776.31693677421</c:v>
                      </c:pt>
                      <c:pt idx="24">
                        <c:v>119619.96015168673</c:v>
                      </c:pt>
                      <c:pt idx="25">
                        <c:v>119462.98385286344</c:v>
                      </c:pt>
                      <c:pt idx="26">
                        <c:v>119306.00755404016</c:v>
                      </c:pt>
                      <c:pt idx="27">
                        <c:v>119149.65076895268</c:v>
                      </c:pt>
                      <c:pt idx="28">
                        <c:v>118994.53056639913</c:v>
                      </c:pt>
                      <c:pt idx="29">
                        <c:v>118841.25913495131</c:v>
                      </c:pt>
                      <c:pt idx="30">
                        <c:v>118690.44136692607</c:v>
                      </c:pt>
                      <c:pt idx="31">
                        <c:v>118542.67247115175</c:v>
                      </c:pt>
                      <c:pt idx="32">
                        <c:v>118398.53562395075</c:v>
                      </c:pt>
                      <c:pt idx="33">
                        <c:v>118258.59966760915</c:v>
                      </c:pt>
                      <c:pt idx="34">
                        <c:v>118123.41686541594</c:v>
                      </c:pt>
                      <c:pt idx="35">
                        <c:v>117993.52072213226</c:v>
                      </c:pt>
                      <c:pt idx="36">
                        <c:v>117869.42387849171</c:v>
                      </c:pt>
                      <c:pt idx="37">
                        <c:v>117751.61608804172</c:v>
                      </c:pt>
                      <c:pt idx="38">
                        <c:v>117640.56228430991</c:v>
                      </c:pt>
                      <c:pt idx="39">
                        <c:v>117536.70074592397</c:v>
                      </c:pt>
                      <c:pt idx="40">
                        <c:v>117440.44136692607</c:v>
                      </c:pt>
                      <c:pt idx="41">
                        <c:v>117352.16403910841</c:v>
                      </c:pt>
                      <c:pt idx="42">
                        <c:v>117272.21715275379</c:v>
                      </c:pt>
                      <c:pt idx="43">
                        <c:v>117200.9162216984</c:v>
                      </c:pt>
                      <c:pt idx="44">
                        <c:v>117138.54263814281</c:v>
                      </c:pt>
                      <c:pt idx="45">
                        <c:v>117085.34256212556</c:v>
                      </c:pt>
                      <c:pt idx="46">
                        <c:v>117041.52595004186</c:v>
                      </c:pt>
                      <c:pt idx="47">
                        <c:v>117007.26572604172</c:v>
                      </c:pt>
                      <c:pt idx="48">
                        <c:v>116982.69709957724</c:v>
                      </c:pt>
                      <c:pt idx="49">
                        <c:v>116967.91703179276</c:v>
                      </c:pt>
                      <c:pt idx="50">
                        <c:v>116962.98385286344</c:v>
                      </c:pt>
                      <c:pt idx="51">
                        <c:v>116967.91703179276</c:v>
                      </c:pt>
                      <c:pt idx="52">
                        <c:v>116982.69709957724</c:v>
                      </c:pt>
                      <c:pt idx="53">
                        <c:v>117007.26572604172</c:v>
                      </c:pt>
                      <c:pt idx="54">
                        <c:v>117041.52595004186</c:v>
                      </c:pt>
                      <c:pt idx="55">
                        <c:v>117085.34256212556</c:v>
                      </c:pt>
                      <c:pt idx="56">
                        <c:v>117138.54263814281</c:v>
                      </c:pt>
                      <c:pt idx="57">
                        <c:v>117200.9162216984</c:v>
                      </c:pt>
                      <c:pt idx="58">
                        <c:v>117272.21715275379</c:v>
                      </c:pt>
                      <c:pt idx="59">
                        <c:v>117352.16403910841</c:v>
                      </c:pt>
                      <c:pt idx="60">
                        <c:v>117440.44136692608</c:v>
                      </c:pt>
                      <c:pt idx="61">
                        <c:v>117536.70074592397</c:v>
                      </c:pt>
                      <c:pt idx="62">
                        <c:v>117640.56228430993</c:v>
                      </c:pt>
                      <c:pt idx="63">
                        <c:v>117751.61608804173</c:v>
                      </c:pt>
                      <c:pt idx="64">
                        <c:v>117869.42387849173</c:v>
                      </c:pt>
                      <c:pt idx="65">
                        <c:v>117993.52072213226</c:v>
                      </c:pt>
                      <c:pt idx="66">
                        <c:v>118123.41686541596</c:v>
                      </c:pt>
                      <c:pt idx="67">
                        <c:v>118258.59966760916</c:v>
                      </c:pt>
                      <c:pt idx="68">
                        <c:v>118398.53562395077</c:v>
                      </c:pt>
                      <c:pt idx="69">
                        <c:v>118542.67247115175</c:v>
                      </c:pt>
                      <c:pt idx="70">
                        <c:v>118690.44136692608</c:v>
                      </c:pt>
                      <c:pt idx="71">
                        <c:v>118841.25913495131</c:v>
                      </c:pt>
                      <c:pt idx="72">
                        <c:v>118994.53056639913</c:v>
                      </c:pt>
                      <c:pt idx="73">
                        <c:v>119149.65076895268</c:v>
                      </c:pt>
                      <c:pt idx="74">
                        <c:v>119306.00755404016</c:v>
                      </c:pt>
                      <c:pt idx="75">
                        <c:v>119462.98385286344</c:v>
                      </c:pt>
                      <c:pt idx="76">
                        <c:v>119619.96015168673</c:v>
                      </c:pt>
                      <c:pt idx="77">
                        <c:v>119776.31693677419</c:v>
                      </c:pt>
                      <c:pt idx="78">
                        <c:v>119931.43713932775</c:v>
                      </c:pt>
                      <c:pt idx="79">
                        <c:v>120084.70857077558</c:v>
                      </c:pt>
                      <c:pt idx="80">
                        <c:v>120235.5263388008</c:v>
                      </c:pt>
                      <c:pt idx="81">
                        <c:v>120383.29523457513</c:v>
                      </c:pt>
                      <c:pt idx="82">
                        <c:v>120527.43208177612</c:v>
                      </c:pt>
                      <c:pt idx="83">
                        <c:v>120667.36803811773</c:v>
                      </c:pt>
                      <c:pt idx="84">
                        <c:v>120802.55084031093</c:v>
                      </c:pt>
                      <c:pt idx="85">
                        <c:v>120932.44698359462</c:v>
                      </c:pt>
                      <c:pt idx="86">
                        <c:v>121056.54382723516</c:v>
                      </c:pt>
                      <c:pt idx="87">
                        <c:v>121174.35161768516</c:v>
                      </c:pt>
                      <c:pt idx="88">
                        <c:v>121285.40542141696</c:v>
                      </c:pt>
                      <c:pt idx="89">
                        <c:v>121389.2669598029</c:v>
                      </c:pt>
                      <c:pt idx="90">
                        <c:v>121485.5263388008</c:v>
                      </c:pt>
                      <c:pt idx="91">
                        <c:v>121573.80366661848</c:v>
                      </c:pt>
                      <c:pt idx="92">
                        <c:v>121653.7505529731</c:v>
                      </c:pt>
                      <c:pt idx="93">
                        <c:v>121725.05148402849</c:v>
                      </c:pt>
                      <c:pt idx="94">
                        <c:v>121787.42506758406</c:v>
                      </c:pt>
                      <c:pt idx="95">
                        <c:v>121840.62514360133</c:v>
                      </c:pt>
                      <c:pt idx="96">
                        <c:v>121884.44175568501</c:v>
                      </c:pt>
                      <c:pt idx="97">
                        <c:v>121918.70197968517</c:v>
                      </c:pt>
                      <c:pt idx="98">
                        <c:v>121943.27060614963</c:v>
                      </c:pt>
                      <c:pt idx="99">
                        <c:v>121958.05067393412</c:v>
                      </c:pt>
                      <c:pt idx="100">
                        <c:v>121962.98385286344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Feuil2!$AG$3:$AG$103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-340316.16131549096</c:v>
                      </c:pt>
                      <c:pt idx="1">
                        <c:v>-340159.18501666764</c:v>
                      </c:pt>
                      <c:pt idx="2">
                        <c:v>-340002.82823158021</c:v>
                      </c:pt>
                      <c:pt idx="3">
                        <c:v>-339847.70802902663</c:v>
                      </c:pt>
                      <c:pt idx="4">
                        <c:v>-339694.43659757881</c:v>
                      </c:pt>
                      <c:pt idx="5">
                        <c:v>-339543.6188295536</c:v>
                      </c:pt>
                      <c:pt idx="6">
                        <c:v>-339395.84993377927</c:v>
                      </c:pt>
                      <c:pt idx="7">
                        <c:v>-339251.7130865783</c:v>
                      </c:pt>
                      <c:pt idx="8">
                        <c:v>-339111.77713023667</c:v>
                      </c:pt>
                      <c:pt idx="9">
                        <c:v>-338976.59432804346</c:v>
                      </c:pt>
                      <c:pt idx="10">
                        <c:v>-338846.69818475976</c:v>
                      </c:pt>
                      <c:pt idx="11">
                        <c:v>-338722.60134111921</c:v>
                      </c:pt>
                      <c:pt idx="12">
                        <c:v>-338604.79355066922</c:v>
                      </c:pt>
                      <c:pt idx="13">
                        <c:v>-338493.73974693741</c:v>
                      </c:pt>
                      <c:pt idx="14">
                        <c:v>-338389.8782085515</c:v>
                      </c:pt>
                      <c:pt idx="15">
                        <c:v>-338293.6188295536</c:v>
                      </c:pt>
                      <c:pt idx="16">
                        <c:v>-338205.34150173591</c:v>
                      </c:pt>
                      <c:pt idx="17">
                        <c:v>-338125.39461538132</c:v>
                      </c:pt>
                      <c:pt idx="18">
                        <c:v>-338054.09368432593</c:v>
                      </c:pt>
                      <c:pt idx="19">
                        <c:v>-337991.72010077036</c:v>
                      </c:pt>
                      <c:pt idx="20">
                        <c:v>-337938.52002475306</c:v>
                      </c:pt>
                      <c:pt idx="21">
                        <c:v>-337894.70341266936</c:v>
                      </c:pt>
                      <c:pt idx="22">
                        <c:v>-337860.44318866922</c:v>
                      </c:pt>
                      <c:pt idx="23">
                        <c:v>-337835.87456220476</c:v>
                      </c:pt>
                      <c:pt idx="24">
                        <c:v>-337821.09449442028</c:v>
                      </c:pt>
                      <c:pt idx="25">
                        <c:v>-337816.16131549096</c:v>
                      </c:pt>
                      <c:pt idx="26">
                        <c:v>-337821.09449442028</c:v>
                      </c:pt>
                      <c:pt idx="27">
                        <c:v>-337835.87456220476</c:v>
                      </c:pt>
                      <c:pt idx="28">
                        <c:v>-337860.44318866922</c:v>
                      </c:pt>
                      <c:pt idx="29">
                        <c:v>-337894.70341266936</c:v>
                      </c:pt>
                      <c:pt idx="30">
                        <c:v>-337938.52002475306</c:v>
                      </c:pt>
                      <c:pt idx="31">
                        <c:v>-337991.72010077036</c:v>
                      </c:pt>
                      <c:pt idx="32">
                        <c:v>-338054.09368432593</c:v>
                      </c:pt>
                      <c:pt idx="33">
                        <c:v>-338125.39461538132</c:v>
                      </c:pt>
                      <c:pt idx="34">
                        <c:v>-338205.34150173591</c:v>
                      </c:pt>
                      <c:pt idx="35">
                        <c:v>-338293.6188295536</c:v>
                      </c:pt>
                      <c:pt idx="36">
                        <c:v>-338389.8782085515</c:v>
                      </c:pt>
                      <c:pt idx="37">
                        <c:v>-338493.73974693741</c:v>
                      </c:pt>
                      <c:pt idx="38">
                        <c:v>-338604.79355066922</c:v>
                      </c:pt>
                      <c:pt idx="39">
                        <c:v>-338722.60134111921</c:v>
                      </c:pt>
                      <c:pt idx="40">
                        <c:v>-338846.69818475976</c:v>
                      </c:pt>
                      <c:pt idx="41">
                        <c:v>-338976.59432804346</c:v>
                      </c:pt>
                      <c:pt idx="42">
                        <c:v>-339111.77713023667</c:v>
                      </c:pt>
                      <c:pt idx="43">
                        <c:v>-339251.7130865783</c:v>
                      </c:pt>
                      <c:pt idx="44">
                        <c:v>-339395.84993377927</c:v>
                      </c:pt>
                      <c:pt idx="45">
                        <c:v>-339543.6188295536</c:v>
                      </c:pt>
                      <c:pt idx="46">
                        <c:v>-339694.43659757881</c:v>
                      </c:pt>
                      <c:pt idx="47">
                        <c:v>-339847.70802902663</c:v>
                      </c:pt>
                      <c:pt idx="48">
                        <c:v>-340002.82823158021</c:v>
                      </c:pt>
                      <c:pt idx="49">
                        <c:v>-340159.1850166677</c:v>
                      </c:pt>
                      <c:pt idx="50">
                        <c:v>-340316.16131549096</c:v>
                      </c:pt>
                      <c:pt idx="51">
                        <c:v>-340473.13761431427</c:v>
                      </c:pt>
                      <c:pt idx="52">
                        <c:v>-340629.49439940171</c:v>
                      </c:pt>
                      <c:pt idx="53">
                        <c:v>-340784.61460195528</c:v>
                      </c:pt>
                      <c:pt idx="54">
                        <c:v>-340937.88603340311</c:v>
                      </c:pt>
                      <c:pt idx="55">
                        <c:v>-341088.70380142832</c:v>
                      </c:pt>
                      <c:pt idx="56">
                        <c:v>-341236.47269720264</c:v>
                      </c:pt>
                      <c:pt idx="57">
                        <c:v>-341380.60954440362</c:v>
                      </c:pt>
                      <c:pt idx="58">
                        <c:v>-341520.54550074524</c:v>
                      </c:pt>
                      <c:pt idx="59">
                        <c:v>-341655.72830293846</c:v>
                      </c:pt>
                      <c:pt idx="60">
                        <c:v>-341785.62444622215</c:v>
                      </c:pt>
                      <c:pt idx="61">
                        <c:v>-341909.7212898627</c:v>
                      </c:pt>
                      <c:pt idx="62">
                        <c:v>-342027.5290803127</c:v>
                      </c:pt>
                      <c:pt idx="63">
                        <c:v>-342138.5828840445</c:v>
                      </c:pt>
                      <c:pt idx="64">
                        <c:v>-342242.44442243042</c:v>
                      </c:pt>
                      <c:pt idx="65">
                        <c:v>-342338.70380142832</c:v>
                      </c:pt>
                      <c:pt idx="66">
                        <c:v>-342426.98112924601</c:v>
                      </c:pt>
                      <c:pt idx="67">
                        <c:v>-342506.9280156006</c:v>
                      </c:pt>
                      <c:pt idx="68">
                        <c:v>-342578.22894665599</c:v>
                      </c:pt>
                      <c:pt idx="69">
                        <c:v>-342640.60253021156</c:v>
                      </c:pt>
                      <c:pt idx="70">
                        <c:v>-342693.80260622886</c:v>
                      </c:pt>
                      <c:pt idx="71">
                        <c:v>-342737.61921831255</c:v>
                      </c:pt>
                      <c:pt idx="72">
                        <c:v>-342771.8794423127</c:v>
                      </c:pt>
                      <c:pt idx="73">
                        <c:v>-342796.44806877716</c:v>
                      </c:pt>
                      <c:pt idx="74">
                        <c:v>-342811.22813656164</c:v>
                      </c:pt>
                      <c:pt idx="75">
                        <c:v>-342816.16131549096</c:v>
                      </c:pt>
                      <c:pt idx="76">
                        <c:v>-342811.22813656164</c:v>
                      </c:pt>
                      <c:pt idx="77">
                        <c:v>-342796.44806877716</c:v>
                      </c:pt>
                      <c:pt idx="78">
                        <c:v>-342771.8794423127</c:v>
                      </c:pt>
                      <c:pt idx="79">
                        <c:v>-342737.61921831255</c:v>
                      </c:pt>
                      <c:pt idx="80">
                        <c:v>-342693.80260622886</c:v>
                      </c:pt>
                      <c:pt idx="81">
                        <c:v>-342640.60253021156</c:v>
                      </c:pt>
                      <c:pt idx="82">
                        <c:v>-342578.22894665599</c:v>
                      </c:pt>
                      <c:pt idx="83">
                        <c:v>-342506.9280156006</c:v>
                      </c:pt>
                      <c:pt idx="84">
                        <c:v>-342426.98112924601</c:v>
                      </c:pt>
                      <c:pt idx="85">
                        <c:v>-342338.70380142832</c:v>
                      </c:pt>
                      <c:pt idx="86">
                        <c:v>-342242.44442243042</c:v>
                      </c:pt>
                      <c:pt idx="87">
                        <c:v>-342138.5828840445</c:v>
                      </c:pt>
                      <c:pt idx="88">
                        <c:v>-342027.5290803127</c:v>
                      </c:pt>
                      <c:pt idx="89">
                        <c:v>-341909.7212898627</c:v>
                      </c:pt>
                      <c:pt idx="90">
                        <c:v>-341785.62444622215</c:v>
                      </c:pt>
                      <c:pt idx="91">
                        <c:v>-341655.72830293846</c:v>
                      </c:pt>
                      <c:pt idx="92">
                        <c:v>-341520.54550074524</c:v>
                      </c:pt>
                      <c:pt idx="93">
                        <c:v>-341380.60954440368</c:v>
                      </c:pt>
                      <c:pt idx="94">
                        <c:v>-341236.47269720264</c:v>
                      </c:pt>
                      <c:pt idx="95">
                        <c:v>-341088.70380142832</c:v>
                      </c:pt>
                      <c:pt idx="96">
                        <c:v>-340937.88603340311</c:v>
                      </c:pt>
                      <c:pt idx="97">
                        <c:v>-340784.61460195528</c:v>
                      </c:pt>
                      <c:pt idx="98">
                        <c:v>-340629.49439940177</c:v>
                      </c:pt>
                      <c:pt idx="99">
                        <c:v>-340473.13761431427</c:v>
                      </c:pt>
                      <c:pt idx="100">
                        <c:v>-340316.16131549096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73F-4584-B119-E3CC2E63D94B}"/>
                  </c:ext>
                </c:extLst>
              </c15:ser>
            </c15:filteredScatterSeries>
          </c:ext>
        </c:extLst>
      </c:scatterChart>
      <c:valAx>
        <c:axId val="1001651408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none"/>
        <c:minorTickMark val="none"/>
        <c:tickLblPos val="nextTo"/>
        <c:crossAx val="987015024"/>
        <c:crosses val="autoZero"/>
        <c:crossBetween val="midCat"/>
      </c:valAx>
      <c:valAx>
        <c:axId val="987015024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none"/>
        <c:minorTickMark val="none"/>
        <c:tickLblPos val="nextTo"/>
        <c:crossAx val="1001651408"/>
        <c:crosses val="autoZero"/>
        <c:crossBetween val="midCat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solidFill>
            <a:srgbClr val="FF0000"/>
          </a:solidFill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>
      <a:solidFill>
        <a:srgbClr val="FF0000"/>
      </a:solidFill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1529890</xdr:colOff>
      <xdr:row>14</xdr:row>
      <xdr:rowOff>168993</xdr:rowOff>
    </xdr:from>
    <xdr:to>
      <xdr:col>44</xdr:col>
      <xdr:colOff>605739</xdr:colOff>
      <xdr:row>60</xdr:row>
      <xdr:rowOff>44169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</xdr:colOff>
      <xdr:row>15</xdr:row>
      <xdr:rowOff>88446</xdr:rowOff>
    </xdr:from>
    <xdr:to>
      <xdr:col>47</xdr:col>
      <xdr:colOff>0</xdr:colOff>
      <xdr:row>96</xdr:row>
      <xdr:rowOff>47626</xdr:rowOff>
    </xdr:to>
    <xdr:graphicFrame macro="">
      <xdr:nvGraphicFramePr>
        <xdr:cNvPr id="2" name="Graphiqu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9</xdr:row>
          <xdr:rowOff>57150</xdr:rowOff>
        </xdr:from>
        <xdr:to>
          <xdr:col>18</xdr:col>
          <xdr:colOff>695325</xdr:colOff>
          <xdr:row>15</xdr:row>
          <xdr:rowOff>57150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CA" sz="2400" b="1" i="0" u="none" strike="noStrike" baseline="0">
                  <a:solidFill>
                    <a:srgbClr val="0000FF"/>
                  </a:solidFill>
                  <a:latin typeface="Calibri Light"/>
                  <a:cs typeface="Calibri Light"/>
                </a:rPr>
                <a:t>LANCER SIMULATION</a:t>
              </a:r>
              <a:endParaRPr lang="fr-CA" sz="1100" b="1" i="0" u="none" strike="noStrike" baseline="0">
                <a:solidFill>
                  <a:srgbClr val="0000FF"/>
                </a:solidFill>
                <a:latin typeface="Calibri Light"/>
                <a:cs typeface="Calibri Light"/>
              </a:endParaRPr>
            </a:p>
            <a:p>
              <a:pPr algn="ctr" rtl="0">
                <a:defRPr sz="1000"/>
              </a:pPr>
              <a:endParaRPr lang="fr-CA" sz="1100" b="1" i="0" u="none" strike="noStrike" baseline="0">
                <a:solidFill>
                  <a:srgbClr val="0000FF"/>
                </a:solidFill>
                <a:latin typeface="Calibri Light"/>
                <a:cs typeface="Calibri Light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856B9-2B00-45A8-9E4A-C4CF9BF2F454}">
  <sheetPr codeName="Feuil1"/>
  <dimension ref="A3:CF1011"/>
  <sheetViews>
    <sheetView showGridLines="0" topLeftCell="A15" zoomScale="70" zoomScaleNormal="70" workbookViewId="0">
      <selection activeCell="AP13" sqref="AP13"/>
    </sheetView>
  </sheetViews>
  <sheetFormatPr baseColWidth="10" defaultColWidth="11.42578125" defaultRowHeight="15" x14ac:dyDescent="0.25"/>
  <cols>
    <col min="3" max="3" width="5" customWidth="1"/>
    <col min="5" max="5" width="8" customWidth="1"/>
    <col min="6" max="6" width="11.42578125" customWidth="1"/>
    <col min="7" max="7" width="10" customWidth="1"/>
    <col min="8" max="8" width="23" customWidth="1"/>
    <col min="9" max="9" width="34.5703125" hidden="1" customWidth="1"/>
    <col min="10" max="10" width="11.42578125" hidden="1" customWidth="1"/>
    <col min="11" max="11" width="27.140625" hidden="1" customWidth="1"/>
    <col min="12" max="12" width="22" hidden="1" customWidth="1"/>
    <col min="13" max="13" width="31.85546875" hidden="1" customWidth="1"/>
    <col min="14" max="14" width="24.42578125" hidden="1" customWidth="1"/>
    <col min="15" max="15" width="39.85546875" hidden="1" customWidth="1"/>
    <col min="16" max="16" width="29.85546875" hidden="1" customWidth="1"/>
    <col min="17" max="17" width="31.28515625" hidden="1" customWidth="1"/>
    <col min="18" max="18" width="24.140625" hidden="1" customWidth="1"/>
    <col min="19" max="19" width="22" hidden="1" customWidth="1"/>
    <col min="20" max="20" width="29.5703125" hidden="1" customWidth="1"/>
    <col min="21" max="21" width="25.28515625" hidden="1" customWidth="1"/>
    <col min="22" max="22" width="21" hidden="1" customWidth="1"/>
    <col min="23" max="23" width="21.5703125" hidden="1" customWidth="1"/>
    <col min="24" max="24" width="18.5703125" hidden="1" customWidth="1"/>
    <col min="25" max="25" width="30.85546875" hidden="1" customWidth="1"/>
    <col min="26" max="26" width="0.140625" hidden="1" customWidth="1"/>
    <col min="27" max="27" width="7.5703125" hidden="1" customWidth="1"/>
    <col min="28" max="28" width="6.42578125" hidden="1" customWidth="1"/>
    <col min="29" max="29" width="10.5703125" hidden="1" customWidth="1"/>
    <col min="30" max="30" width="5.5703125" hidden="1" customWidth="1"/>
    <col min="31" max="31" width="17.140625" hidden="1" customWidth="1"/>
    <col min="48" max="48" width="27.85546875" hidden="1" customWidth="1"/>
    <col min="49" max="51" width="0" hidden="1" customWidth="1"/>
    <col min="52" max="52" width="28.5703125" hidden="1" customWidth="1"/>
    <col min="53" max="53" width="6.28515625" hidden="1" customWidth="1"/>
    <col min="54" max="54" width="13.5703125" hidden="1" customWidth="1"/>
    <col min="55" max="55" width="23.5703125" hidden="1" customWidth="1"/>
    <col min="56" max="56" width="38.7109375" hidden="1" customWidth="1"/>
    <col min="57" max="57" width="16.5703125" hidden="1" customWidth="1"/>
    <col min="58" max="58" width="23.5703125" hidden="1" customWidth="1"/>
    <col min="59" max="59" width="32.42578125" hidden="1" customWidth="1"/>
    <col min="60" max="60" width="25.140625" hidden="1" customWidth="1"/>
    <col min="61" max="61" width="24" hidden="1" customWidth="1"/>
    <col min="62" max="62" width="33.140625" hidden="1" customWidth="1"/>
    <col min="63" max="63" width="37.28515625" customWidth="1"/>
    <col min="64" max="64" width="28.85546875" customWidth="1"/>
    <col min="65" max="65" width="23.7109375" hidden="1" customWidth="1"/>
    <col min="66" max="66" width="25.5703125" hidden="1" customWidth="1"/>
    <col min="67" max="67" width="16.5703125" hidden="1" customWidth="1"/>
    <col min="68" max="68" width="20" hidden="1" customWidth="1"/>
    <col min="69" max="69" width="23.5703125" hidden="1" customWidth="1"/>
    <col min="70" max="70" width="22.28515625" hidden="1" customWidth="1"/>
    <col min="71" max="71" width="23.5703125" hidden="1" customWidth="1"/>
    <col min="72" max="72" width="32.7109375" hidden="1" customWidth="1"/>
    <col min="73" max="73" width="25.140625" hidden="1" customWidth="1"/>
    <col min="74" max="74" width="33.42578125" hidden="1" customWidth="1"/>
    <col min="75" max="75" width="42.85546875" hidden="1" customWidth="1"/>
    <col min="76" max="76" width="32" hidden="1" customWidth="1"/>
    <col min="77" max="77" width="30.85546875" hidden="1" customWidth="1"/>
    <col min="78" max="78" width="33.140625" hidden="1" customWidth="1"/>
    <col min="79" max="79" width="20.5703125" hidden="1" customWidth="1"/>
    <col min="80" max="80" width="47" hidden="1" customWidth="1"/>
    <col min="81" max="81" width="17.5703125" hidden="1" customWidth="1"/>
    <col min="82" max="82" width="36" hidden="1" customWidth="1"/>
    <col min="83" max="83" width="39.85546875" hidden="1" customWidth="1"/>
    <col min="84" max="84" width="71.140625" hidden="1" customWidth="1"/>
    <col min="85" max="90" width="0" hidden="1" customWidth="1"/>
  </cols>
  <sheetData>
    <row r="3" spans="1:84" x14ac:dyDescent="0.25">
      <c r="A3">
        <v>1001</v>
      </c>
      <c r="O3" t="s">
        <v>43</v>
      </c>
      <c r="U3" t="s">
        <v>44</v>
      </c>
      <c r="AA3" t="s">
        <v>45</v>
      </c>
    </row>
    <row r="4" spans="1:84" x14ac:dyDescent="0.25">
      <c r="BA4" t="s">
        <v>24</v>
      </c>
      <c r="BE4" t="s">
        <v>54</v>
      </c>
      <c r="BI4" t="s">
        <v>55</v>
      </c>
      <c r="CD4" t="s">
        <v>64</v>
      </c>
    </row>
    <row r="5" spans="1:84" x14ac:dyDescent="0.25">
      <c r="K5">
        <v>0</v>
      </c>
      <c r="M5">
        <f xml:space="preserve"> 2*PI()</f>
        <v>6.2831853071795862</v>
      </c>
      <c r="O5">
        <f>(M5-L5)/1000</f>
        <v>6.2831853071795866E-3</v>
      </c>
    </row>
    <row r="6" spans="1:84" x14ac:dyDescent="0.25">
      <c r="AZ6" t="s">
        <v>50</v>
      </c>
      <c r="BB6" t="s">
        <v>51</v>
      </c>
      <c r="BD6" t="s">
        <v>52</v>
      </c>
      <c r="BF6" t="s">
        <v>53</v>
      </c>
      <c r="BH6" t="s">
        <v>62</v>
      </c>
      <c r="BJ6" t="s">
        <v>63</v>
      </c>
      <c r="BN6" t="s">
        <v>56</v>
      </c>
      <c r="BP6" t="s">
        <v>58</v>
      </c>
      <c r="BR6" t="s">
        <v>57</v>
      </c>
      <c r="BT6" t="s">
        <v>59</v>
      </c>
      <c r="BV6" t="s">
        <v>60</v>
      </c>
      <c r="BX6" t="s">
        <v>61</v>
      </c>
      <c r="CB6" t="s">
        <v>65</v>
      </c>
      <c r="CD6" t="s">
        <v>66</v>
      </c>
      <c r="CF6" t="s">
        <v>67</v>
      </c>
    </row>
    <row r="7" spans="1:84" x14ac:dyDescent="0.25">
      <c r="N7" t="s">
        <v>46</v>
      </c>
      <c r="T7" t="s">
        <v>49</v>
      </c>
      <c r="Z7" t="s">
        <v>49</v>
      </c>
      <c r="AW7">
        <v>0</v>
      </c>
      <c r="AX7">
        <f>$F$17*AW7</f>
        <v>0</v>
      </c>
      <c r="AZ7">
        <v>0</v>
      </c>
      <c r="BB7">
        <v>0</v>
      </c>
      <c r="BD7">
        <v>0</v>
      </c>
      <c r="BF7">
        <v>0</v>
      </c>
      <c r="BH7" s="20">
        <f>BN7+BR7+BV7</f>
        <v>119.16853330342627</v>
      </c>
      <c r="BJ7">
        <f>SUM(BP7,BT7,BX7)</f>
        <v>-760.51678598645651</v>
      </c>
      <c r="BN7" s="20">
        <f>$F$36*($F$32-AZ7)/(CB7^2+$F$37^2)^(3/2)</f>
        <v>798.22179539145645</v>
      </c>
      <c r="BP7" s="21">
        <f>$F$36*($G$32-BB7)/(CB7^2+($F$37)^2)^(3/2)</f>
        <v>299.33317327179617</v>
      </c>
      <c r="BR7">
        <f>$F$47*($F$43-AZ7)/(CD7^2+($F$48)^2)^(3/2)</f>
        <v>-279.23137914452508</v>
      </c>
      <c r="BT7">
        <f>$F$47*($G$43-BB7)/(CD7^2+($F$48)^2)^(3/2)</f>
        <v>139.61568957226254</v>
      </c>
      <c r="BV7">
        <f>$F$58*($F$54-AZ7)/(CF7^2+($F$59)^2)^(3/2)</f>
        <v>-399.82188294350505</v>
      </c>
      <c r="BX7">
        <f>$F$58*($G$54-BB7)/(CF7^2+($F$59)^2)^(3/2)</f>
        <v>-1199.4656488305152</v>
      </c>
      <c r="CB7" s="26">
        <f>SQRT(($F$32-AZ7)^2+($G$32-BB7)^2)</f>
        <v>21360.00936329383</v>
      </c>
      <c r="CD7">
        <f>SQRT(($F$43-AZ7)^2+($G$43-BB7)^2)</f>
        <v>22360.679774997898</v>
      </c>
      <c r="CF7">
        <f>SQRT(($F$54-AZ7)^2+($G$54-BB7)^2)</f>
        <v>15811.388300841896</v>
      </c>
    </row>
    <row r="8" spans="1:84" x14ac:dyDescent="0.25">
      <c r="AW8">
        <v>1</v>
      </c>
      <c r="AX8">
        <f>$F$17*AW8</f>
        <v>0.5</v>
      </c>
      <c r="AZ8" s="20">
        <f>AZ7+BD7*$F$17+(BH7*0.5)*$F$17^2</f>
        <v>14.896066662928284</v>
      </c>
      <c r="BB8">
        <f>BB7+(BF7*$F$17)+(BJ7*0.5)*$F$17^2</f>
        <v>-95.064598248307064</v>
      </c>
      <c r="BD8">
        <f>BD7+BH7*$F$17</f>
        <v>59.584266651713136</v>
      </c>
      <c r="BF8">
        <f>BF7+BJ7*$F$17</f>
        <v>-380.25839299322826</v>
      </c>
      <c r="BH8">
        <f t="shared" ref="BH8:BH71" si="0">BN8+BR8+BV8</f>
        <v>112.60116813851005</v>
      </c>
      <c r="BJ8">
        <f t="shared" ref="BJ8:BJ71" si="1">SUM(BP8,BT8,BX8)</f>
        <v>-763.33122122422583</v>
      </c>
      <c r="BN8" s="20">
        <f t="shared" ref="BN8:BN71" si="2">$F$36*($F$32-AZ8)/(CB8^2+$F$37^2)^(3/2)</f>
        <v>795.82523824226018</v>
      </c>
      <c r="BP8">
        <f t="shared" ref="BP8:BP71" si="3">$F$36*($G$32-BB8)/(CB8^2+($F$37)^2)^(3/2)</f>
        <v>302.44246482420186</v>
      </c>
      <c r="BR8">
        <f t="shared" ref="BR8:BR71" si="4">$F$47*($F$43-AZ8)/(CD8^2+($F$48)^2)^(3/2)</f>
        <v>-277.53659386448641</v>
      </c>
      <c r="BT8">
        <f t="shared" ref="BT8:BT71" si="5">$F$47*($G$43-BB8)/(CD8^2+($F$48)^2)^(3/2)</f>
        <v>139.983232194067</v>
      </c>
      <c r="BV8">
        <f t="shared" ref="BV8:BV71" si="6">$F$58*($F$54-AZ8)/(CF8^2+($F$59)^2)^(3/2)</f>
        <v>-405.68747623926379</v>
      </c>
      <c r="BX8">
        <f t="shared" ref="BX8:BX71" si="7">$F$58*($G$54-BB8)/(CF8^2+($F$59)^2)^(3/2)</f>
        <v>-1205.7569182424947</v>
      </c>
      <c r="CB8">
        <f>SQRT(($F$32-AZ8)^2+($G$32-BB8)^2)</f>
        <v>21379.6488623609</v>
      </c>
      <c r="CD8">
        <f t="shared" ref="CD8:CD71" si="8">SQRT(($F$43-AZ8)^2+($G$43-BB8)^2)</f>
        <v>22416.654384678492</v>
      </c>
      <c r="CF8">
        <f>SQRT(($F$54-AZ8)^2+($G$54-BB8)^2)</f>
        <v>15725.974751659187</v>
      </c>
    </row>
    <row r="9" spans="1:84" x14ac:dyDescent="0.25">
      <c r="AW9">
        <v>2</v>
      </c>
      <c r="AX9">
        <f t="shared" ref="AX9:AX72" si="9">$F$17*AW9</f>
        <v>1</v>
      </c>
      <c r="AZ9" s="20">
        <f>AZ8+BD8*$F$17+(BH8*0.5)*$F$17^2</f>
        <v>58.763346006098608</v>
      </c>
      <c r="BB9">
        <f t="shared" ref="BB9:BB72" si="10">BB8+(BF8*$F$17)+(BJ8*0.5)*$F$17^2</f>
        <v>-380.61019739794943</v>
      </c>
      <c r="BD9">
        <f t="shared" ref="BD9:BD72" si="11">BD8+BH8*$F$17</f>
        <v>115.88485072096816</v>
      </c>
      <c r="BF9">
        <f t="shared" ref="BF9:BF72" si="12">BF8+BJ8*$F$17</f>
        <v>-761.92400360534111</v>
      </c>
      <c r="BH9">
        <f t="shared" si="0"/>
        <v>92.146298330016805</v>
      </c>
      <c r="BJ9">
        <f t="shared" si="1"/>
        <v>-772.07890139735071</v>
      </c>
      <c r="BN9" s="20">
        <f t="shared" si="2"/>
        <v>788.40883777648992</v>
      </c>
      <c r="BP9">
        <f t="shared" si="3"/>
        <v>311.57258872687225</v>
      </c>
      <c r="BR9">
        <f t="shared" si="4"/>
        <v>-272.4895036118682</v>
      </c>
      <c r="BT9">
        <f t="shared" si="5"/>
        <v>141.01603728429595</v>
      </c>
      <c r="BV9">
        <f t="shared" si="6"/>
        <v>-423.77303583460485</v>
      </c>
      <c r="BX9">
        <f t="shared" si="7"/>
        <v>-1224.6675274085189</v>
      </c>
      <c r="CB9">
        <f t="shared" ref="CB9:CB71" si="13">SQRT(($F$32-AZ9)^2+($G$32-BB9)^2)</f>
        <v>21441.943390791854</v>
      </c>
      <c r="CD9">
        <f t="shared" si="8"/>
        <v>22585.638247377468</v>
      </c>
      <c r="CF9">
        <f t="shared" ref="CF9:CF71" si="14">SQRT(($F$54-AZ9)^2+($G$54-BB9)^2)</f>
        <v>15469.894789277645</v>
      </c>
    </row>
    <row r="10" spans="1:84" x14ac:dyDescent="0.25">
      <c r="P10" t="s">
        <v>47</v>
      </c>
      <c r="Q10" t="s">
        <v>48</v>
      </c>
      <c r="V10" t="s">
        <v>47</v>
      </c>
      <c r="W10" t="s">
        <v>48</v>
      </c>
      <c r="AB10" t="s">
        <v>47</v>
      </c>
      <c r="AC10" t="s">
        <v>48</v>
      </c>
      <c r="AW10">
        <v>3</v>
      </c>
      <c r="AX10">
        <f t="shared" si="9"/>
        <v>1.5</v>
      </c>
      <c r="AZ10">
        <f t="shared" ref="AZ10:AZ72" si="15">AZ9+BD9*$F$17+(BH9*0.5)*$F$17^2</f>
        <v>128.2240586578348</v>
      </c>
      <c r="BB10">
        <f t="shared" si="10"/>
        <v>-858.08206187528879</v>
      </c>
      <c r="BD10">
        <f t="shared" si="11"/>
        <v>161.95799988597656</v>
      </c>
      <c r="BF10">
        <f t="shared" si="12"/>
        <v>-1147.9634543040165</v>
      </c>
      <c r="BH10">
        <f t="shared" si="0"/>
        <v>55.493464814631807</v>
      </c>
      <c r="BJ10">
        <f t="shared" si="1"/>
        <v>-787.69775044318101</v>
      </c>
      <c r="BN10" s="20">
        <f t="shared" si="2"/>
        <v>775.27663424571824</v>
      </c>
      <c r="BP10">
        <f t="shared" si="3"/>
        <v>326.0818634835378</v>
      </c>
      <c r="BR10">
        <f t="shared" si="4"/>
        <v>-264.21336898309431</v>
      </c>
      <c r="BT10">
        <f t="shared" si="5"/>
        <v>142.52874142808358</v>
      </c>
      <c r="BV10">
        <f t="shared" si="6"/>
        <v>-455.56980044799212</v>
      </c>
      <c r="BX10">
        <f t="shared" si="7"/>
        <v>-1256.3083553548024</v>
      </c>
      <c r="CB10">
        <f t="shared" si="13"/>
        <v>21557.945514727206</v>
      </c>
      <c r="CD10">
        <f t="shared" si="8"/>
        <v>22870.141010014562</v>
      </c>
      <c r="CF10">
        <f t="shared" si="14"/>
        <v>15043.022467724048</v>
      </c>
    </row>
    <row r="11" spans="1:84" x14ac:dyDescent="0.25">
      <c r="L11">
        <v>0</v>
      </c>
      <c r="M11">
        <v>0</v>
      </c>
      <c r="P11">
        <f>COS(M11)*$F$33+$F$32</f>
        <v>25000</v>
      </c>
      <c r="Q11">
        <f t="shared" ref="Q11:Q42" si="16">SIN(M11)*$F$33+$G$32</f>
        <v>7500</v>
      </c>
      <c r="V11">
        <f>COS(M11)*$F$44+$F$43</f>
        <v>-16500</v>
      </c>
      <c r="W11">
        <f>SIN(M11)*$F$44+$G$43</f>
        <v>10000</v>
      </c>
      <c r="AB11">
        <f>COS(M11)*$F$55+$F$54</f>
        <v>0</v>
      </c>
      <c r="AC11">
        <f>SIN(M11)*$F$55+$G$54</f>
        <v>-15000</v>
      </c>
      <c r="AW11">
        <v>4</v>
      </c>
      <c r="AX11">
        <f t="shared" si="9"/>
        <v>2</v>
      </c>
      <c r="AZ11">
        <f t="shared" si="15"/>
        <v>216.13974170265206</v>
      </c>
      <c r="BB11">
        <f t="shared" si="10"/>
        <v>-1530.5260078326946</v>
      </c>
      <c r="BD11">
        <f t="shared" si="11"/>
        <v>189.70473229329247</v>
      </c>
      <c r="BF11">
        <f t="shared" si="12"/>
        <v>-1541.8123295256071</v>
      </c>
      <c r="BH11">
        <f t="shared" si="0"/>
        <v>-1.316856642802918</v>
      </c>
      <c r="BJ11">
        <f t="shared" si="1"/>
        <v>-811.67785049592158</v>
      </c>
      <c r="BN11" s="20">
        <f t="shared" si="2"/>
        <v>755.32322118471382</v>
      </c>
      <c r="BP11">
        <f t="shared" si="3"/>
        <v>344.77427075273715</v>
      </c>
      <c r="BR11">
        <f t="shared" si="4"/>
        <v>-252.93026836046505</v>
      </c>
      <c r="BT11">
        <f t="shared" si="5"/>
        <v>144.26191522026039</v>
      </c>
      <c r="BV11">
        <f t="shared" si="6"/>
        <v>-503.70980946705168</v>
      </c>
      <c r="BX11">
        <f t="shared" si="7"/>
        <v>-1300.7140364689192</v>
      </c>
      <c r="CB11">
        <f t="shared" si="13"/>
        <v>21747.448739978212</v>
      </c>
      <c r="CD11">
        <f t="shared" si="8"/>
        <v>23273.27514711575</v>
      </c>
      <c r="CF11">
        <f t="shared" si="14"/>
        <v>14444.197569634711</v>
      </c>
    </row>
    <row r="12" spans="1:84" x14ac:dyDescent="0.25">
      <c r="L12">
        <v>1</v>
      </c>
      <c r="M12">
        <f>M11+$O$5</f>
        <v>6.2831853071795866E-3</v>
      </c>
      <c r="P12">
        <f t="shared" ref="P12:P42" si="17">COS(M12)*$F$33+$F$32</f>
        <v>24999.901304280684</v>
      </c>
      <c r="Q12">
        <f t="shared" si="16"/>
        <v>7531.4157198277944</v>
      </c>
      <c r="V12">
        <f t="shared" ref="V12:V75" si="18">COS(M12)*$F$44+$F$43</f>
        <v>-16500.069087003521</v>
      </c>
      <c r="W12">
        <f t="shared" ref="W12:W75" si="19">SIN(M12)*$F$44+$G$43</f>
        <v>10021.991003879457</v>
      </c>
      <c r="AB12">
        <f>COS(M12)*$F$55+$F$54</f>
        <v>-9.8695719314491726E-2</v>
      </c>
      <c r="AC12">
        <f t="shared" ref="AC12:AC75" si="20">SIN(M12)*$F$55+$G$54</f>
        <v>-14968.584280172205</v>
      </c>
      <c r="AW12">
        <v>5</v>
      </c>
      <c r="AX12">
        <f t="shared" si="9"/>
        <v>2.5</v>
      </c>
      <c r="AZ12">
        <f t="shared" si="15"/>
        <v>310.82750076894791</v>
      </c>
      <c r="BB12">
        <f t="shared" si="10"/>
        <v>-2402.8919039074885</v>
      </c>
      <c r="BD12">
        <f t="shared" si="11"/>
        <v>189.04630397189101</v>
      </c>
      <c r="BF12">
        <f t="shared" si="12"/>
        <v>-1947.6512547735679</v>
      </c>
      <c r="BH12">
        <f t="shared" si="0"/>
        <v>-83.964205813722913</v>
      </c>
      <c r="BJ12">
        <f t="shared" si="1"/>
        <v>-845.65329638356138</v>
      </c>
      <c r="BN12" s="20">
        <f t="shared" si="2"/>
        <v>727.24210333376709</v>
      </c>
      <c r="BP12">
        <f t="shared" si="3"/>
        <v>365.77463768809361</v>
      </c>
      <c r="BR12">
        <f t="shared" si="4"/>
        <v>-238.95985187350044</v>
      </c>
      <c r="BT12">
        <f t="shared" si="5"/>
        <v>145.9218346494531</v>
      </c>
      <c r="BV12">
        <f t="shared" si="6"/>
        <v>-572.24645727398956</v>
      </c>
      <c r="BX12">
        <f t="shared" si="7"/>
        <v>-1357.3497687211081</v>
      </c>
      <c r="CB12">
        <f t="shared" si="13"/>
        <v>22039.300845647369</v>
      </c>
      <c r="CD12">
        <f t="shared" si="8"/>
        <v>23798.349550882853</v>
      </c>
      <c r="CF12">
        <f t="shared" si="14"/>
        <v>13670.845662487864</v>
      </c>
    </row>
    <row r="13" spans="1:84" x14ac:dyDescent="0.25">
      <c r="L13">
        <v>2</v>
      </c>
      <c r="M13">
        <f t="shared" ref="M13:M76" si="21">M12+$O$5</f>
        <v>1.2566370614359173E-2</v>
      </c>
      <c r="P13">
        <f t="shared" si="17"/>
        <v>24999.605221019083</v>
      </c>
      <c r="Q13">
        <f t="shared" si="16"/>
        <v>7562.8301994167632</v>
      </c>
      <c r="V13">
        <f t="shared" si="18"/>
        <v>-16500.276345286642</v>
      </c>
      <c r="W13">
        <f t="shared" si="19"/>
        <v>10043.981139591735</v>
      </c>
      <c r="AB13">
        <f>COS(M13)*$F$55+$F$54</f>
        <v>-0.39477898091899988</v>
      </c>
      <c r="AC13">
        <f t="shared" si="20"/>
        <v>-14937.169800583237</v>
      </c>
      <c r="AW13">
        <v>6</v>
      </c>
      <c r="AX13">
        <f t="shared" si="9"/>
        <v>3</v>
      </c>
      <c r="AZ13">
        <f t="shared" si="15"/>
        <v>394.85512702817806</v>
      </c>
      <c r="BB13">
        <f t="shared" si="10"/>
        <v>-3482.4241933422177</v>
      </c>
      <c r="BD13">
        <f t="shared" si="11"/>
        <v>147.06420106502955</v>
      </c>
      <c r="BF13">
        <f t="shared" si="12"/>
        <v>-2370.4779029653487</v>
      </c>
      <c r="BH13">
        <f t="shared" si="0"/>
        <v>-199.84481721265126</v>
      </c>
      <c r="BJ13">
        <f t="shared" si="1"/>
        <v>-890.31902387599314</v>
      </c>
      <c r="BN13" s="20">
        <f t="shared" si="2"/>
        <v>689.86190376956461</v>
      </c>
      <c r="BP13">
        <f t="shared" si="3"/>
        <v>386.4473387528472</v>
      </c>
      <c r="BR13">
        <f t="shared" si="4"/>
        <v>-222.70655944156962</v>
      </c>
      <c r="BT13">
        <f t="shared" si="5"/>
        <v>147.22459592526414</v>
      </c>
      <c r="BV13">
        <f t="shared" si="6"/>
        <v>-667.00016154064622</v>
      </c>
      <c r="BX13">
        <f t="shared" si="7"/>
        <v>-1423.9909585541045</v>
      </c>
      <c r="CB13">
        <f t="shared" si="13"/>
        <v>22471.656517771931</v>
      </c>
      <c r="CD13">
        <f t="shared" si="8"/>
        <v>24448.433033257716</v>
      </c>
      <c r="CF13">
        <f t="shared" si="14"/>
        <v>12718.451725887506</v>
      </c>
    </row>
    <row r="14" spans="1:84" ht="26.25" x14ac:dyDescent="0.4">
      <c r="L14">
        <v>3</v>
      </c>
      <c r="M14">
        <f t="shared" si="21"/>
        <v>1.8849555921538759E-2</v>
      </c>
      <c r="P14">
        <f t="shared" si="17"/>
        <v>24999.111761904045</v>
      </c>
      <c r="Q14">
        <f t="shared" si="16"/>
        <v>7594.2421985770407</v>
      </c>
      <c r="V14">
        <f t="shared" si="18"/>
        <v>-16500.621766667169</v>
      </c>
      <c r="W14">
        <f t="shared" si="19"/>
        <v>10065.969539003929</v>
      </c>
      <c r="AB14">
        <f t="shared" ref="AB14:AB75" si="22">COS(M14)*$F$55+$F$54</f>
        <v>-0.88823809595487546</v>
      </c>
      <c r="AC14">
        <f t="shared" si="20"/>
        <v>-14905.757801422958</v>
      </c>
      <c r="AF14" s="86" t="s">
        <v>72</v>
      </c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W14">
        <v>7</v>
      </c>
      <c r="AX14">
        <f t="shared" si="9"/>
        <v>3.5</v>
      </c>
      <c r="AZ14">
        <f t="shared" si="15"/>
        <v>443.40662540911143</v>
      </c>
      <c r="BB14">
        <f t="shared" si="10"/>
        <v>-4778.9530228093909</v>
      </c>
      <c r="BD14">
        <f t="shared" si="11"/>
        <v>47.141792458703918</v>
      </c>
      <c r="BF14">
        <f t="shared" si="12"/>
        <v>-2815.6374149033454</v>
      </c>
      <c r="BH14">
        <f t="shared" si="0"/>
        <v>-357.75553329731315</v>
      </c>
      <c r="BJ14">
        <f t="shared" si="1"/>
        <v>-942.73052379080036</v>
      </c>
      <c r="BN14" s="20">
        <f t="shared" si="2"/>
        <v>642.60853053385199</v>
      </c>
      <c r="BP14">
        <f t="shared" si="3"/>
        <v>403.47313089475165</v>
      </c>
      <c r="BR14">
        <f t="shared" si="4"/>
        <v>-204.63366046169691</v>
      </c>
      <c r="BT14">
        <f t="shared" si="5"/>
        <v>147.93382092640465</v>
      </c>
      <c r="BV14">
        <f t="shared" si="6"/>
        <v>-795.73040336946826</v>
      </c>
      <c r="BX14">
        <f t="shared" si="7"/>
        <v>-1494.1374756119567</v>
      </c>
      <c r="CB14">
        <f t="shared" si="13"/>
        <v>23091.839072612907</v>
      </c>
      <c r="CD14">
        <f t="shared" si="8"/>
        <v>25225.985152263685</v>
      </c>
      <c r="CF14">
        <f t="shared" si="14"/>
        <v>11580.176034909189</v>
      </c>
    </row>
    <row r="15" spans="1:84" x14ac:dyDescent="0.25">
      <c r="L15">
        <v>4</v>
      </c>
      <c r="M15">
        <f t="shared" si="21"/>
        <v>2.5132741228718346E-2</v>
      </c>
      <c r="P15">
        <f t="shared" si="17"/>
        <v>24998.4209464165</v>
      </c>
      <c r="Q15">
        <f t="shared" si="16"/>
        <v>7625.6504772166872</v>
      </c>
      <c r="V15">
        <f t="shared" si="18"/>
        <v>-16501.105337508452</v>
      </c>
      <c r="W15">
        <f t="shared" si="19"/>
        <v>10087.955334051681</v>
      </c>
      <c r="AB15">
        <f t="shared" si="22"/>
        <v>-1.5790535835003539</v>
      </c>
      <c r="AC15">
        <f t="shared" si="20"/>
        <v>-14874.349522783312</v>
      </c>
      <c r="AW15">
        <v>8</v>
      </c>
      <c r="AX15">
        <f t="shared" si="9"/>
        <v>4</v>
      </c>
      <c r="AZ15">
        <f t="shared" si="15"/>
        <v>422.2580799762992</v>
      </c>
      <c r="BB15">
        <f t="shared" si="10"/>
        <v>-6304.6130457349136</v>
      </c>
      <c r="BD15">
        <f t="shared" si="11"/>
        <v>-131.73597418995266</v>
      </c>
      <c r="BF15">
        <f t="shared" si="12"/>
        <v>-3287.0026767987456</v>
      </c>
      <c r="BH15">
        <f t="shared" si="0"/>
        <v>-566.40680704753868</v>
      </c>
      <c r="BJ15">
        <f t="shared" si="1"/>
        <v>-989.94508802537234</v>
      </c>
      <c r="BN15" s="20">
        <f t="shared" si="2"/>
        <v>586.01836897302167</v>
      </c>
      <c r="BP15">
        <f t="shared" si="3"/>
        <v>413.21194519840094</v>
      </c>
      <c r="BR15">
        <f t="shared" si="4"/>
        <v>-185.22979369488903</v>
      </c>
      <c r="BT15">
        <f t="shared" si="5"/>
        <v>147.88277079397184</v>
      </c>
      <c r="BV15">
        <f t="shared" si="6"/>
        <v>-967.19538232567129</v>
      </c>
      <c r="BX15">
        <f t="shared" si="7"/>
        <v>-1551.0398040177452</v>
      </c>
      <c r="CB15">
        <f t="shared" si="13"/>
        <v>23955.277498487216</v>
      </c>
      <c r="CD15">
        <f t="shared" si="8"/>
        <v>26132.528229321906</v>
      </c>
      <c r="CF15">
        <f t="shared" si="14"/>
        <v>10247.469783818429</v>
      </c>
    </row>
    <row r="16" spans="1:84" ht="15.75" x14ac:dyDescent="0.25">
      <c r="A16" s="75" t="s">
        <v>0</v>
      </c>
      <c r="B16" s="76"/>
      <c r="C16" s="76"/>
      <c r="D16" s="76"/>
      <c r="E16" s="76"/>
      <c r="F16" s="76"/>
      <c r="G16" s="76"/>
      <c r="H16" s="76"/>
      <c r="L16">
        <v>5</v>
      </c>
      <c r="M16">
        <f t="shared" si="21"/>
        <v>3.1415926535897934E-2</v>
      </c>
      <c r="P16">
        <f t="shared" si="17"/>
        <v>24997.53280182866</v>
      </c>
      <c r="Q16">
        <f t="shared" si="16"/>
        <v>7657.0537953906414</v>
      </c>
      <c r="V16">
        <f t="shared" si="18"/>
        <v>-16501.727038719939</v>
      </c>
      <c r="W16">
        <f t="shared" si="19"/>
        <v>10109.937656773449</v>
      </c>
      <c r="AB16">
        <f t="shared" si="22"/>
        <v>-2.4671981713418063</v>
      </c>
      <c r="AC16">
        <f t="shared" si="20"/>
        <v>-14842.946204609358</v>
      </c>
      <c r="AW16">
        <v>9</v>
      </c>
      <c r="AX16">
        <f t="shared" si="9"/>
        <v>4.5</v>
      </c>
      <c r="AZ16">
        <f t="shared" si="15"/>
        <v>285.58924200038052</v>
      </c>
      <c r="BB16">
        <f t="shared" si="10"/>
        <v>-8071.8575201374579</v>
      </c>
      <c r="BD16">
        <f t="shared" si="11"/>
        <v>-414.93937771372202</v>
      </c>
      <c r="BF16">
        <f t="shared" si="12"/>
        <v>-3781.9752208114319</v>
      </c>
      <c r="BH16">
        <f t="shared" si="0"/>
        <v>-828.77600778486442</v>
      </c>
      <c r="BJ16">
        <f t="shared" si="1"/>
        <v>-995.06934178179347</v>
      </c>
      <c r="BN16" s="20">
        <f t="shared" si="2"/>
        <v>522.13276740854087</v>
      </c>
      <c r="BP16">
        <f t="shared" si="3"/>
        <v>412.41795965835206</v>
      </c>
      <c r="BR16">
        <f t="shared" si="4"/>
        <v>-164.98248751021697</v>
      </c>
      <c r="BT16">
        <f t="shared" si="5"/>
        <v>146.97823031087296</v>
      </c>
      <c r="BV16">
        <f t="shared" si="6"/>
        <v>-1185.9262876831883</v>
      </c>
      <c r="BX16">
        <f t="shared" si="7"/>
        <v>-1554.4655317510185</v>
      </c>
      <c r="CB16">
        <f t="shared" si="13"/>
        <v>25122.514566869948</v>
      </c>
      <c r="CD16">
        <f t="shared" si="8"/>
        <v>27167.943704360667</v>
      </c>
      <c r="CF16">
        <f t="shared" si="14"/>
        <v>8714.1615693321892</v>
      </c>
    </row>
    <row r="17" spans="1:84" x14ac:dyDescent="0.25">
      <c r="A17" s="77" t="s">
        <v>8</v>
      </c>
      <c r="B17" s="77"/>
      <c r="C17" s="78"/>
      <c r="D17" s="81" t="s">
        <v>3</v>
      </c>
      <c r="E17" s="78"/>
      <c r="F17" s="81">
        <f xml:space="preserve"> 0.5</f>
        <v>0.5</v>
      </c>
      <c r="G17" s="78"/>
      <c r="H17" s="2" t="s">
        <v>5</v>
      </c>
      <c r="L17">
        <v>6</v>
      </c>
      <c r="M17">
        <f t="shared" si="21"/>
        <v>3.7699111843077518E-2</v>
      </c>
      <c r="P17">
        <f t="shared" si="17"/>
        <v>24996.447363202948</v>
      </c>
      <c r="Q17">
        <f t="shared" si="16"/>
        <v>7688.4509133496731</v>
      </c>
      <c r="V17">
        <f t="shared" si="18"/>
        <v>-16502.486845757936</v>
      </c>
      <c r="W17">
        <f t="shared" si="19"/>
        <v>10131.91563934477</v>
      </c>
      <c r="AB17">
        <f t="shared" si="22"/>
        <v>-3.5526367970542196</v>
      </c>
      <c r="AC17">
        <f t="shared" si="20"/>
        <v>-14811.549086650328</v>
      </c>
      <c r="AW17">
        <v>10</v>
      </c>
      <c r="AX17">
        <f t="shared" si="9"/>
        <v>5</v>
      </c>
      <c r="AZ17">
        <f t="shared" si="15"/>
        <v>-25.477447829588542</v>
      </c>
      <c r="BB17">
        <f t="shared" si="10"/>
        <v>-10087.228798265898</v>
      </c>
      <c r="BD17">
        <f t="shared" si="11"/>
        <v>-829.32738160615418</v>
      </c>
      <c r="BF17">
        <f t="shared" si="12"/>
        <v>-4279.5098917023288</v>
      </c>
      <c r="BH17">
        <f t="shared" si="0"/>
        <v>-1123.6291357065463</v>
      </c>
      <c r="BJ17">
        <f t="shared" si="1"/>
        <v>-871.60038634060777</v>
      </c>
      <c r="BN17" s="20">
        <f t="shared" si="2"/>
        <v>454.55698178624539</v>
      </c>
      <c r="BP17">
        <f t="shared" si="3"/>
        <v>399.21133772470108</v>
      </c>
      <c r="BR17">
        <f t="shared" si="4"/>
        <v>-144.38057391759932</v>
      </c>
      <c r="BT17">
        <f t="shared" si="5"/>
        <v>145.19524132468567</v>
      </c>
      <c r="BV17">
        <f t="shared" si="6"/>
        <v>-1433.8055435751924</v>
      </c>
      <c r="BX17">
        <f t="shared" si="7"/>
        <v>-1416.0069653899945</v>
      </c>
      <c r="CB17">
        <f t="shared" si="13"/>
        <v>26652.02363454011</v>
      </c>
      <c r="CD17">
        <f t="shared" si="8"/>
        <v>28328.0481498646</v>
      </c>
      <c r="CF17">
        <f t="shared" si="14"/>
        <v>6991.5088144577176</v>
      </c>
    </row>
    <row r="18" spans="1:84" x14ac:dyDescent="0.25">
      <c r="A18" s="79" t="s">
        <v>1</v>
      </c>
      <c r="B18" s="79"/>
      <c r="C18" s="80"/>
      <c r="D18" s="82" t="s">
        <v>4</v>
      </c>
      <c r="E18" s="80"/>
      <c r="F18" s="82">
        <v>0</v>
      </c>
      <c r="G18" s="80"/>
      <c r="H18" s="2" t="s">
        <v>6</v>
      </c>
      <c r="L18">
        <v>7</v>
      </c>
      <c r="M18">
        <f t="shared" si="21"/>
        <v>4.3982297150257102E-2</v>
      </c>
      <c r="P18">
        <f t="shared" si="17"/>
        <v>24995.164673390624</v>
      </c>
      <c r="Q18">
        <f t="shared" si="16"/>
        <v>7719.8405915893245</v>
      </c>
      <c r="V18">
        <f t="shared" si="18"/>
        <v>-16503.384728626563</v>
      </c>
      <c r="W18">
        <f t="shared" si="19"/>
        <v>10153.888414112527</v>
      </c>
      <c r="AB18">
        <f t="shared" si="22"/>
        <v>-4.8353266093763523</v>
      </c>
      <c r="AC18">
        <f t="shared" si="20"/>
        <v>-14780.159408410676</v>
      </c>
      <c r="AW18">
        <v>11</v>
      </c>
      <c r="AX18">
        <f t="shared" si="9"/>
        <v>5.5</v>
      </c>
      <c r="AZ18">
        <f t="shared" si="15"/>
        <v>-580.59478059598393</v>
      </c>
      <c r="BB18">
        <f t="shared" si="10"/>
        <v>-12335.933792409638</v>
      </c>
      <c r="BD18">
        <f t="shared" si="11"/>
        <v>-1391.1419494594275</v>
      </c>
      <c r="BF18">
        <f t="shared" si="12"/>
        <v>-4715.3100848726326</v>
      </c>
      <c r="BH18">
        <f t="shared" si="0"/>
        <v>-1359.8455053048287</v>
      </c>
      <c r="BJ18">
        <f t="shared" si="1"/>
        <v>-462.32608673715208</v>
      </c>
      <c r="BN18" s="20">
        <f t="shared" si="2"/>
        <v>388.04730664497799</v>
      </c>
      <c r="BP18">
        <f t="shared" si="3"/>
        <v>374.00671676359411</v>
      </c>
      <c r="BR18">
        <f t="shared" si="4"/>
        <v>-123.96839267233052</v>
      </c>
      <c r="BT18">
        <f t="shared" si="5"/>
        <v>142.58674659684527</v>
      </c>
      <c r="BV18">
        <f t="shared" si="6"/>
        <v>-1623.9244192774761</v>
      </c>
      <c r="BX18">
        <f t="shared" si="7"/>
        <v>-978.91955009759147</v>
      </c>
      <c r="CB18">
        <f t="shared" si="13"/>
        <v>28583.651812530064</v>
      </c>
      <c r="CD18">
        <f t="shared" si="8"/>
        <v>29597.419439105208</v>
      </c>
      <c r="CF18">
        <f t="shared" si="14"/>
        <v>5160.2704630397375</v>
      </c>
    </row>
    <row r="19" spans="1:84" x14ac:dyDescent="0.25">
      <c r="A19" s="79" t="s">
        <v>2</v>
      </c>
      <c r="B19" s="79"/>
      <c r="C19" s="80"/>
      <c r="D19" s="65"/>
      <c r="E19" s="66"/>
      <c r="F19" s="82">
        <v>2</v>
      </c>
      <c r="G19" s="80"/>
      <c r="H19" s="2" t="s">
        <v>7</v>
      </c>
      <c r="L19">
        <v>8</v>
      </c>
      <c r="M19">
        <f t="shared" si="21"/>
        <v>5.0265482457436686E-2</v>
      </c>
      <c r="P19">
        <f t="shared" si="17"/>
        <v>24993.684783030087</v>
      </c>
      <c r="Q19">
        <f t="shared" si="16"/>
        <v>7751.2215908988474</v>
      </c>
      <c r="V19">
        <f t="shared" si="18"/>
        <v>-16504.42065187894</v>
      </c>
      <c r="W19">
        <f t="shared" si="19"/>
        <v>10175.855113629194</v>
      </c>
      <c r="AB19">
        <f t="shared" si="22"/>
        <v>-6.3152169699123988</v>
      </c>
      <c r="AC19">
        <f t="shared" si="20"/>
        <v>-14748.778409101153</v>
      </c>
      <c r="AW19">
        <v>12</v>
      </c>
      <c r="AX19">
        <f t="shared" si="9"/>
        <v>6</v>
      </c>
      <c r="AZ19">
        <f t="shared" si="15"/>
        <v>-1446.1464434888014</v>
      </c>
      <c r="BB19">
        <f t="shared" si="10"/>
        <v>-14751.379595688099</v>
      </c>
      <c r="BD19">
        <f t="shared" si="11"/>
        <v>-2071.0647021118421</v>
      </c>
      <c r="BF19">
        <f t="shared" si="12"/>
        <v>-4946.4731282412085</v>
      </c>
      <c r="BH19">
        <f t="shared" si="0"/>
        <v>-1332.2496091808098</v>
      </c>
      <c r="BJ19">
        <f t="shared" si="1"/>
        <v>370.49150591336115</v>
      </c>
      <c r="BN19" s="20">
        <f t="shared" si="2"/>
        <v>327.66607473698099</v>
      </c>
      <c r="BP19">
        <f t="shared" si="3"/>
        <v>339.96887174177044</v>
      </c>
      <c r="BR19">
        <f t="shared" si="4"/>
        <v>-104.45037905727231</v>
      </c>
      <c r="BT19">
        <f t="shared" si="5"/>
        <v>139.33983973118018</v>
      </c>
      <c r="BV19">
        <f t="shared" si="6"/>
        <v>-1555.4653048605185</v>
      </c>
      <c r="BX19">
        <f t="shared" si="7"/>
        <v>-108.81720555958944</v>
      </c>
      <c r="CB19">
        <f t="shared" si="13"/>
        <v>30904.062697111072</v>
      </c>
      <c r="CD19">
        <f t="shared" si="8"/>
        <v>30933.416780018153</v>
      </c>
      <c r="CF19">
        <f t="shared" si="14"/>
        <v>3562.5394322824709</v>
      </c>
    </row>
    <row r="20" spans="1:84" x14ac:dyDescent="0.25">
      <c r="L20">
        <v>9</v>
      </c>
      <c r="M20">
        <f t="shared" si="21"/>
        <v>5.654866776461627E-2</v>
      </c>
      <c r="P20">
        <f t="shared" si="17"/>
        <v>24992.007750544875</v>
      </c>
      <c r="Q20">
        <f t="shared" si="16"/>
        <v>7782.5926724101228</v>
      </c>
      <c r="V20">
        <f t="shared" si="18"/>
        <v>-16505.594574618586</v>
      </c>
      <c r="W20">
        <f t="shared" si="19"/>
        <v>10197.814870687085</v>
      </c>
      <c r="AB20">
        <f t="shared" si="22"/>
        <v>-7.9922494551246928</v>
      </c>
      <c r="AC20">
        <f t="shared" si="20"/>
        <v>-14717.407327589877</v>
      </c>
      <c r="AW20">
        <v>13</v>
      </c>
      <c r="AX20">
        <f t="shared" si="9"/>
        <v>6.5</v>
      </c>
      <c r="AZ20">
        <f t="shared" si="15"/>
        <v>-2648.2099956923234</v>
      </c>
      <c r="BB20">
        <f t="shared" si="10"/>
        <v>-17178.304721569533</v>
      </c>
      <c r="BD20">
        <f t="shared" si="11"/>
        <v>-2737.1895067022469</v>
      </c>
      <c r="BF20">
        <f t="shared" si="12"/>
        <v>-4761.2273752845276</v>
      </c>
      <c r="BH20">
        <f t="shared" si="0"/>
        <v>-872.47773551196622</v>
      </c>
      <c r="BJ20">
        <f t="shared" si="1"/>
        <v>1423.2819869014561</v>
      </c>
      <c r="BN20" s="20">
        <f t="shared" si="2"/>
        <v>277.61756850883444</v>
      </c>
      <c r="BP20">
        <f t="shared" si="3"/>
        <v>302.50209411804741</v>
      </c>
      <c r="BR20">
        <f t="shared" si="4"/>
        <v>-86.745678154182187</v>
      </c>
      <c r="BT20">
        <f t="shared" si="5"/>
        <v>135.87073573206416</v>
      </c>
      <c r="BV20">
        <f t="shared" si="6"/>
        <v>-1063.3496258666185</v>
      </c>
      <c r="BX20">
        <f t="shared" si="7"/>
        <v>984.90915705134455</v>
      </c>
      <c r="CB20">
        <f t="shared" si="13"/>
        <v>33495.673451053626</v>
      </c>
      <c r="CD20">
        <f t="shared" si="8"/>
        <v>32245.0750331284</v>
      </c>
      <c r="CF20">
        <f t="shared" si="14"/>
        <v>3205.6087852970495</v>
      </c>
    </row>
    <row r="21" spans="1:84" ht="15.75" x14ac:dyDescent="0.25">
      <c r="A21" s="71" t="s">
        <v>9</v>
      </c>
      <c r="B21" s="71"/>
      <c r="C21" s="71"/>
      <c r="D21" s="71"/>
      <c r="E21" s="71"/>
      <c r="F21" s="71"/>
      <c r="G21" s="71"/>
      <c r="H21" s="71"/>
      <c r="L21">
        <v>10</v>
      </c>
      <c r="M21">
        <f t="shared" si="21"/>
        <v>6.2831853071795854E-2</v>
      </c>
      <c r="P21">
        <f t="shared" si="17"/>
        <v>24990.133642141358</v>
      </c>
      <c r="Q21">
        <f t="shared" si="16"/>
        <v>7813.9525976465666</v>
      </c>
      <c r="V21">
        <f t="shared" si="18"/>
        <v>-16506.90645050105</v>
      </c>
      <c r="W21">
        <f t="shared" si="19"/>
        <v>10219.766818352597</v>
      </c>
      <c r="AB21">
        <f t="shared" si="22"/>
        <v>-9.8663578586420044</v>
      </c>
      <c r="AC21">
        <f t="shared" si="20"/>
        <v>-14686.047402353433</v>
      </c>
      <c r="AW21">
        <v>14</v>
      </c>
      <c r="AX21">
        <f t="shared" si="9"/>
        <v>7</v>
      </c>
      <c r="AZ21">
        <f t="shared" si="15"/>
        <v>-4125.8644659824431</v>
      </c>
      <c r="BB21">
        <f t="shared" si="10"/>
        <v>-19381.008160849116</v>
      </c>
      <c r="BD21">
        <f t="shared" si="11"/>
        <v>-3173.4283744582299</v>
      </c>
      <c r="BF21">
        <f t="shared" si="12"/>
        <v>-4049.5863818337994</v>
      </c>
      <c r="BH21">
        <f t="shared" si="0"/>
        <v>-180.17812858231974</v>
      </c>
      <c r="BJ21">
        <f t="shared" si="1"/>
        <v>2146.14213028827</v>
      </c>
      <c r="BN21" s="20">
        <f t="shared" si="2"/>
        <v>239.95577445043654</v>
      </c>
      <c r="BP21">
        <f t="shared" si="3"/>
        <v>267.35842524274869</v>
      </c>
      <c r="BR21">
        <f t="shared" si="4"/>
        <v>-71.766807806764248</v>
      </c>
      <c r="BT21">
        <f t="shared" si="5"/>
        <v>132.83124371277012</v>
      </c>
      <c r="BV21">
        <f t="shared" si="6"/>
        <v>-348.36709522599205</v>
      </c>
      <c r="BX21">
        <f t="shared" si="7"/>
        <v>1745.9524613327512</v>
      </c>
      <c r="CB21">
        <f t="shared" si="13"/>
        <v>36119.882834452706</v>
      </c>
      <c r="CD21">
        <f t="shared" si="8"/>
        <v>33395.086756890472</v>
      </c>
      <c r="CF21">
        <f t="shared" si="14"/>
        <v>4467.3644844873261</v>
      </c>
    </row>
    <row r="22" spans="1:84" x14ac:dyDescent="0.25">
      <c r="A22" s="64" t="s">
        <v>10</v>
      </c>
      <c r="B22" s="64"/>
      <c r="C22" s="68"/>
      <c r="D22" s="67" t="s">
        <v>15</v>
      </c>
      <c r="E22" s="68"/>
      <c r="F22" s="65">
        <v>1</v>
      </c>
      <c r="G22" s="66"/>
      <c r="H22" s="1" t="s">
        <v>20</v>
      </c>
      <c r="L22">
        <v>11</v>
      </c>
      <c r="M22">
        <f t="shared" si="21"/>
        <v>6.9115038378975438E-2</v>
      </c>
      <c r="P22">
        <f t="shared" si="17"/>
        <v>24988.062531806128</v>
      </c>
      <c r="Q22">
        <f t="shared" si="16"/>
        <v>7845.3001285720293</v>
      </c>
      <c r="V22">
        <f t="shared" si="18"/>
        <v>-16508.356227735712</v>
      </c>
      <c r="W22">
        <f t="shared" si="19"/>
        <v>10241.710090000421</v>
      </c>
      <c r="AB22">
        <f t="shared" si="22"/>
        <v>-11.937468193873428</v>
      </c>
      <c r="AC22">
        <f t="shared" si="20"/>
        <v>-14654.699871427971</v>
      </c>
      <c r="AW22">
        <v>15</v>
      </c>
      <c r="AX22">
        <f t="shared" si="9"/>
        <v>7.5</v>
      </c>
      <c r="AZ22">
        <f t="shared" si="15"/>
        <v>-5735.1009192843476</v>
      </c>
      <c r="BB22">
        <f t="shared" si="10"/>
        <v>-21137.533585479981</v>
      </c>
      <c r="BD22">
        <f t="shared" si="11"/>
        <v>-3263.5174387493898</v>
      </c>
      <c r="BF22">
        <f t="shared" si="12"/>
        <v>-2976.5153166896644</v>
      </c>
      <c r="BH22">
        <f t="shared" si="0"/>
        <v>390.98118215131149</v>
      </c>
      <c r="BJ22">
        <f t="shared" si="1"/>
        <v>2346.9237498752982</v>
      </c>
      <c r="BN22" s="20">
        <f t="shared" si="2"/>
        <v>214.06641854686356</v>
      </c>
      <c r="BP22">
        <f t="shared" si="3"/>
        <v>238.20906200781644</v>
      </c>
      <c r="BR22">
        <f t="shared" si="4"/>
        <v>-59.970388456142473</v>
      </c>
      <c r="BT22">
        <f t="shared" si="5"/>
        <v>130.90383423825355</v>
      </c>
      <c r="BV22">
        <f t="shared" si="6"/>
        <v>236.88515206059043</v>
      </c>
      <c r="BX22">
        <f t="shared" si="7"/>
        <v>1977.8108536292284</v>
      </c>
      <c r="CB22">
        <f t="shared" si="13"/>
        <v>38501.996690889217</v>
      </c>
      <c r="CD22">
        <f t="shared" si="8"/>
        <v>34249.574356039753</v>
      </c>
      <c r="CF22">
        <f t="shared" si="14"/>
        <v>6181.3988606485709</v>
      </c>
    </row>
    <row r="23" spans="1:84" x14ac:dyDescent="0.25">
      <c r="A23" s="65" t="s">
        <v>11</v>
      </c>
      <c r="B23" s="72"/>
      <c r="C23" s="66"/>
      <c r="D23" s="65" t="s">
        <v>16</v>
      </c>
      <c r="E23" s="66"/>
      <c r="F23" s="3">
        <v>0</v>
      </c>
      <c r="G23" s="5">
        <v>0</v>
      </c>
      <c r="H23" s="1" t="s">
        <v>21</v>
      </c>
      <c r="L23">
        <v>12</v>
      </c>
      <c r="M23">
        <f t="shared" si="21"/>
        <v>7.5398223686155022E-2</v>
      </c>
      <c r="P23">
        <f t="shared" si="17"/>
        <v>24985.794501303069</v>
      </c>
      <c r="Q23">
        <f t="shared" si="16"/>
        <v>7876.6340276396631</v>
      </c>
      <c r="V23">
        <f t="shared" si="18"/>
        <v>-16509.943849087853</v>
      </c>
      <c r="W23">
        <f t="shared" si="19"/>
        <v>10263.643819347764</v>
      </c>
      <c r="AB23">
        <f t="shared" si="22"/>
        <v>-14.20549869693059</v>
      </c>
      <c r="AC23">
        <f t="shared" si="20"/>
        <v>-14623.365972360336</v>
      </c>
      <c r="AW23">
        <v>16</v>
      </c>
      <c r="AX23">
        <f t="shared" si="9"/>
        <v>8</v>
      </c>
      <c r="AZ23">
        <f t="shared" si="15"/>
        <v>-7317.9869908901283</v>
      </c>
      <c r="BB23">
        <f t="shared" si="10"/>
        <v>-22332.4257750904</v>
      </c>
      <c r="BD23">
        <f t="shared" si="11"/>
        <v>-3068.0268476737342</v>
      </c>
      <c r="BF23">
        <f t="shared" si="12"/>
        <v>-1803.0534417520153</v>
      </c>
      <c r="BH23">
        <f t="shared" si="0"/>
        <v>751.07099628410424</v>
      </c>
      <c r="BJ23">
        <f t="shared" si="1"/>
        <v>2258.9192906209232</v>
      </c>
      <c r="BN23" s="20">
        <f t="shared" si="2"/>
        <v>197.71080916798957</v>
      </c>
      <c r="BP23">
        <f t="shared" si="3"/>
        <v>215.90877253891412</v>
      </c>
      <c r="BR23">
        <f t="shared" si="4"/>
        <v>-51.215518141821811</v>
      </c>
      <c r="BT23">
        <f t="shared" si="5"/>
        <v>130.5724838528198</v>
      </c>
      <c r="BV23">
        <f t="shared" si="6"/>
        <v>604.57570525793653</v>
      </c>
      <c r="BX23">
        <f t="shared" si="7"/>
        <v>1912.4380342291893</v>
      </c>
      <c r="CB23">
        <f t="shared" si="13"/>
        <v>40450.538202361662</v>
      </c>
      <c r="CD23">
        <f t="shared" si="8"/>
        <v>34730.666714950377</v>
      </c>
      <c r="CF23">
        <f t="shared" si="14"/>
        <v>7690.0930707726757</v>
      </c>
    </row>
    <row r="24" spans="1:84" x14ac:dyDescent="0.25">
      <c r="A24" s="72" t="s">
        <v>12</v>
      </c>
      <c r="B24" s="72"/>
      <c r="C24" s="66"/>
      <c r="D24" s="65" t="s">
        <v>17</v>
      </c>
      <c r="E24" s="66"/>
      <c r="F24" s="5">
        <v>0</v>
      </c>
      <c r="G24" s="5">
        <v>0</v>
      </c>
      <c r="H24" s="1" t="s">
        <v>6</v>
      </c>
      <c r="L24">
        <v>13</v>
      </c>
      <c r="M24">
        <f t="shared" si="21"/>
        <v>8.1681408993334606E-2</v>
      </c>
      <c r="P24">
        <f t="shared" si="17"/>
        <v>24983.329640170148</v>
      </c>
      <c r="Q24">
        <f t="shared" si="16"/>
        <v>7907.9530578407876</v>
      </c>
      <c r="V24">
        <f t="shared" si="18"/>
        <v>-16511.669251880896</v>
      </c>
      <c r="W24">
        <f t="shared" si="19"/>
        <v>10285.567140488551</v>
      </c>
      <c r="AB24">
        <f t="shared" si="22"/>
        <v>-16.670359829850895</v>
      </c>
      <c r="AC24">
        <f t="shared" si="20"/>
        <v>-14592.046942159212</v>
      </c>
      <c r="AW24">
        <v>17</v>
      </c>
      <c r="AX24">
        <f t="shared" si="9"/>
        <v>8.5</v>
      </c>
      <c r="AZ24">
        <f t="shared" si="15"/>
        <v>-8758.1165401914823</v>
      </c>
      <c r="BB24">
        <f t="shared" si="10"/>
        <v>-22951.587584638793</v>
      </c>
      <c r="BD24">
        <f t="shared" si="11"/>
        <v>-2692.4913495316823</v>
      </c>
      <c r="BF24">
        <f t="shared" si="12"/>
        <v>-673.59379644155365</v>
      </c>
      <c r="BH24">
        <f t="shared" si="0"/>
        <v>976.63452112088953</v>
      </c>
      <c r="BJ24">
        <f t="shared" si="1"/>
        <v>2094.5997909318075</v>
      </c>
      <c r="BN24" s="20">
        <f t="shared" si="2"/>
        <v>188.5728080296347</v>
      </c>
      <c r="BP24">
        <f t="shared" si="3"/>
        <v>199.67724144139879</v>
      </c>
      <c r="BR24">
        <f t="shared" si="4"/>
        <v>-45.077783953265154</v>
      </c>
      <c r="BT24">
        <f t="shared" si="5"/>
        <v>132.12950938051642</v>
      </c>
      <c r="BV24">
        <f t="shared" si="6"/>
        <v>833.13949704452</v>
      </c>
      <c r="BX24">
        <f t="shared" si="7"/>
        <v>1762.7930401098924</v>
      </c>
      <c r="CB24">
        <f t="shared" si="13"/>
        <v>41884.704288847053</v>
      </c>
      <c r="CD24">
        <f t="shared" si="8"/>
        <v>34816.476962381443</v>
      </c>
      <c r="CF24">
        <f t="shared" si="14"/>
        <v>8794.9522480706273</v>
      </c>
    </row>
    <row r="25" spans="1:84" x14ac:dyDescent="0.25">
      <c r="A25" s="65" t="s">
        <v>13</v>
      </c>
      <c r="B25" s="72"/>
      <c r="C25" s="66"/>
      <c r="D25" s="73" t="s">
        <v>18</v>
      </c>
      <c r="E25" s="74"/>
      <c r="F25" s="4">
        <v>0</v>
      </c>
      <c r="G25" s="5">
        <v>0</v>
      </c>
      <c r="H25" s="1" t="s">
        <v>6</v>
      </c>
      <c r="L25">
        <v>14</v>
      </c>
      <c r="M25">
        <f t="shared" si="21"/>
        <v>8.796459430051419E-2</v>
      </c>
      <c r="P25">
        <f t="shared" si="17"/>
        <v>24980.668045715862</v>
      </c>
      <c r="Q25">
        <f t="shared" si="16"/>
        <v>7939.2559827537161</v>
      </c>
      <c r="V25">
        <f t="shared" si="18"/>
        <v>-16513.532367998894</v>
      </c>
      <c r="W25">
        <f t="shared" si="19"/>
        <v>10307.479187927602</v>
      </c>
      <c r="AB25">
        <f t="shared" si="22"/>
        <v>-19.331954284137282</v>
      </c>
      <c r="AC25">
        <f t="shared" si="20"/>
        <v>-14560.744017246285</v>
      </c>
      <c r="AW25">
        <v>18</v>
      </c>
      <c r="AX25">
        <f t="shared" si="9"/>
        <v>9</v>
      </c>
      <c r="AZ25">
        <f t="shared" si="15"/>
        <v>-9982.2828998172135</v>
      </c>
      <c r="BB25">
        <f t="shared" si="10"/>
        <v>-23026.559508993098</v>
      </c>
      <c r="BD25">
        <f t="shared" si="11"/>
        <v>-2204.1740889712373</v>
      </c>
      <c r="BF25">
        <f t="shared" si="12"/>
        <v>373.70609902435012</v>
      </c>
      <c r="BH25">
        <f t="shared" si="0"/>
        <v>1145.8598133399048</v>
      </c>
      <c r="BJ25">
        <f t="shared" si="1"/>
        <v>1938.4933166347439</v>
      </c>
      <c r="BN25" s="20">
        <f t="shared" si="2"/>
        <v>185.03532360529618</v>
      </c>
      <c r="BP25">
        <f t="shared" si="3"/>
        <v>188.39432061183393</v>
      </c>
      <c r="BR25">
        <f t="shared" si="4"/>
        <v>-41.19761644224095</v>
      </c>
      <c r="BT25">
        <f t="shared" si="5"/>
        <v>135.8209178250319</v>
      </c>
      <c r="BV25">
        <f t="shared" si="6"/>
        <v>1002.0221061768497</v>
      </c>
      <c r="BX25">
        <f t="shared" si="7"/>
        <v>1614.2780781978781</v>
      </c>
      <c r="CB25">
        <f t="shared" si="13"/>
        <v>42787.943668056403</v>
      </c>
      <c r="CD25">
        <f t="shared" si="8"/>
        <v>34512.436727944281</v>
      </c>
      <c r="CF25">
        <f t="shared" si="14"/>
        <v>9447.1583264608489</v>
      </c>
    </row>
    <row r="26" spans="1:84" x14ac:dyDescent="0.25">
      <c r="A26" s="64" t="s">
        <v>14</v>
      </c>
      <c r="B26" s="64"/>
      <c r="C26" s="64"/>
      <c r="D26" s="65" t="s">
        <v>19</v>
      </c>
      <c r="E26" s="66"/>
      <c r="F26" s="67">
        <v>2500</v>
      </c>
      <c r="G26" s="68"/>
      <c r="H26" s="2" t="s">
        <v>21</v>
      </c>
      <c r="L26">
        <v>15</v>
      </c>
      <c r="M26">
        <f t="shared" si="21"/>
        <v>9.4247779607693774E-2</v>
      </c>
      <c r="P26">
        <f t="shared" si="17"/>
        <v>24977.809823015399</v>
      </c>
      <c r="Q26">
        <f t="shared" si="16"/>
        <v>7970.5415665925711</v>
      </c>
      <c r="V26">
        <f t="shared" si="18"/>
        <v>-16515.533123889221</v>
      </c>
      <c r="W26">
        <f t="shared" si="19"/>
        <v>10329.379096614801</v>
      </c>
      <c r="AB26">
        <f t="shared" si="22"/>
        <v>-22.19017698459993</v>
      </c>
      <c r="AC26">
        <f t="shared" si="20"/>
        <v>-14529.458433407428</v>
      </c>
      <c r="AW26">
        <v>19</v>
      </c>
      <c r="AX26">
        <f t="shared" si="9"/>
        <v>9.5</v>
      </c>
      <c r="AZ26">
        <f t="shared" si="15"/>
        <v>-10941.137467635344</v>
      </c>
      <c r="BB26">
        <f t="shared" si="10"/>
        <v>-22597.394794901582</v>
      </c>
      <c r="BD26">
        <f t="shared" si="11"/>
        <v>-1631.244182301285</v>
      </c>
      <c r="BF26">
        <f t="shared" si="12"/>
        <v>1342.9527573417222</v>
      </c>
      <c r="BH26">
        <f t="shared" si="0"/>
        <v>1306.8356790349021</v>
      </c>
      <c r="BJ26">
        <f t="shared" si="1"/>
        <v>1806.5581552856934</v>
      </c>
      <c r="BN26" s="20">
        <f t="shared" si="2"/>
        <v>186.24546355077956</v>
      </c>
      <c r="BP26">
        <f t="shared" si="3"/>
        <v>181.16668306427528</v>
      </c>
      <c r="BR26">
        <f t="shared" si="4"/>
        <v>-39.450198759995217</v>
      </c>
      <c r="BT26">
        <f t="shared" si="5"/>
        <v>141.95752492352045</v>
      </c>
      <c r="BV26">
        <f t="shared" si="6"/>
        <v>1160.0404142441178</v>
      </c>
      <c r="BX26">
        <f t="shared" si="7"/>
        <v>1483.4339472978977</v>
      </c>
      <c r="CB26">
        <f t="shared" si="13"/>
        <v>43164.883426591994</v>
      </c>
      <c r="CD26">
        <f t="shared" si="8"/>
        <v>33832.722884730356</v>
      </c>
      <c r="CF26">
        <f t="shared" si="14"/>
        <v>9644.5591956780554</v>
      </c>
    </row>
    <row r="27" spans="1:84" x14ac:dyDescent="0.25">
      <c r="L27">
        <v>16</v>
      </c>
      <c r="M27">
        <f t="shared" si="21"/>
        <v>0.10053096491487336</v>
      </c>
      <c r="P27">
        <f t="shared" si="17"/>
        <v>24974.755084906501</v>
      </c>
      <c r="Q27">
        <f t="shared" si="16"/>
        <v>8001.8085742560743</v>
      </c>
      <c r="V27">
        <f t="shared" si="18"/>
        <v>-16517.671440565449</v>
      </c>
      <c r="W27">
        <f t="shared" si="19"/>
        <v>10351.266001979253</v>
      </c>
      <c r="AB27">
        <f t="shared" si="22"/>
        <v>-25.244915093499003</v>
      </c>
      <c r="AC27">
        <f t="shared" si="20"/>
        <v>-14498.191425743926</v>
      </c>
      <c r="AW27">
        <v>20</v>
      </c>
      <c r="AX27">
        <f t="shared" si="9"/>
        <v>10</v>
      </c>
      <c r="AZ27">
        <f t="shared" si="15"/>
        <v>-11593.405098906624</v>
      </c>
      <c r="BB27">
        <f t="shared" si="10"/>
        <v>-21700.09864682001</v>
      </c>
      <c r="BD27">
        <f t="shared" si="11"/>
        <v>-977.82634278383398</v>
      </c>
      <c r="BF27">
        <f t="shared" si="12"/>
        <v>2246.2318349845691</v>
      </c>
      <c r="BH27">
        <f t="shared" si="0"/>
        <v>1487.353052787591</v>
      </c>
      <c r="BJ27">
        <f t="shared" si="1"/>
        <v>1685.4175391133945</v>
      </c>
      <c r="BN27" s="20">
        <f t="shared" si="2"/>
        <v>191.99044231157399</v>
      </c>
      <c r="BP27">
        <f t="shared" si="3"/>
        <v>177.44652205718029</v>
      </c>
      <c r="BR27">
        <f t="shared" si="4"/>
        <v>-40.034536640023383</v>
      </c>
      <c r="BT27">
        <f t="shared" si="5"/>
        <v>150.96466235138917</v>
      </c>
      <c r="BV27">
        <f t="shared" si="6"/>
        <v>1335.3971471160403</v>
      </c>
      <c r="BX27">
        <f t="shared" si="7"/>
        <v>1357.0063547048251</v>
      </c>
      <c r="CB27">
        <f t="shared" si="13"/>
        <v>43020.797374382062</v>
      </c>
      <c r="CD27">
        <f t="shared" si="8"/>
        <v>32795.839553961858</v>
      </c>
      <c r="CF27">
        <f t="shared" si="14"/>
        <v>9400.2293948290007</v>
      </c>
    </row>
    <row r="28" spans="1:84" x14ac:dyDescent="0.25">
      <c r="A28" s="69" t="s">
        <v>22</v>
      </c>
      <c r="B28" s="69"/>
      <c r="C28" s="69"/>
      <c r="D28" s="69"/>
      <c r="E28" s="69"/>
      <c r="F28" s="69"/>
      <c r="G28" s="69"/>
      <c r="H28" s="69"/>
      <c r="L28">
        <v>17</v>
      </c>
      <c r="M28">
        <f t="shared" si="21"/>
        <v>0.10681415022205294</v>
      </c>
      <c r="P28">
        <f t="shared" si="17"/>
        <v>24971.503951984996</v>
      </c>
      <c r="Q28">
        <f t="shared" si="16"/>
        <v>8033.0557713762992</v>
      </c>
      <c r="V28">
        <f t="shared" si="18"/>
        <v>-16519.947233610503</v>
      </c>
      <c r="W28">
        <f t="shared" si="19"/>
        <v>10373.139039963409</v>
      </c>
      <c r="AB28">
        <f t="shared" si="22"/>
        <v>-28.496048015005726</v>
      </c>
      <c r="AC28">
        <f t="shared" si="20"/>
        <v>-14466.944228623701</v>
      </c>
      <c r="AW28">
        <v>21</v>
      </c>
      <c r="AX28">
        <f t="shared" si="9"/>
        <v>10.5</v>
      </c>
      <c r="AZ28">
        <f t="shared" si="15"/>
        <v>-11896.399138700093</v>
      </c>
      <c r="BB28">
        <f t="shared" si="10"/>
        <v>-20366.305536938551</v>
      </c>
      <c r="BD28">
        <f t="shared" si="11"/>
        <v>-234.1498163900385</v>
      </c>
      <c r="BF28">
        <f t="shared" si="12"/>
        <v>3088.9406045412661</v>
      </c>
      <c r="BH28">
        <f t="shared" si="0"/>
        <v>1700.8398880258603</v>
      </c>
      <c r="BJ28">
        <f t="shared" si="1"/>
        <v>1540.118143149296</v>
      </c>
      <c r="BN28" s="20">
        <f t="shared" si="2"/>
        <v>202.62864471487001</v>
      </c>
      <c r="BP28">
        <f t="shared" si="3"/>
        <v>177.02661982648033</v>
      </c>
      <c r="BR28">
        <f t="shared" si="4"/>
        <v>-43.595366025625069</v>
      </c>
      <c r="BT28">
        <f t="shared" si="5"/>
        <v>163.36320450467551</v>
      </c>
      <c r="BV28">
        <f t="shared" si="6"/>
        <v>1541.8066093366153</v>
      </c>
      <c r="BX28">
        <f t="shared" si="7"/>
        <v>1199.7283188181402</v>
      </c>
      <c r="CB28">
        <f t="shared" si="13"/>
        <v>42354.589624895198</v>
      </c>
      <c r="CD28">
        <f t="shared" si="8"/>
        <v>31428.981193827545</v>
      </c>
      <c r="CF28">
        <f t="shared" si="14"/>
        <v>8738.2810778802923</v>
      </c>
    </row>
    <row r="29" spans="1:84" x14ac:dyDescent="0.25">
      <c r="A29" s="69"/>
      <c r="B29" s="69"/>
      <c r="C29" s="69"/>
      <c r="D29" s="69"/>
      <c r="E29" s="69"/>
      <c r="F29" s="69"/>
      <c r="G29" s="69"/>
      <c r="H29" s="69"/>
      <c r="L29">
        <v>18</v>
      </c>
      <c r="M29">
        <f t="shared" si="21"/>
        <v>0.11309733552923253</v>
      </c>
      <c r="P29">
        <f t="shared" si="17"/>
        <v>24968.056552600043</v>
      </c>
      <c r="Q29">
        <f t="shared" si="16"/>
        <v>8064.2819243674085</v>
      </c>
      <c r="V29">
        <f t="shared" si="18"/>
        <v>-16522.360413179969</v>
      </c>
      <c r="W29">
        <f t="shared" si="19"/>
        <v>10394.997347057186</v>
      </c>
      <c r="AB29">
        <f t="shared" si="22"/>
        <v>-31.943447399958131</v>
      </c>
      <c r="AC29">
        <f t="shared" si="20"/>
        <v>-14435.718075632592</v>
      </c>
      <c r="AW29">
        <v>22</v>
      </c>
      <c r="AX29">
        <f t="shared" si="9"/>
        <v>11</v>
      </c>
      <c r="AZ29">
        <f t="shared" si="15"/>
        <v>-11800.869060891881</v>
      </c>
      <c r="BB29">
        <f t="shared" si="10"/>
        <v>-18629.320466774254</v>
      </c>
      <c r="BD29">
        <f t="shared" si="11"/>
        <v>616.27012762289166</v>
      </c>
      <c r="BF29">
        <f t="shared" si="12"/>
        <v>3858.9996761159141</v>
      </c>
      <c r="BH29">
        <f t="shared" si="0"/>
        <v>1936.7138635855035</v>
      </c>
      <c r="BJ29">
        <f t="shared" si="1"/>
        <v>1303.6839737957985</v>
      </c>
      <c r="BN29" s="20">
        <f t="shared" si="2"/>
        <v>219.12434986171948</v>
      </c>
      <c r="BP29">
        <f t="shared" si="3"/>
        <v>180.0444619499921</v>
      </c>
      <c r="BR29">
        <f t="shared" si="4"/>
        <v>-51.432973639756526</v>
      </c>
      <c r="BT29">
        <f t="shared" si="5"/>
        <v>179.59111713514309</v>
      </c>
      <c r="BV29">
        <f t="shared" si="6"/>
        <v>1769.0224873635407</v>
      </c>
      <c r="BX29">
        <f t="shared" si="7"/>
        <v>944.04839471066339</v>
      </c>
      <c r="CB29">
        <f t="shared" si="13"/>
        <v>41158.67661967982</v>
      </c>
      <c r="CD29">
        <f t="shared" si="8"/>
        <v>29780.257529878734</v>
      </c>
      <c r="CF29">
        <f t="shared" si="14"/>
        <v>7708.6825744703547</v>
      </c>
    </row>
    <row r="30" spans="1:84" x14ac:dyDescent="0.25">
      <c r="A30" s="7"/>
      <c r="L30">
        <v>19</v>
      </c>
      <c r="M30">
        <f t="shared" si="21"/>
        <v>0.11938052083641211</v>
      </c>
      <c r="P30">
        <f t="shared" si="17"/>
        <v>24964.413022849069</v>
      </c>
      <c r="Q30">
        <f t="shared" si="16"/>
        <v>8095.4858004743483</v>
      </c>
      <c r="V30">
        <f t="shared" si="18"/>
        <v>-16524.910884005651</v>
      </c>
      <c r="W30">
        <f t="shared" si="19"/>
        <v>10416.840060332044</v>
      </c>
      <c r="AB30">
        <f t="shared" si="22"/>
        <v>-35.586977150931489</v>
      </c>
      <c r="AC30">
        <f t="shared" si="20"/>
        <v>-14404.514199525651</v>
      </c>
      <c r="AW30">
        <v>23</v>
      </c>
      <c r="AX30">
        <f t="shared" si="9"/>
        <v>11.5</v>
      </c>
      <c r="AZ30">
        <f t="shared" si="15"/>
        <v>-11250.644764132247</v>
      </c>
      <c r="BB30">
        <f t="shared" si="10"/>
        <v>-16536.860131991823</v>
      </c>
      <c r="BD30">
        <f t="shared" si="11"/>
        <v>1584.6270594156435</v>
      </c>
      <c r="BF30">
        <f t="shared" si="12"/>
        <v>4510.8416630138136</v>
      </c>
      <c r="BH30">
        <f t="shared" si="0"/>
        <v>2123.2328115318446</v>
      </c>
      <c r="BJ30">
        <f t="shared" si="1"/>
        <v>864.85220399511627</v>
      </c>
      <c r="BN30" s="20">
        <f t="shared" si="2"/>
        <v>243.16847967313583</v>
      </c>
      <c r="BP30">
        <f t="shared" si="3"/>
        <v>187.03635648250165</v>
      </c>
      <c r="BR30">
        <f t="shared" si="4"/>
        <v>-65.742022733859258</v>
      </c>
      <c r="BT30">
        <f t="shared" si="5"/>
        <v>199.39604862890488</v>
      </c>
      <c r="BV30">
        <f t="shared" si="6"/>
        <v>1945.8063545925679</v>
      </c>
      <c r="BX30">
        <f t="shared" si="7"/>
        <v>478.41979888370975</v>
      </c>
      <c r="CB30">
        <f t="shared" si="13"/>
        <v>39425.543029601053</v>
      </c>
      <c r="CD30">
        <f t="shared" si="8"/>
        <v>27942.014292250005</v>
      </c>
      <c r="CF30">
        <f t="shared" si="14"/>
        <v>6436.8081401172585</v>
      </c>
    </row>
    <row r="31" spans="1:84" x14ac:dyDescent="0.25">
      <c r="A31" s="61" t="s">
        <v>23</v>
      </c>
      <c r="B31" s="61"/>
      <c r="C31" s="61"/>
      <c r="D31" s="61"/>
      <c r="E31" s="61"/>
      <c r="F31" s="61"/>
      <c r="G31" s="61"/>
      <c r="H31" s="51"/>
      <c r="I31" s="6"/>
      <c r="L31">
        <v>20</v>
      </c>
      <c r="M31">
        <f t="shared" si="21"/>
        <v>0.12566370614359171</v>
      </c>
      <c r="P31">
        <f t="shared" si="17"/>
        <v>24960.573506572389</v>
      </c>
      <c r="Q31">
        <f t="shared" si="16"/>
        <v>8126.6661678215214</v>
      </c>
      <c r="V31">
        <f t="shared" si="18"/>
        <v>-16527.598545399327</v>
      </c>
      <c r="W31">
        <f t="shared" si="19"/>
        <v>10438.666317475065</v>
      </c>
      <c r="AB31">
        <f t="shared" si="22"/>
        <v>-39.426493427610694</v>
      </c>
      <c r="AC31">
        <f t="shared" si="20"/>
        <v>-14373.333832178479</v>
      </c>
      <c r="AW31">
        <v>24</v>
      </c>
      <c r="AX31">
        <f t="shared" si="9"/>
        <v>12</v>
      </c>
      <c r="AZ31">
        <f t="shared" si="15"/>
        <v>-10192.927132982944</v>
      </c>
      <c r="BB31">
        <f t="shared" si="10"/>
        <v>-14173.332774985527</v>
      </c>
      <c r="BD31">
        <f t="shared" si="11"/>
        <v>2646.2434651815656</v>
      </c>
      <c r="BF31">
        <f t="shared" si="12"/>
        <v>4943.2677650113719</v>
      </c>
      <c r="BH31">
        <f t="shared" si="0"/>
        <v>2073.1936642192368</v>
      </c>
      <c r="BJ31">
        <f t="shared" si="1"/>
        <v>119.24291736553374</v>
      </c>
      <c r="BN31" s="20">
        <f t="shared" si="2"/>
        <v>277.28028291677634</v>
      </c>
      <c r="BP31">
        <f t="shared" si="3"/>
        <v>199.03959020364465</v>
      </c>
      <c r="BR31">
        <f t="shared" si="4"/>
        <v>-89.385809070763131</v>
      </c>
      <c r="BT31">
        <f t="shared" si="5"/>
        <v>220.32597670359687</v>
      </c>
      <c r="BV31">
        <f t="shared" si="6"/>
        <v>1885.2991903732236</v>
      </c>
      <c r="BX31">
        <f t="shared" si="7"/>
        <v>-300.12264954170774</v>
      </c>
      <c r="CB31">
        <f t="shared" si="13"/>
        <v>37166.466100947495</v>
      </c>
      <c r="CD31">
        <f t="shared" si="8"/>
        <v>26086.944927859444</v>
      </c>
      <c r="CF31">
        <f t="shared" si="14"/>
        <v>5258.314455163707</v>
      </c>
    </row>
    <row r="32" spans="1:84" x14ac:dyDescent="0.25">
      <c r="A32" s="70" t="s">
        <v>24</v>
      </c>
      <c r="B32" s="63"/>
      <c r="C32" s="63"/>
      <c r="D32" s="50" t="s">
        <v>31</v>
      </c>
      <c r="E32" s="51"/>
      <c r="F32" s="10">
        <f>20000</f>
        <v>20000</v>
      </c>
      <c r="G32" s="11">
        <f>7500</f>
        <v>7500</v>
      </c>
      <c r="H32" s="11" t="s">
        <v>21</v>
      </c>
      <c r="L32">
        <v>21</v>
      </c>
      <c r="M32">
        <f t="shared" si="21"/>
        <v>0.13194689145077129</v>
      </c>
      <c r="P32">
        <f t="shared" si="17"/>
        <v>24956.538155347531</v>
      </c>
      <c r="Q32">
        <f t="shared" si="16"/>
        <v>8157.821795461412</v>
      </c>
      <c r="V32">
        <f t="shared" si="18"/>
        <v>-16530.423291256728</v>
      </c>
      <c r="W32">
        <f t="shared" si="19"/>
        <v>10460.475256822989</v>
      </c>
      <c r="AB32">
        <f t="shared" si="22"/>
        <v>-43.461844652467335</v>
      </c>
      <c r="AC32">
        <f t="shared" si="20"/>
        <v>-14342.178204538588</v>
      </c>
      <c r="AW32">
        <v>25</v>
      </c>
      <c r="AX32">
        <f t="shared" si="9"/>
        <v>12.5</v>
      </c>
      <c r="AZ32">
        <f t="shared" si="15"/>
        <v>-8610.6561923647569</v>
      </c>
      <c r="BB32">
        <f t="shared" si="10"/>
        <v>-11686.793527809148</v>
      </c>
      <c r="BD32">
        <f t="shared" si="11"/>
        <v>3682.840297291184</v>
      </c>
      <c r="BF32">
        <f t="shared" si="12"/>
        <v>5002.8892236941392</v>
      </c>
      <c r="BH32">
        <f t="shared" si="0"/>
        <v>1569.7837907732332</v>
      </c>
      <c r="BJ32">
        <f t="shared" si="1"/>
        <v>-802.93150514278454</v>
      </c>
      <c r="BN32" s="20">
        <f t="shared" si="2"/>
        <v>324.57056064158644</v>
      </c>
      <c r="BP32">
        <f t="shared" si="3"/>
        <v>217.6625481906033</v>
      </c>
      <c r="BR32">
        <f t="shared" si="4"/>
        <v>-123.70581268623702</v>
      </c>
      <c r="BT32">
        <f t="shared" si="5"/>
        <v>235.55197412846198</v>
      </c>
      <c r="BV32">
        <f t="shared" si="6"/>
        <v>1368.9190428178838</v>
      </c>
      <c r="BX32">
        <f t="shared" si="7"/>
        <v>-1256.1460274618498</v>
      </c>
      <c r="CB32">
        <f t="shared" si="13"/>
        <v>34448.55140113266</v>
      </c>
      <c r="CD32">
        <f t="shared" si="8"/>
        <v>24495.594826138513</v>
      </c>
      <c r="CF32">
        <f t="shared" si="14"/>
        <v>4900.4260291151531</v>
      </c>
    </row>
    <row r="33" spans="1:84" x14ac:dyDescent="0.25">
      <c r="A33" s="60" t="s">
        <v>25</v>
      </c>
      <c r="B33" s="61"/>
      <c r="C33" s="51"/>
      <c r="D33" s="50" t="s">
        <v>32</v>
      </c>
      <c r="E33" s="51"/>
      <c r="F33" s="63">
        <v>5000</v>
      </c>
      <c r="G33" s="63"/>
      <c r="H33" s="12" t="s">
        <v>21</v>
      </c>
      <c r="L33">
        <v>22</v>
      </c>
      <c r="M33">
        <f t="shared" si="21"/>
        <v>0.13823007675795088</v>
      </c>
      <c r="P33">
        <f t="shared" si="17"/>
        <v>24952.307128483255</v>
      </c>
      <c r="Q33">
        <f t="shared" si="16"/>
        <v>8188.9514534231903</v>
      </c>
      <c r="V33">
        <f t="shared" si="18"/>
        <v>-16533.38501006172</v>
      </c>
      <c r="W33">
        <f t="shared" si="19"/>
        <v>10482.266017396234</v>
      </c>
      <c r="AB33">
        <f t="shared" si="22"/>
        <v>-47.692871516744162</v>
      </c>
      <c r="AC33">
        <f t="shared" si="20"/>
        <v>-14311.048546576811</v>
      </c>
      <c r="AW33">
        <v>26</v>
      </c>
      <c r="AX33">
        <f t="shared" si="9"/>
        <v>13</v>
      </c>
      <c r="AZ33">
        <f t="shared" si="15"/>
        <v>-6573.0130698725106</v>
      </c>
      <c r="BB33">
        <f t="shared" si="10"/>
        <v>-9285.7153541049265</v>
      </c>
      <c r="BD33">
        <f t="shared" si="11"/>
        <v>4467.7321926778004</v>
      </c>
      <c r="BF33">
        <f t="shared" si="12"/>
        <v>4601.4234711227473</v>
      </c>
      <c r="BH33">
        <f t="shared" si="0"/>
        <v>748.52943409549277</v>
      </c>
      <c r="BJ33">
        <f t="shared" si="1"/>
        <v>-1424.8896959374397</v>
      </c>
      <c r="BN33" s="20">
        <f t="shared" si="2"/>
        <v>387.76158564583562</v>
      </c>
      <c r="BP33">
        <f t="shared" si="3"/>
        <v>244.94232493668068</v>
      </c>
      <c r="BR33">
        <f t="shared" si="4"/>
        <v>-163.57546044041359</v>
      </c>
      <c r="BT33">
        <f t="shared" si="5"/>
        <v>234.94993965414656</v>
      </c>
      <c r="BV33">
        <f t="shared" si="6"/>
        <v>524.34330889007072</v>
      </c>
      <c r="BX33">
        <f t="shared" si="7"/>
        <v>-1904.7819605282671</v>
      </c>
      <c r="CB33">
        <f t="shared" si="13"/>
        <v>31430.642111809444</v>
      </c>
      <c r="CD33">
        <f t="shared" si="8"/>
        <v>23499.421157581157</v>
      </c>
      <c r="CF33">
        <f t="shared" si="14"/>
        <v>5926.8388819253323</v>
      </c>
    </row>
    <row r="34" spans="1:84" x14ac:dyDescent="0.25">
      <c r="A34" s="60" t="s">
        <v>27</v>
      </c>
      <c r="B34" s="61"/>
      <c r="C34" s="51"/>
      <c r="D34" s="55" t="s">
        <v>37</v>
      </c>
      <c r="E34" s="56"/>
      <c r="F34" s="50">
        <v>1</v>
      </c>
      <c r="G34" s="51"/>
      <c r="H34" s="11" t="s">
        <v>39</v>
      </c>
      <c r="L34">
        <v>23</v>
      </c>
      <c r="M34">
        <f t="shared" si="21"/>
        <v>0.14451326206513046</v>
      </c>
      <c r="P34">
        <f t="shared" si="17"/>
        <v>24947.880593013255</v>
      </c>
      <c r="Q34">
        <f t="shared" si="16"/>
        <v>8220.053912761261</v>
      </c>
      <c r="V34">
        <f t="shared" si="18"/>
        <v>-16536.483584890721</v>
      </c>
      <c r="W34">
        <f t="shared" si="19"/>
        <v>10504.037738932882</v>
      </c>
      <c r="AB34">
        <f t="shared" si="22"/>
        <v>-52.119406986745162</v>
      </c>
      <c r="AC34">
        <f t="shared" si="20"/>
        <v>-14279.946087238739</v>
      </c>
      <c r="AW34">
        <v>27</v>
      </c>
      <c r="AX34">
        <f t="shared" si="9"/>
        <v>13.5</v>
      </c>
      <c r="AZ34">
        <f t="shared" si="15"/>
        <v>-4245.5807942716738</v>
      </c>
      <c r="BB34">
        <f t="shared" si="10"/>
        <v>-7163.1148305357328</v>
      </c>
      <c r="BD34">
        <f t="shared" si="11"/>
        <v>4841.9969097255471</v>
      </c>
      <c r="BF34">
        <f t="shared" si="12"/>
        <v>3888.9786231540274</v>
      </c>
      <c r="BH34">
        <f t="shared" si="0"/>
        <v>79.810464152282407</v>
      </c>
      <c r="BJ34">
        <f t="shared" si="1"/>
        <v>-1493.2089989348358</v>
      </c>
      <c r="BN34" s="20">
        <f t="shared" si="2"/>
        <v>467.95502276291393</v>
      </c>
      <c r="BP34">
        <f t="shared" si="3"/>
        <v>283.00737740709138</v>
      </c>
      <c r="BR34">
        <f t="shared" si="4"/>
        <v>-196.54457476120621</v>
      </c>
      <c r="BT34">
        <f t="shared" si="5"/>
        <v>214.11878545918441</v>
      </c>
      <c r="BV34">
        <f t="shared" si="6"/>
        <v>-191.59998384942531</v>
      </c>
      <c r="BX34">
        <f t="shared" si="7"/>
        <v>-1990.3351618011116</v>
      </c>
      <c r="CB34">
        <f t="shared" si="13"/>
        <v>28334.698244114625</v>
      </c>
      <c r="CD34">
        <f t="shared" si="8"/>
        <v>23297.515644290856</v>
      </c>
      <c r="CF34">
        <f t="shared" si="14"/>
        <v>7873.1135834141714</v>
      </c>
    </row>
    <row r="35" spans="1:84" x14ac:dyDescent="0.25">
      <c r="A35" s="60" t="s">
        <v>26</v>
      </c>
      <c r="B35" s="61"/>
      <c r="C35" s="51"/>
      <c r="D35" s="57" t="s">
        <v>33</v>
      </c>
      <c r="E35" s="58"/>
      <c r="F35" s="54">
        <f>4/3*PI()*F33^3</f>
        <v>523598775598.29883</v>
      </c>
      <c r="G35" s="54"/>
      <c r="H35" s="13" t="s">
        <v>21</v>
      </c>
      <c r="L35">
        <v>24</v>
      </c>
      <c r="M35">
        <f t="shared" si="21"/>
        <v>0.15079644737231004</v>
      </c>
      <c r="P35">
        <f t="shared" si="17"/>
        <v>24943.258723689571</v>
      </c>
      <c r="Q35">
        <f t="shared" si="16"/>
        <v>8251.1279456037846</v>
      </c>
      <c r="V35">
        <f t="shared" si="18"/>
        <v>-16539.718893417303</v>
      </c>
      <c r="W35">
        <f t="shared" si="19"/>
        <v>10525.789561922649</v>
      </c>
      <c r="AB35">
        <f t="shared" si="22"/>
        <v>-56.741276310429384</v>
      </c>
      <c r="AC35">
        <f t="shared" si="20"/>
        <v>-14248.872054396215</v>
      </c>
      <c r="AW35">
        <v>28</v>
      </c>
      <c r="AX35">
        <f t="shared" si="9"/>
        <v>14</v>
      </c>
      <c r="AZ35">
        <f t="shared" si="15"/>
        <v>-1814.6060313898649</v>
      </c>
      <c r="BB35">
        <f t="shared" si="10"/>
        <v>-5405.276643825574</v>
      </c>
      <c r="BD35">
        <f t="shared" si="11"/>
        <v>4881.9021418016882</v>
      </c>
      <c r="BF35">
        <f t="shared" si="12"/>
        <v>3142.3741236866094</v>
      </c>
      <c r="BH35">
        <f t="shared" si="0"/>
        <v>-228.50923531087881</v>
      </c>
      <c r="BJ35">
        <f t="shared" si="1"/>
        <v>-1232.6540634206776</v>
      </c>
      <c r="BN35" s="20">
        <f t="shared" si="2"/>
        <v>564.63616719073752</v>
      </c>
      <c r="BP35">
        <f t="shared" si="3"/>
        <v>334.03243360070695</v>
      </c>
      <c r="BR35">
        <f t="shared" si="4"/>
        <v>-213.08597829159862</v>
      </c>
      <c r="BT35">
        <f t="shared" si="5"/>
        <v>180.51016382534672</v>
      </c>
      <c r="BV35">
        <f t="shared" si="6"/>
        <v>-580.05942421001771</v>
      </c>
      <c r="BX35">
        <f t="shared" si="7"/>
        <v>-1747.1966608467312</v>
      </c>
      <c r="CB35">
        <f t="shared" si="13"/>
        <v>25346.068759443166</v>
      </c>
      <c r="CD35">
        <f t="shared" si="8"/>
        <v>23833.403077746989</v>
      </c>
      <c r="CF35">
        <f t="shared" si="14"/>
        <v>10109.671162643068</v>
      </c>
    </row>
    <row r="36" spans="1:84" x14ac:dyDescent="0.25">
      <c r="A36" s="60" t="s">
        <v>28</v>
      </c>
      <c r="B36" s="61"/>
      <c r="C36" s="51"/>
      <c r="D36" s="50" t="s">
        <v>34</v>
      </c>
      <c r="E36" s="51"/>
      <c r="F36" s="52">
        <f>F34*F35</f>
        <v>523598775598.29883</v>
      </c>
      <c r="G36" s="53"/>
      <c r="H36" s="11" t="s">
        <v>39</v>
      </c>
      <c r="L36">
        <v>25</v>
      </c>
      <c r="M36">
        <f t="shared" si="21"/>
        <v>0.15707963267948963</v>
      </c>
      <c r="P36">
        <f t="shared" si="17"/>
        <v>24938.441702975688</v>
      </c>
      <c r="Q36">
        <f t="shared" si="16"/>
        <v>8282.1723252011543</v>
      </c>
      <c r="V36">
        <f t="shared" si="18"/>
        <v>-16543.090807917019</v>
      </c>
      <c r="W36">
        <f t="shared" si="19"/>
        <v>10547.520627640808</v>
      </c>
      <c r="AB36">
        <f t="shared" si="22"/>
        <v>-61.558297024311287</v>
      </c>
      <c r="AC36">
        <f t="shared" si="20"/>
        <v>-14217.827674798846</v>
      </c>
      <c r="AW36">
        <v>29</v>
      </c>
      <c r="AX36">
        <f t="shared" si="9"/>
        <v>14.5</v>
      </c>
      <c r="AZ36">
        <f t="shared" si="15"/>
        <v>597.78138509711937</v>
      </c>
      <c r="BB36">
        <f t="shared" si="10"/>
        <v>-3988.1713399098535</v>
      </c>
      <c r="BD36">
        <f t="shared" si="11"/>
        <v>4767.6475241462485</v>
      </c>
      <c r="BF36">
        <f t="shared" si="12"/>
        <v>2526.0470919762706</v>
      </c>
      <c r="BH36">
        <f t="shared" si="0"/>
        <v>-266.97815697482838</v>
      </c>
      <c r="BJ36">
        <f t="shared" si="1"/>
        <v>-890.20130821415648</v>
      </c>
      <c r="BN36" s="20">
        <f t="shared" si="2"/>
        <v>676.92465261180155</v>
      </c>
      <c r="BP36">
        <f t="shared" si="3"/>
        <v>400.81119318179884</v>
      </c>
      <c r="BR36">
        <f t="shared" si="4"/>
        <v>-213.81335989715151</v>
      </c>
      <c r="BT36">
        <f t="shared" si="5"/>
        <v>145.20291564833809</v>
      </c>
      <c r="BV36">
        <f t="shared" si="6"/>
        <v>-730.08944968947844</v>
      </c>
      <c r="BX36">
        <f t="shared" si="7"/>
        <v>-1436.2154170442934</v>
      </c>
      <c r="CB36">
        <f t="shared" si="13"/>
        <v>22548.263079794197</v>
      </c>
      <c r="CD36">
        <f t="shared" si="8"/>
        <v>24898.544845491047</v>
      </c>
      <c r="CF36">
        <f t="shared" si="14"/>
        <v>12352.956199813978</v>
      </c>
    </row>
    <row r="37" spans="1:84" x14ac:dyDescent="0.25">
      <c r="A37" s="62" t="s">
        <v>29</v>
      </c>
      <c r="B37" s="54"/>
      <c r="C37" s="54"/>
      <c r="D37" s="59" t="s">
        <v>35</v>
      </c>
      <c r="E37" s="51"/>
      <c r="F37" s="50">
        <f>F33*F19</f>
        <v>10000</v>
      </c>
      <c r="G37" s="51"/>
      <c r="H37" s="11" t="s">
        <v>21</v>
      </c>
      <c r="L37">
        <v>26</v>
      </c>
      <c r="M37">
        <f t="shared" si="21"/>
        <v>0.16336281798666921</v>
      </c>
      <c r="P37">
        <f t="shared" si="17"/>
        <v>24933.429721039342</v>
      </c>
      <c r="Q37">
        <f t="shared" si="16"/>
        <v>8313.1858259744185</v>
      </c>
      <c r="V37">
        <f t="shared" si="18"/>
        <v>-16546.599195272462</v>
      </c>
      <c r="W37">
        <f t="shared" si="19"/>
        <v>10569.230078182092</v>
      </c>
      <c r="AB37">
        <f t="shared" si="22"/>
        <v>-66.57027896065938</v>
      </c>
      <c r="AC37">
        <f t="shared" si="20"/>
        <v>-14186.814174025581</v>
      </c>
      <c r="AW37">
        <v>30</v>
      </c>
      <c r="AX37">
        <f t="shared" si="9"/>
        <v>15</v>
      </c>
      <c r="AZ37">
        <f t="shared" si="15"/>
        <v>2948.2328775483902</v>
      </c>
      <c r="BB37">
        <f t="shared" si="10"/>
        <v>-2836.422957448488</v>
      </c>
      <c r="BD37">
        <f t="shared" si="11"/>
        <v>4634.1584456588344</v>
      </c>
      <c r="BF37">
        <f t="shared" si="12"/>
        <v>2080.9464378691923</v>
      </c>
      <c r="BH37">
        <f t="shared" si="0"/>
        <v>-158.56612339967489</v>
      </c>
      <c r="BJ37">
        <f t="shared" si="1"/>
        <v>-558.51525269642536</v>
      </c>
      <c r="BN37" s="20">
        <f t="shared" si="2"/>
        <v>804.34375684142651</v>
      </c>
      <c r="BP37">
        <f t="shared" si="3"/>
        <v>487.57628544839872</v>
      </c>
      <c r="BR37">
        <f t="shared" si="4"/>
        <v>-204.57221429083279</v>
      </c>
      <c r="BT37">
        <f t="shared" si="5"/>
        <v>114.43040002213262</v>
      </c>
      <c r="BV37">
        <f t="shared" si="6"/>
        <v>-758.33766595026862</v>
      </c>
      <c r="BX37">
        <f t="shared" si="7"/>
        <v>-1160.5219381669567</v>
      </c>
      <c r="CB37">
        <f t="shared" si="13"/>
        <v>19940.020099127025</v>
      </c>
      <c r="CD37">
        <f t="shared" si="8"/>
        <v>26294.393823488372</v>
      </c>
      <c r="CF37">
        <f t="shared" si="14"/>
        <v>14530.210333846764</v>
      </c>
    </row>
    <row r="38" spans="1:84" x14ac:dyDescent="0.25">
      <c r="A38" s="60" t="s">
        <v>30</v>
      </c>
      <c r="B38" s="61"/>
      <c r="C38" s="51"/>
      <c r="D38" s="55" t="s">
        <v>36</v>
      </c>
      <c r="E38" s="56"/>
      <c r="F38" s="50" t="s">
        <v>38</v>
      </c>
      <c r="G38" s="51"/>
      <c r="H38" s="14" t="s">
        <v>40</v>
      </c>
      <c r="L38">
        <v>27</v>
      </c>
      <c r="M38">
        <f t="shared" si="21"/>
        <v>0.1696460032938488</v>
      </c>
      <c r="P38">
        <f t="shared" si="17"/>
        <v>24928.22297574499</v>
      </c>
      <c r="Q38">
        <f t="shared" si="16"/>
        <v>8344.1672235636688</v>
      </c>
      <c r="V38">
        <f t="shared" si="18"/>
        <v>-16550.243916978507</v>
      </c>
      <c r="W38">
        <f t="shared" si="19"/>
        <v>10590.917056494569</v>
      </c>
      <c r="AB38">
        <f t="shared" si="22"/>
        <v>-71.777024255009565</v>
      </c>
      <c r="AC38">
        <f t="shared" si="20"/>
        <v>-14155.832776436331</v>
      </c>
      <c r="AW38">
        <v>31</v>
      </c>
      <c r="AX38">
        <f t="shared" si="9"/>
        <v>15.5</v>
      </c>
      <c r="AZ38">
        <f t="shared" si="15"/>
        <v>5245.4913349528479</v>
      </c>
      <c r="BB38">
        <f t="shared" si="10"/>
        <v>-1865.7641451009449</v>
      </c>
      <c r="BD38">
        <f t="shared" si="11"/>
        <v>4554.8753839589972</v>
      </c>
      <c r="BF38">
        <f t="shared" si="12"/>
        <v>1801.6888115209797</v>
      </c>
      <c r="BH38">
        <f t="shared" si="0"/>
        <v>24.342955029085147</v>
      </c>
      <c r="BJ38">
        <f t="shared" si="1"/>
        <v>-247.36824862864501</v>
      </c>
      <c r="BN38" s="20">
        <f t="shared" si="2"/>
        <v>946.40443165068643</v>
      </c>
      <c r="BP38">
        <f t="shared" si="3"/>
        <v>600.75200699272546</v>
      </c>
      <c r="BR38">
        <f t="shared" si="4"/>
        <v>-190.59652225736752</v>
      </c>
      <c r="BT38">
        <f t="shared" si="5"/>
        <v>89.583258649088577</v>
      </c>
      <c r="BV38">
        <f t="shared" si="6"/>
        <v>-731.46495436423379</v>
      </c>
      <c r="BX38">
        <f t="shared" si="7"/>
        <v>-937.70351427045898</v>
      </c>
      <c r="CB38">
        <f t="shared" si="13"/>
        <v>17476.07118229409</v>
      </c>
      <c r="CD38">
        <f t="shared" si="8"/>
        <v>27895.002984232542</v>
      </c>
      <c r="CF38">
        <f t="shared" si="14"/>
        <v>16657.678235177609</v>
      </c>
    </row>
    <row r="39" spans="1:84" x14ac:dyDescent="0.25">
      <c r="A39" s="8"/>
      <c r="B39" s="8"/>
      <c r="C39" s="8"/>
      <c r="D39" s="9"/>
      <c r="E39" s="9"/>
      <c r="F39" s="8"/>
      <c r="G39" s="8"/>
      <c r="H39" s="9"/>
      <c r="L39">
        <v>28</v>
      </c>
      <c r="M39">
        <f t="shared" si="21"/>
        <v>0.17592918860102838</v>
      </c>
      <c r="P39">
        <f t="shared" si="17"/>
        <v>24922.821672646027</v>
      </c>
      <c r="Q39">
        <f t="shared" si="16"/>
        <v>8375.1152948763793</v>
      </c>
      <c r="V39">
        <f t="shared" si="18"/>
        <v>-16554.02482914778</v>
      </c>
      <c r="W39">
        <f t="shared" si="19"/>
        <v>10612.580706413466</v>
      </c>
      <c r="AB39">
        <f t="shared" si="22"/>
        <v>-77.178327353973145</v>
      </c>
      <c r="AC39">
        <f t="shared" si="20"/>
        <v>-14124.884705123621</v>
      </c>
      <c r="AW39">
        <v>32</v>
      </c>
      <c r="AX39">
        <f t="shared" si="9"/>
        <v>16</v>
      </c>
      <c r="AZ39">
        <f t="shared" si="15"/>
        <v>7525.9718963109817</v>
      </c>
      <c r="BB39">
        <f t="shared" si="10"/>
        <v>-995.84077041903572</v>
      </c>
      <c r="BD39">
        <f t="shared" si="11"/>
        <v>4567.04686147354</v>
      </c>
      <c r="BF39">
        <f t="shared" si="12"/>
        <v>1678.0046872066573</v>
      </c>
      <c r="BH39">
        <f t="shared" si="0"/>
        <v>245.41226128463825</v>
      </c>
      <c r="BJ39">
        <f t="shared" si="1"/>
        <v>59.027905486397231</v>
      </c>
      <c r="BN39" s="20">
        <f t="shared" si="2"/>
        <v>1100.6020001216418</v>
      </c>
      <c r="BP39">
        <f t="shared" si="3"/>
        <v>749.60063156125875</v>
      </c>
      <c r="BR39">
        <f t="shared" si="4"/>
        <v>-174.98586661727859</v>
      </c>
      <c r="BT39">
        <f t="shared" si="5"/>
        <v>69.901863361825505</v>
      </c>
      <c r="BV39">
        <f t="shared" si="6"/>
        <v>-680.20387221972499</v>
      </c>
      <c r="BX39">
        <f t="shared" si="7"/>
        <v>-760.47458943668698</v>
      </c>
      <c r="CB39">
        <f t="shared" si="13"/>
        <v>15092.404961699702</v>
      </c>
      <c r="CD39">
        <f t="shared" si="8"/>
        <v>29640.979118188916</v>
      </c>
      <c r="CF39">
        <f t="shared" si="14"/>
        <v>18788.731933651889</v>
      </c>
    </row>
    <row r="40" spans="1:84" x14ac:dyDescent="0.25">
      <c r="A40" s="8"/>
      <c r="B40" s="8"/>
      <c r="C40" s="8"/>
      <c r="D40" s="8"/>
      <c r="E40" s="8"/>
      <c r="F40" s="8"/>
      <c r="G40" s="8"/>
      <c r="H40" s="8"/>
      <c r="L40">
        <v>29</v>
      </c>
      <c r="M40">
        <f t="shared" si="21"/>
        <v>0.18221237390820796</v>
      </c>
      <c r="P40">
        <f t="shared" si="17"/>
        <v>24917.226024976648</v>
      </c>
      <c r="Q40">
        <f t="shared" si="16"/>
        <v>8406.0288181356864</v>
      </c>
      <c r="V40">
        <f t="shared" si="18"/>
        <v>-16557.941782516347</v>
      </c>
      <c r="W40">
        <f t="shared" si="19"/>
        <v>10634.220172694981</v>
      </c>
      <c r="AB40">
        <f t="shared" si="22"/>
        <v>-82.77397502335134</v>
      </c>
      <c r="AC40">
        <f t="shared" si="20"/>
        <v>-14093.971181864314</v>
      </c>
      <c r="AW40">
        <v>33</v>
      </c>
      <c r="AX40">
        <f t="shared" si="9"/>
        <v>16.5</v>
      </c>
      <c r="AZ40">
        <f t="shared" si="15"/>
        <v>9840.1718597083327</v>
      </c>
      <c r="BB40">
        <f t="shared" si="10"/>
        <v>-149.45993862990741</v>
      </c>
      <c r="BD40">
        <f t="shared" si="11"/>
        <v>4689.7529921158593</v>
      </c>
      <c r="BF40">
        <f t="shared" si="12"/>
        <v>1707.5186399498559</v>
      </c>
      <c r="BH40">
        <f t="shared" si="0"/>
        <v>479.15964287297891</v>
      </c>
      <c r="BJ40">
        <f t="shared" si="1"/>
        <v>381.69743479746739</v>
      </c>
      <c r="BN40" s="20">
        <f t="shared" si="2"/>
        <v>1256.2871954979166</v>
      </c>
      <c r="BP40">
        <f t="shared" si="3"/>
        <v>945.87412706955024</v>
      </c>
      <c r="BR40">
        <f t="shared" si="4"/>
        <v>-159.22558040428984</v>
      </c>
      <c r="BT40">
        <f t="shared" si="5"/>
        <v>54.156981974373615</v>
      </c>
      <c r="BV40">
        <f t="shared" si="6"/>
        <v>-617.90197222064796</v>
      </c>
      <c r="BX40">
        <f t="shared" si="7"/>
        <v>-618.33367424645644</v>
      </c>
      <c r="CB40">
        <f t="shared" si="13"/>
        <v>12717.560504788893</v>
      </c>
      <c r="CD40">
        <f t="shared" si="8"/>
        <v>31519.000518144327</v>
      </c>
      <c r="CF40">
        <f t="shared" si="14"/>
        <v>20994.505017743028</v>
      </c>
    </row>
    <row r="41" spans="1:84" x14ac:dyDescent="0.25">
      <c r="A41" s="8"/>
      <c r="B41" s="8"/>
      <c r="C41" s="8"/>
      <c r="D41" s="8"/>
      <c r="E41" s="8"/>
      <c r="F41" s="8"/>
      <c r="G41" s="8"/>
      <c r="H41" s="8"/>
      <c r="L41">
        <v>30</v>
      </c>
      <c r="M41">
        <f t="shared" si="21"/>
        <v>0.18849555921538755</v>
      </c>
      <c r="P41">
        <f t="shared" si="17"/>
        <v>24911.436253643442</v>
      </c>
      <c r="Q41">
        <f t="shared" si="16"/>
        <v>8436.9065729286231</v>
      </c>
      <c r="V41">
        <f t="shared" si="18"/>
        <v>-16561.994622449591</v>
      </c>
      <c r="W41">
        <f t="shared" si="19"/>
        <v>10655.834601050035</v>
      </c>
      <c r="AB41">
        <f t="shared" si="22"/>
        <v>-88.563746356556294</v>
      </c>
      <c r="AC41">
        <f t="shared" si="20"/>
        <v>-14063.093427071377</v>
      </c>
      <c r="AW41">
        <v>34</v>
      </c>
      <c r="AX41">
        <f t="shared" si="9"/>
        <v>17</v>
      </c>
      <c r="AZ41">
        <f t="shared" si="15"/>
        <v>12244.943311125386</v>
      </c>
      <c r="BB41">
        <f t="shared" si="10"/>
        <v>752.01156069470392</v>
      </c>
      <c r="BD41">
        <f t="shared" si="11"/>
        <v>4929.3328135523489</v>
      </c>
      <c r="BF41">
        <f t="shared" si="12"/>
        <v>1898.3673573485896</v>
      </c>
      <c r="BH41">
        <f t="shared" si="0"/>
        <v>682.12685643872692</v>
      </c>
      <c r="BJ41">
        <f t="shared" si="1"/>
        <v>736.21606923396212</v>
      </c>
      <c r="BN41" s="20">
        <f t="shared" si="2"/>
        <v>1376.5987598174665</v>
      </c>
      <c r="BP41">
        <f t="shared" si="3"/>
        <v>1197.8342505396049</v>
      </c>
      <c r="BR41">
        <f t="shared" si="4"/>
        <v>-143.91532361151002</v>
      </c>
      <c r="BT41">
        <f t="shared" si="5"/>
        <v>41.275533845919924</v>
      </c>
      <c r="BV41">
        <f t="shared" si="6"/>
        <v>-550.55657976722955</v>
      </c>
      <c r="BX41">
        <f t="shared" si="7"/>
        <v>-502.89371515156262</v>
      </c>
      <c r="CB41">
        <f t="shared" si="13"/>
        <v>10279.89553568794</v>
      </c>
      <c r="CD41">
        <f t="shared" si="8"/>
        <v>33544.92002242984</v>
      </c>
      <c r="CF41">
        <f t="shared" si="14"/>
        <v>23356.239808928745</v>
      </c>
    </row>
    <row r="42" spans="1:84" x14ac:dyDescent="0.25">
      <c r="A42" s="39" t="s">
        <v>42</v>
      </c>
      <c r="B42" s="39"/>
      <c r="C42" s="39"/>
      <c r="D42" s="39"/>
      <c r="E42" s="39"/>
      <c r="F42" s="39"/>
      <c r="G42" s="39"/>
      <c r="H42" s="40"/>
      <c r="L42">
        <v>31</v>
      </c>
      <c r="M42">
        <f t="shared" si="21"/>
        <v>0.19477874452256713</v>
      </c>
      <c r="P42">
        <f t="shared" si="17"/>
        <v>24905.452587216671</v>
      </c>
      <c r="Q42">
        <f t="shared" si="16"/>
        <v>8467.7473402543001</v>
      </c>
      <c r="V42">
        <f t="shared" si="18"/>
        <v>-16566.183188948329</v>
      </c>
      <c r="W42">
        <f t="shared" si="19"/>
        <v>10677.42313817801</v>
      </c>
      <c r="AB42">
        <f t="shared" si="22"/>
        <v>-94.547412783329492</v>
      </c>
      <c r="AC42">
        <f t="shared" si="20"/>
        <v>-14032.2526597457</v>
      </c>
      <c r="AW42">
        <v>35</v>
      </c>
      <c r="AX42">
        <f t="shared" si="9"/>
        <v>17.5</v>
      </c>
      <c r="AZ42">
        <f t="shared" si="15"/>
        <v>14794.875574956401</v>
      </c>
      <c r="BB42">
        <f t="shared" si="10"/>
        <v>1793.222248023244</v>
      </c>
      <c r="BD42">
        <f t="shared" si="11"/>
        <v>5270.3962417717121</v>
      </c>
      <c r="BF42">
        <f t="shared" si="12"/>
        <v>2266.4753919655705</v>
      </c>
      <c r="BH42">
        <f t="shared" si="0"/>
        <v>740.19706682645642</v>
      </c>
      <c r="BJ42">
        <f t="shared" si="1"/>
        <v>1103.1591436843355</v>
      </c>
      <c r="BN42" s="20">
        <f t="shared" si="2"/>
        <v>1350.930383187035</v>
      </c>
      <c r="BP42">
        <f t="shared" si="3"/>
        <v>1481.1287542231285</v>
      </c>
      <c r="BR42">
        <f t="shared" si="4"/>
        <v>-129.26610902667738</v>
      </c>
      <c r="BT42">
        <f t="shared" si="5"/>
        <v>30.488921432105652</v>
      </c>
      <c r="BV42">
        <f t="shared" si="6"/>
        <v>-481.46720733390106</v>
      </c>
      <c r="BX42">
        <f t="shared" si="7"/>
        <v>-408.45853197089855</v>
      </c>
      <c r="CB42">
        <f t="shared" si="13"/>
        <v>7724.0295565619335</v>
      </c>
      <c r="CD42">
        <f t="shared" si="8"/>
        <v>35749.609331390435</v>
      </c>
      <c r="CF42">
        <f t="shared" si="14"/>
        <v>25958.609602586737</v>
      </c>
    </row>
    <row r="43" spans="1:84" x14ac:dyDescent="0.25">
      <c r="A43" s="47" t="s">
        <v>24</v>
      </c>
      <c r="B43" s="42"/>
      <c r="C43" s="48"/>
      <c r="D43" s="42" t="s">
        <v>31</v>
      </c>
      <c r="E43" s="42"/>
      <c r="F43" s="22">
        <f>-20000</f>
        <v>-20000</v>
      </c>
      <c r="G43" s="22">
        <f>10000</f>
        <v>10000</v>
      </c>
      <c r="H43" s="23" t="s">
        <v>21</v>
      </c>
      <c r="I43" s="6"/>
      <c r="L43">
        <v>32</v>
      </c>
      <c r="M43">
        <f t="shared" si="21"/>
        <v>0.20106192982974672</v>
      </c>
      <c r="P43">
        <f t="shared" ref="P43:P74" si="23">COS(M43)*$F$33+$F$32</f>
        <v>24899.275261921233</v>
      </c>
      <c r="Q43">
        <f t="shared" ref="Q43:Q74" si="24">SIN(M43)*$F$33+$G$32</f>
        <v>8498.5499025720346</v>
      </c>
      <c r="V43">
        <f t="shared" si="18"/>
        <v>-16570.507316655137</v>
      </c>
      <c r="W43">
        <f t="shared" si="19"/>
        <v>10698.984931800424</v>
      </c>
      <c r="AB43">
        <f t="shared" si="22"/>
        <v>-100.72473807876577</v>
      </c>
      <c r="AC43">
        <f t="shared" si="20"/>
        <v>-14001.450097427965</v>
      </c>
      <c r="AW43">
        <v>36</v>
      </c>
      <c r="AX43">
        <f t="shared" si="9"/>
        <v>18</v>
      </c>
      <c r="AZ43">
        <f t="shared" si="15"/>
        <v>17522.598329195564</v>
      </c>
      <c r="BB43">
        <f t="shared" si="10"/>
        <v>3064.3548369665714</v>
      </c>
      <c r="BD43">
        <f t="shared" si="11"/>
        <v>5640.4947751849404</v>
      </c>
      <c r="BF43">
        <f t="shared" si="12"/>
        <v>2818.0549638077382</v>
      </c>
      <c r="BH43">
        <f t="shared" si="0"/>
        <v>390.37174960738781</v>
      </c>
      <c r="BJ43">
        <f t="shared" si="1"/>
        <v>1335.5262674229382</v>
      </c>
      <c r="BN43" s="20">
        <f t="shared" si="2"/>
        <v>919.19897357016714</v>
      </c>
      <c r="BP43">
        <f t="shared" si="3"/>
        <v>1645.772879315886</v>
      </c>
      <c r="BR43">
        <f t="shared" si="4"/>
        <v>-115.41436812639621</v>
      </c>
      <c r="BT43">
        <f t="shared" si="5"/>
        <v>21.333093647130717</v>
      </c>
      <c r="BV43">
        <f t="shared" si="6"/>
        <v>-413.41285583638313</v>
      </c>
      <c r="BX43">
        <f t="shared" si="7"/>
        <v>-331.57970554007858</v>
      </c>
      <c r="CB43">
        <f t="shared" si="13"/>
        <v>5080.5971155806546</v>
      </c>
      <c r="CD43">
        <f t="shared" si="8"/>
        <v>38158.204349807376</v>
      </c>
      <c r="CF43">
        <f t="shared" si="14"/>
        <v>28871.930160176689</v>
      </c>
    </row>
    <row r="44" spans="1:84" x14ac:dyDescent="0.25">
      <c r="A44" s="41" t="s">
        <v>25</v>
      </c>
      <c r="B44" s="39"/>
      <c r="C44" s="40"/>
      <c r="D44" s="41" t="s">
        <v>32</v>
      </c>
      <c r="E44" s="39"/>
      <c r="F44" s="41">
        <v>3500</v>
      </c>
      <c r="G44" s="40"/>
      <c r="H44" s="23" t="s">
        <v>21</v>
      </c>
      <c r="L44">
        <v>33</v>
      </c>
      <c r="M44">
        <f t="shared" si="21"/>
        <v>0.2073451151369263</v>
      </c>
      <c r="P44">
        <f t="shared" si="23"/>
        <v>24892.904521627359</v>
      </c>
      <c r="Q44">
        <f t="shared" si="24"/>
        <v>8529.3130438494063</v>
      </c>
      <c r="V44">
        <f t="shared" si="18"/>
        <v>-16574.966834860847</v>
      </c>
      <c r="W44">
        <f t="shared" si="19"/>
        <v>10720.519130694585</v>
      </c>
      <c r="AB44">
        <f t="shared" si="22"/>
        <v>-107.09547837263926</v>
      </c>
      <c r="AC44">
        <f t="shared" si="20"/>
        <v>-13970.686956150594</v>
      </c>
      <c r="AW44">
        <v>37</v>
      </c>
      <c r="AX44">
        <f t="shared" si="9"/>
        <v>18.5</v>
      </c>
      <c r="AZ44">
        <f t="shared" si="15"/>
        <v>20391.642185488956</v>
      </c>
      <c r="BB44">
        <f t="shared" si="10"/>
        <v>4640.3231022983082</v>
      </c>
      <c r="BD44">
        <f t="shared" si="11"/>
        <v>5835.6806499886343</v>
      </c>
      <c r="BF44">
        <f t="shared" si="12"/>
        <v>3485.8180975192072</v>
      </c>
      <c r="BH44">
        <f t="shared" si="0"/>
        <v>-634.30741702950922</v>
      </c>
      <c r="BJ44">
        <f t="shared" si="1"/>
        <v>1071.0297485877834</v>
      </c>
      <c r="BN44" s="20">
        <f t="shared" si="2"/>
        <v>-181.86877616465694</v>
      </c>
      <c r="BP44">
        <f t="shared" si="3"/>
        <v>1327.9619940891575</v>
      </c>
      <c r="BR44">
        <f t="shared" si="4"/>
        <v>-102.65752136464454</v>
      </c>
      <c r="BT44">
        <f t="shared" si="5"/>
        <v>13.621905816720451</v>
      </c>
      <c r="BV44">
        <f t="shared" si="6"/>
        <v>-349.78111950020781</v>
      </c>
      <c r="BX44">
        <f t="shared" si="7"/>
        <v>-270.55415131809474</v>
      </c>
      <c r="CB44">
        <f t="shared" si="13"/>
        <v>2886.370655460476</v>
      </c>
      <c r="CD44">
        <f t="shared" si="8"/>
        <v>40745.685598457268</v>
      </c>
      <c r="CF44">
        <f t="shared" si="14"/>
        <v>32101.055815012922</v>
      </c>
    </row>
    <row r="45" spans="1:84" x14ac:dyDescent="0.25">
      <c r="A45" s="47" t="s">
        <v>27</v>
      </c>
      <c r="B45" s="42"/>
      <c r="C45" s="48"/>
      <c r="D45" s="49" t="s">
        <v>37</v>
      </c>
      <c r="E45" s="48"/>
      <c r="F45" s="41">
        <v>1</v>
      </c>
      <c r="G45" s="39"/>
      <c r="H45" s="24" t="s">
        <v>39</v>
      </c>
      <c r="L45">
        <v>34</v>
      </c>
      <c r="M45">
        <f t="shared" si="21"/>
        <v>0.21362830044410588</v>
      </c>
      <c r="P45">
        <f t="shared" si="23"/>
        <v>24886.340617840968</v>
      </c>
      <c r="Q45">
        <f t="shared" si="24"/>
        <v>8560.0355496102729</v>
      </c>
      <c r="V45">
        <f t="shared" si="18"/>
        <v>-16579.561567511322</v>
      </c>
      <c r="W45">
        <f t="shared" si="19"/>
        <v>10742.024884727191</v>
      </c>
      <c r="AB45">
        <f t="shared" si="22"/>
        <v>-113.65938215903225</v>
      </c>
      <c r="AC45">
        <f t="shared" si="20"/>
        <v>-13939.964450389727</v>
      </c>
      <c r="AW45">
        <v>38</v>
      </c>
      <c r="AX45">
        <f t="shared" si="9"/>
        <v>19</v>
      </c>
      <c r="AZ45">
        <f t="shared" si="15"/>
        <v>23230.194083354585</v>
      </c>
      <c r="BB45">
        <f t="shared" si="10"/>
        <v>6517.110869631384</v>
      </c>
      <c r="BD45">
        <f t="shared" si="11"/>
        <v>5518.5269414738796</v>
      </c>
      <c r="BF45">
        <f t="shared" si="12"/>
        <v>4021.332971813099</v>
      </c>
      <c r="BH45">
        <f t="shared" si="0"/>
        <v>-1824.769673795543</v>
      </c>
      <c r="BJ45">
        <f t="shared" si="1"/>
        <v>220.4241776798219</v>
      </c>
      <c r="BN45" s="20">
        <f t="shared" si="2"/>
        <v>-1438.4611549708354</v>
      </c>
      <c r="BP45">
        <f t="shared" si="3"/>
        <v>437.69748726987507</v>
      </c>
      <c r="BR45">
        <f t="shared" si="4"/>
        <v>-91.569458996502973</v>
      </c>
      <c r="BT45">
        <f t="shared" si="5"/>
        <v>7.377396289216632</v>
      </c>
      <c r="BV45">
        <f t="shared" si="6"/>
        <v>-294.73905982820452</v>
      </c>
      <c r="BX45">
        <f t="shared" si="7"/>
        <v>-224.65070587926979</v>
      </c>
      <c r="CB45">
        <f t="shared" si="13"/>
        <v>3376.4219017675714</v>
      </c>
      <c r="CD45">
        <f t="shared" si="8"/>
        <v>43370.268585506194</v>
      </c>
      <c r="CF45">
        <f t="shared" si="14"/>
        <v>35495.491518781331</v>
      </c>
    </row>
    <row r="46" spans="1:84" x14ac:dyDescent="0.25">
      <c r="A46" s="47" t="s">
        <v>26</v>
      </c>
      <c r="B46" s="42"/>
      <c r="C46" s="42"/>
      <c r="D46" s="41" t="s">
        <v>33</v>
      </c>
      <c r="E46" s="40"/>
      <c r="F46" s="41">
        <f>4/3*PI()*F44^3</f>
        <v>179594380030.21649</v>
      </c>
      <c r="G46" s="39"/>
      <c r="H46" s="23" t="s">
        <v>21</v>
      </c>
      <c r="L46">
        <v>35</v>
      </c>
      <c r="M46">
        <f t="shared" si="21"/>
        <v>0.21991148575128547</v>
      </c>
      <c r="P46">
        <f t="shared" si="23"/>
        <v>24879.583809693737</v>
      </c>
      <c r="Q46">
        <f t="shared" si="24"/>
        <v>8590.7162069827118</v>
      </c>
      <c r="V46">
        <f t="shared" si="18"/>
        <v>-16584.291333214383</v>
      </c>
      <c r="W46">
        <f t="shared" si="19"/>
        <v>10763.501344887898</v>
      </c>
      <c r="AB46">
        <f t="shared" si="22"/>
        <v>-120.41619030626316</v>
      </c>
      <c r="AC46">
        <f t="shared" si="20"/>
        <v>-13909.283793017288</v>
      </c>
      <c r="AW46">
        <v>39</v>
      </c>
      <c r="AX46">
        <f t="shared" si="9"/>
        <v>19.5</v>
      </c>
      <c r="AZ46">
        <f t="shared" si="15"/>
        <v>25761.36134486708</v>
      </c>
      <c r="BB46">
        <f t="shared" si="10"/>
        <v>8555.3303777479105</v>
      </c>
      <c r="BD46">
        <f t="shared" si="11"/>
        <v>4606.1421045761081</v>
      </c>
      <c r="BF46">
        <f t="shared" si="12"/>
        <v>4131.5450606530103</v>
      </c>
      <c r="BH46">
        <f t="shared" si="0"/>
        <v>-2272.2176742244569</v>
      </c>
      <c r="BJ46">
        <f t="shared" si="1"/>
        <v>-544.90775074931901</v>
      </c>
      <c r="BN46" s="20">
        <f t="shared" si="2"/>
        <v>-1938.0979909964697</v>
      </c>
      <c r="BP46">
        <f t="shared" si="3"/>
        <v>-355.0087492382338</v>
      </c>
      <c r="BR46">
        <f t="shared" si="4"/>
        <v>-82.716710765593078</v>
      </c>
      <c r="BT46">
        <f t="shared" si="5"/>
        <v>2.611336633871109</v>
      </c>
      <c r="BV46">
        <f t="shared" si="6"/>
        <v>-251.40297246239408</v>
      </c>
      <c r="BX46">
        <f t="shared" si="7"/>
        <v>-192.51033814495636</v>
      </c>
      <c r="CB46">
        <f t="shared" si="13"/>
        <v>5857.2183459664675</v>
      </c>
      <c r="CD46">
        <f t="shared" si="8"/>
        <v>45784.159514541192</v>
      </c>
      <c r="CF46">
        <f t="shared" si="14"/>
        <v>38744.224614700142</v>
      </c>
    </row>
    <row r="47" spans="1:84" x14ac:dyDescent="0.25">
      <c r="A47" s="38" t="s">
        <v>28</v>
      </c>
      <c r="B47" s="39"/>
      <c r="C47" s="40"/>
      <c r="D47" s="41" t="s">
        <v>34</v>
      </c>
      <c r="E47" s="40"/>
      <c r="F47" s="42">
        <f>F46*F45</f>
        <v>179594380030.21649</v>
      </c>
      <c r="G47" s="42"/>
      <c r="H47" s="23" t="s">
        <v>39</v>
      </c>
      <c r="L47">
        <v>36</v>
      </c>
      <c r="M47">
        <f t="shared" si="21"/>
        <v>0.22619467105846505</v>
      </c>
      <c r="P47">
        <f t="shared" si="23"/>
        <v>24872.634363932884</v>
      </c>
      <c r="Q47">
        <f t="shared" si="24"/>
        <v>8621.3538047469046</v>
      </c>
      <c r="V47">
        <f t="shared" si="18"/>
        <v>-16589.155945246981</v>
      </c>
      <c r="W47">
        <f t="shared" si="19"/>
        <v>10784.947663322833</v>
      </c>
      <c r="AB47">
        <f t="shared" si="22"/>
        <v>-127.36563606711479</v>
      </c>
      <c r="AC47">
        <f t="shared" si="20"/>
        <v>-13878.646195253095</v>
      </c>
      <c r="AW47">
        <v>40</v>
      </c>
      <c r="AX47">
        <f t="shared" si="9"/>
        <v>20</v>
      </c>
      <c r="AZ47">
        <f t="shared" si="15"/>
        <v>27780.405187877077</v>
      </c>
      <c r="BB47">
        <f t="shared" si="10"/>
        <v>10552.989439230751</v>
      </c>
      <c r="BD47">
        <f t="shared" si="11"/>
        <v>3470.0332674638794</v>
      </c>
      <c r="BF47">
        <f t="shared" si="12"/>
        <v>3859.0911852783506</v>
      </c>
      <c r="BH47">
        <f t="shared" si="0"/>
        <v>-2136.152517375268</v>
      </c>
      <c r="BJ47">
        <f t="shared" si="1"/>
        <v>-894.25186347611248</v>
      </c>
      <c r="BN47" s="20">
        <f t="shared" si="2"/>
        <v>-1840.2702697486072</v>
      </c>
      <c r="BP47">
        <f t="shared" si="3"/>
        <v>-722.11222464698028</v>
      </c>
      <c r="BR47">
        <f t="shared" si="4"/>
        <v>-76.185709586549123</v>
      </c>
      <c r="BT47">
        <f t="shared" si="5"/>
        <v>-0.88173996549430456</v>
      </c>
      <c r="BV47">
        <f t="shared" si="6"/>
        <v>-219.69653804011145</v>
      </c>
      <c r="BX47">
        <f t="shared" si="7"/>
        <v>-171.25789886363796</v>
      </c>
      <c r="CB47">
        <f t="shared" si="13"/>
        <v>8357.9572506443837</v>
      </c>
      <c r="CD47">
        <f t="shared" si="8"/>
        <v>47783.605109259086</v>
      </c>
      <c r="CF47">
        <f t="shared" si="14"/>
        <v>41563.327989500991</v>
      </c>
    </row>
    <row r="48" spans="1:84" x14ac:dyDescent="0.25">
      <c r="A48" s="43" t="s">
        <v>29</v>
      </c>
      <c r="B48" s="44"/>
      <c r="C48" s="44"/>
      <c r="D48" s="45" t="s">
        <v>35</v>
      </c>
      <c r="E48" s="46"/>
      <c r="F48" s="41">
        <f>F44*F19</f>
        <v>7000</v>
      </c>
      <c r="G48" s="40"/>
      <c r="H48" s="24" t="s">
        <v>21</v>
      </c>
      <c r="L48">
        <v>37</v>
      </c>
      <c r="M48">
        <f t="shared" si="21"/>
        <v>0.23247785636564464</v>
      </c>
      <c r="P48">
        <f t="shared" si="23"/>
        <v>24865.492554910634</v>
      </c>
      <c r="Q48">
        <f t="shared" si="24"/>
        <v>8651.9471333829533</v>
      </c>
      <c r="V48">
        <f t="shared" si="18"/>
        <v>-16594.155211562556</v>
      </c>
      <c r="W48">
        <f t="shared" si="19"/>
        <v>10806.362993368068</v>
      </c>
      <c r="AB48">
        <f t="shared" si="22"/>
        <v>-134.50744508936714</v>
      </c>
      <c r="AC48">
        <f t="shared" si="20"/>
        <v>-13848.052866617047</v>
      </c>
      <c r="AW48">
        <v>41</v>
      </c>
      <c r="AX48">
        <f t="shared" si="9"/>
        <v>20.5</v>
      </c>
      <c r="AZ48">
        <f t="shared" si="15"/>
        <v>29248.402756937106</v>
      </c>
      <c r="BB48">
        <f t="shared" si="10"/>
        <v>12370.753548935412</v>
      </c>
      <c r="BD48">
        <f t="shared" si="11"/>
        <v>2401.9570087762454</v>
      </c>
      <c r="BF48">
        <f t="shared" si="12"/>
        <v>3411.9652535402943</v>
      </c>
      <c r="BH48">
        <f t="shared" si="0"/>
        <v>-1868.5484558918351</v>
      </c>
      <c r="BJ48">
        <f t="shared" si="1"/>
        <v>-1003.5635532241394</v>
      </c>
      <c r="BN48" s="20">
        <f t="shared" si="2"/>
        <v>-1599.7228995425221</v>
      </c>
      <c r="BP48">
        <f t="shared" si="3"/>
        <v>-842.50828981419716</v>
      </c>
      <c r="BR48">
        <f t="shared" si="4"/>
        <v>-71.614445604985363</v>
      </c>
      <c r="BT48">
        <f t="shared" si="5"/>
        <v>-3.4474255319711036</v>
      </c>
      <c r="BV48">
        <f t="shared" si="6"/>
        <v>-197.21111074432764</v>
      </c>
      <c r="BX48">
        <f t="shared" si="7"/>
        <v>-157.60783787797104</v>
      </c>
      <c r="CB48">
        <f t="shared" si="13"/>
        <v>10452.616595330988</v>
      </c>
      <c r="CD48">
        <f t="shared" si="8"/>
        <v>49305.43222099651</v>
      </c>
      <c r="CF48">
        <f t="shared" si="14"/>
        <v>43841.889115752507</v>
      </c>
    </row>
    <row r="49" spans="1:84" x14ac:dyDescent="0.25">
      <c r="A49" s="38" t="s">
        <v>30</v>
      </c>
      <c r="B49" s="39"/>
      <c r="C49" s="40"/>
      <c r="D49" s="41" t="s">
        <v>36</v>
      </c>
      <c r="E49" s="39"/>
      <c r="F49" s="41" t="s">
        <v>38</v>
      </c>
      <c r="G49" s="40"/>
      <c r="H49" s="25" t="s">
        <v>40</v>
      </c>
      <c r="L49">
        <v>38</v>
      </c>
      <c r="M49">
        <f t="shared" si="21"/>
        <v>0.23876104167282422</v>
      </c>
      <c r="P49">
        <f t="shared" si="23"/>
        <v>24858.15866457337</v>
      </c>
      <c r="Q49">
        <f t="shared" si="24"/>
        <v>8682.4949851186229</v>
      </c>
      <c r="V49">
        <f t="shared" si="18"/>
        <v>-16599.288934798642</v>
      </c>
      <c r="W49">
        <f t="shared" si="19"/>
        <v>10827.746489583036</v>
      </c>
      <c r="AB49">
        <f t="shared" si="22"/>
        <v>-141.84133542663039</v>
      </c>
      <c r="AC49">
        <f t="shared" si="20"/>
        <v>-13817.505014881377</v>
      </c>
      <c r="AW49">
        <v>42</v>
      </c>
      <c r="AX49">
        <f t="shared" si="9"/>
        <v>21</v>
      </c>
      <c r="AZ49">
        <f t="shared" si="15"/>
        <v>30215.81270433875</v>
      </c>
      <c r="BB49">
        <f t="shared" si="10"/>
        <v>13951.290731552541</v>
      </c>
      <c r="BD49">
        <f t="shared" si="11"/>
        <v>1467.6827808303278</v>
      </c>
      <c r="BF49">
        <f t="shared" si="12"/>
        <v>2910.1834769282245</v>
      </c>
      <c r="BH49">
        <f t="shared" si="0"/>
        <v>-1636.42268118637</v>
      </c>
      <c r="BJ49">
        <f t="shared" si="1"/>
        <v>-1030.0653862048114</v>
      </c>
      <c r="BN49" s="20">
        <f t="shared" si="2"/>
        <v>-1386.4895523431758</v>
      </c>
      <c r="BP49">
        <f t="shared" si="3"/>
        <v>-875.5688320937096</v>
      </c>
      <c r="BR49">
        <f t="shared" si="4"/>
        <v>-68.569323456643275</v>
      </c>
      <c r="BT49">
        <f t="shared" si="5"/>
        <v>-5.3954584751677892</v>
      </c>
      <c r="BV49">
        <f t="shared" si="6"/>
        <v>-181.36380538655101</v>
      </c>
      <c r="BX49">
        <f t="shared" si="7"/>
        <v>-149.10109563593403</v>
      </c>
      <c r="CB49">
        <f t="shared" si="13"/>
        <v>12082.300332020584</v>
      </c>
      <c r="CD49">
        <f t="shared" si="8"/>
        <v>50371.028816200313</v>
      </c>
      <c r="CF49">
        <f t="shared" si="14"/>
        <v>45588.712412722809</v>
      </c>
    </row>
    <row r="50" spans="1:84" x14ac:dyDescent="0.25">
      <c r="A50" s="9"/>
      <c r="B50" s="9"/>
      <c r="C50" s="9"/>
      <c r="D50" s="8"/>
      <c r="E50" s="8"/>
      <c r="F50" s="8"/>
      <c r="G50" s="8"/>
      <c r="H50" s="9"/>
      <c r="L50">
        <v>39</v>
      </c>
      <c r="M50">
        <f t="shared" si="21"/>
        <v>0.2450442269800038</v>
      </c>
      <c r="P50">
        <f t="shared" si="23"/>
        <v>24850.63298245053</v>
      </c>
      <c r="Q50">
        <f t="shared" si="24"/>
        <v>8712.9961539770375</v>
      </c>
      <c r="V50">
        <f t="shared" si="18"/>
        <v>-16604.556912284628</v>
      </c>
      <c r="W50">
        <f t="shared" si="19"/>
        <v>10849.097307783926</v>
      </c>
      <c r="AB50">
        <f t="shared" si="22"/>
        <v>-149.3670175494708</v>
      </c>
      <c r="AC50">
        <f t="shared" si="20"/>
        <v>-13787.003846022963</v>
      </c>
      <c r="AW50">
        <v>43</v>
      </c>
      <c r="AX50">
        <f t="shared" si="9"/>
        <v>21.5</v>
      </c>
      <c r="AZ50">
        <f t="shared" si="15"/>
        <v>30745.101259605617</v>
      </c>
      <c r="BB50">
        <f t="shared" si="10"/>
        <v>15277.624296741053</v>
      </c>
      <c r="BD50">
        <f t="shared" si="11"/>
        <v>649.47144023714282</v>
      </c>
      <c r="BF50">
        <f t="shared" si="12"/>
        <v>2395.150783825819</v>
      </c>
      <c r="BH50">
        <f t="shared" si="0"/>
        <v>-1464.372697520776</v>
      </c>
      <c r="BJ50">
        <f t="shared" si="1"/>
        <v>-1039.5754306294641</v>
      </c>
      <c r="BN50" s="20">
        <f t="shared" si="2"/>
        <v>-1227.3452495501792</v>
      </c>
      <c r="BP50">
        <f t="shared" si="3"/>
        <v>-888.38904378473467</v>
      </c>
      <c r="BR50">
        <f t="shared" si="4"/>
        <v>-66.733910848600345</v>
      </c>
      <c r="BT50">
        <f t="shared" si="5"/>
        <v>-6.9405026410200872</v>
      </c>
      <c r="BV50">
        <f t="shared" si="6"/>
        <v>-170.29353712199654</v>
      </c>
      <c r="BX50">
        <f t="shared" si="7"/>
        <v>-144.24588420370932</v>
      </c>
      <c r="CB50">
        <f t="shared" si="13"/>
        <v>13264.563346768524</v>
      </c>
      <c r="CD50">
        <f t="shared" si="8"/>
        <v>51018.806533132265</v>
      </c>
      <c r="CF50">
        <f t="shared" si="14"/>
        <v>46844.922853112519</v>
      </c>
    </row>
    <row r="51" spans="1:84" x14ac:dyDescent="0.25">
      <c r="A51" s="8"/>
      <c r="B51" s="8"/>
      <c r="C51" s="8"/>
      <c r="D51" s="8"/>
      <c r="E51" s="8"/>
      <c r="F51" s="8"/>
      <c r="G51" s="8"/>
      <c r="H51" s="8"/>
      <c r="L51">
        <v>40</v>
      </c>
      <c r="M51">
        <f t="shared" si="21"/>
        <v>0.25132741228718342</v>
      </c>
      <c r="P51">
        <f t="shared" si="23"/>
        <v>24842.915805643155</v>
      </c>
      <c r="Q51">
        <f t="shared" si="24"/>
        <v>8743.4494358242737</v>
      </c>
      <c r="V51">
        <f t="shared" si="18"/>
        <v>-16609.958936049792</v>
      </c>
      <c r="W51">
        <f t="shared" si="19"/>
        <v>10870.414605076992</v>
      </c>
      <c r="AB51">
        <f t="shared" si="22"/>
        <v>-157.08419435684482</v>
      </c>
      <c r="AC51">
        <f t="shared" si="20"/>
        <v>-13756.550564175726</v>
      </c>
      <c r="AW51">
        <v>44</v>
      </c>
      <c r="AX51">
        <f t="shared" si="9"/>
        <v>22</v>
      </c>
      <c r="AZ51">
        <f t="shared" si="15"/>
        <v>30886.790392534094</v>
      </c>
      <c r="BB51">
        <f t="shared" si="10"/>
        <v>16345.25275982528</v>
      </c>
      <c r="BD51">
        <f t="shared" si="11"/>
        <v>-82.714908523245185</v>
      </c>
      <c r="BF51">
        <f t="shared" si="12"/>
        <v>1875.363068511087</v>
      </c>
      <c r="BH51">
        <f t="shared" si="0"/>
        <v>-1343.772939080673</v>
      </c>
      <c r="BJ51">
        <f t="shared" si="1"/>
        <v>-1056.3730161911585</v>
      </c>
      <c r="BN51" s="20">
        <f t="shared" si="2"/>
        <v>-1115.0360284066739</v>
      </c>
      <c r="BP51">
        <f t="shared" si="3"/>
        <v>-905.93968947288738</v>
      </c>
      <c r="BR51">
        <f t="shared" si="4"/>
        <v>-65.918141783745909</v>
      </c>
      <c r="BT51">
        <f t="shared" si="5"/>
        <v>-8.2195647996151529</v>
      </c>
      <c r="BV51">
        <f t="shared" si="6"/>
        <v>-162.81876889025307</v>
      </c>
      <c r="BX51">
        <f t="shared" si="7"/>
        <v>-142.2137619186561</v>
      </c>
      <c r="CB51">
        <f t="shared" si="13"/>
        <v>14027.141598920622</v>
      </c>
      <c r="CD51">
        <f t="shared" si="8"/>
        <v>51280.870400567212</v>
      </c>
      <c r="CF51">
        <f t="shared" si="14"/>
        <v>47648.573905784542</v>
      </c>
    </row>
    <row r="52" spans="1:84" x14ac:dyDescent="0.25">
      <c r="A52" s="8"/>
      <c r="B52" s="8"/>
      <c r="C52" s="8"/>
      <c r="D52" s="8"/>
      <c r="E52" s="8"/>
      <c r="F52" s="8"/>
      <c r="G52" s="8"/>
      <c r="H52" s="8"/>
      <c r="L52">
        <v>41</v>
      </c>
      <c r="M52">
        <f t="shared" si="21"/>
        <v>0.257610597594363</v>
      </c>
      <c r="P52">
        <f t="shared" si="23"/>
        <v>24835.007438812176</v>
      </c>
      <c r="Q52">
        <f t="shared" si="24"/>
        <v>8773.8536284169113</v>
      </c>
      <c r="V52">
        <f t="shared" si="18"/>
        <v>-16615.494792831476</v>
      </c>
      <c r="W52">
        <f t="shared" si="19"/>
        <v>10891.697539891837</v>
      </c>
      <c r="AB52">
        <f t="shared" si="22"/>
        <v>-164.99256118782432</v>
      </c>
      <c r="AC52">
        <f t="shared" si="20"/>
        <v>-13726.146371583089</v>
      </c>
      <c r="AW52">
        <v>45</v>
      </c>
      <c r="AX52">
        <f t="shared" si="9"/>
        <v>22.5</v>
      </c>
      <c r="AZ52">
        <f t="shared" si="15"/>
        <v>30677.461320887389</v>
      </c>
      <c r="BB52">
        <f t="shared" si="10"/>
        <v>17150.88766705693</v>
      </c>
      <c r="BD52">
        <f t="shared" si="11"/>
        <v>-754.60137806358171</v>
      </c>
      <c r="BF52">
        <f t="shared" si="12"/>
        <v>1347.1765604155078</v>
      </c>
      <c r="BH52">
        <f t="shared" si="0"/>
        <v>-1262.8570001649875</v>
      </c>
      <c r="BJ52">
        <f t="shared" si="1"/>
        <v>-1090.6484423916361</v>
      </c>
      <c r="BN52" s="20">
        <f t="shared" si="2"/>
        <v>-1038.5932318641521</v>
      </c>
      <c r="BP52">
        <f t="shared" si="3"/>
        <v>-938.73874240862324</v>
      </c>
      <c r="BR52">
        <f t="shared" si="4"/>
        <v>-66.030680775163987</v>
      </c>
      <c r="BT52">
        <f t="shared" si="5"/>
        <v>-9.3173171760259201</v>
      </c>
      <c r="BV52">
        <f t="shared" si="6"/>
        <v>-158.23308752567141</v>
      </c>
      <c r="BX52">
        <f t="shared" si="7"/>
        <v>-142.59238280698705</v>
      </c>
      <c r="CB52">
        <f t="shared" si="13"/>
        <v>14392.63051082733</v>
      </c>
      <c r="CD52">
        <f t="shared" si="8"/>
        <v>51179.490817679158</v>
      </c>
      <c r="CF52">
        <f t="shared" si="14"/>
        <v>48026.667842805102</v>
      </c>
    </row>
    <row r="53" spans="1:84" x14ac:dyDescent="0.25">
      <c r="A53" s="30" t="s">
        <v>41</v>
      </c>
      <c r="B53" s="30"/>
      <c r="C53" s="30"/>
      <c r="D53" s="30"/>
      <c r="E53" s="30"/>
      <c r="F53" s="30"/>
      <c r="G53" s="30"/>
      <c r="H53" s="32"/>
      <c r="L53">
        <v>42</v>
      </c>
      <c r="M53">
        <f t="shared" si="21"/>
        <v>0.26389378290154258</v>
      </c>
      <c r="P53">
        <f t="shared" si="23"/>
        <v>24826.908194166368</v>
      </c>
      <c r="Q53">
        <f t="shared" si="24"/>
        <v>8804.207531449485</v>
      </c>
      <c r="V53">
        <f t="shared" si="18"/>
        <v>-16621.164264083542</v>
      </c>
      <c r="W53">
        <f t="shared" si="19"/>
        <v>10912.945272014638</v>
      </c>
      <c r="AB53">
        <f t="shared" si="22"/>
        <v>-173.09180583363104</v>
      </c>
      <c r="AC53">
        <f t="shared" si="20"/>
        <v>-13695.792468550515</v>
      </c>
      <c r="AW53">
        <v>46</v>
      </c>
      <c r="AX53">
        <f t="shared" si="9"/>
        <v>23</v>
      </c>
      <c r="AZ53">
        <f t="shared" si="15"/>
        <v>30142.303506834975</v>
      </c>
      <c r="BB53">
        <f t="shared" si="10"/>
        <v>17688.14489196573</v>
      </c>
      <c r="BD53">
        <f t="shared" si="11"/>
        <v>-1386.0298781460756</v>
      </c>
      <c r="BF53">
        <f t="shared" si="12"/>
        <v>801.85233921968972</v>
      </c>
      <c r="BH53">
        <f t="shared" si="0"/>
        <v>-1212.0882718131168</v>
      </c>
      <c r="BJ53">
        <f t="shared" si="1"/>
        <v>-1148.8752004014277</v>
      </c>
      <c r="BN53" s="20">
        <f t="shared" si="2"/>
        <v>-988.87118153957829</v>
      </c>
      <c r="BP53">
        <f t="shared" si="3"/>
        <v>-993.3407011755379</v>
      </c>
      <c r="BR53">
        <f t="shared" si="4"/>
        <v>-67.059299095090751</v>
      </c>
      <c r="BT53">
        <f t="shared" si="5"/>
        <v>-10.281968951156124</v>
      </c>
      <c r="BV53">
        <f t="shared" si="6"/>
        <v>-156.1577911784477</v>
      </c>
      <c r="BX53">
        <f t="shared" si="7"/>
        <v>-145.25253027473369</v>
      </c>
      <c r="CB53">
        <f t="shared" si="13"/>
        <v>14375.834471933947</v>
      </c>
      <c r="CD53">
        <f t="shared" si="8"/>
        <v>50728.277842357449</v>
      </c>
      <c r="CF53">
        <f t="shared" si="14"/>
        <v>47994.752965763357</v>
      </c>
    </row>
    <row r="54" spans="1:84" x14ac:dyDescent="0.25">
      <c r="A54" s="36" t="s">
        <v>24</v>
      </c>
      <c r="B54" s="35"/>
      <c r="C54" s="37"/>
      <c r="D54" s="31" t="s">
        <v>31</v>
      </c>
      <c r="E54" s="30"/>
      <c r="F54" s="15">
        <f>-5000</f>
        <v>-5000</v>
      </c>
      <c r="G54" s="16">
        <f>-15000</f>
        <v>-15000</v>
      </c>
      <c r="H54" s="15" t="s">
        <v>21</v>
      </c>
      <c r="I54" s="6"/>
      <c r="L54">
        <v>43</v>
      </c>
      <c r="M54">
        <f t="shared" si="21"/>
        <v>0.27017696820872217</v>
      </c>
      <c r="P54">
        <f t="shared" si="23"/>
        <v>24818.618391450051</v>
      </c>
      <c r="Q54">
        <f t="shared" si="24"/>
        <v>8834.5099466018783</v>
      </c>
      <c r="V54">
        <f t="shared" si="18"/>
        <v>-16626.967125984967</v>
      </c>
      <c r="W54">
        <f t="shared" si="19"/>
        <v>10934.156962621315</v>
      </c>
      <c r="AB54">
        <f t="shared" si="22"/>
        <v>-181.38160854995112</v>
      </c>
      <c r="AC54">
        <f t="shared" si="20"/>
        <v>-13665.490053398122</v>
      </c>
      <c r="AW54">
        <v>47</v>
      </c>
      <c r="AX54">
        <f t="shared" si="9"/>
        <v>23.5</v>
      </c>
      <c r="AZ54">
        <f t="shared" si="15"/>
        <v>29297.777533785298</v>
      </c>
      <c r="BB54">
        <f t="shared" si="10"/>
        <v>17945.461661525394</v>
      </c>
      <c r="BD54">
        <f t="shared" si="11"/>
        <v>-1992.0740140526341</v>
      </c>
      <c r="BF54">
        <f t="shared" si="12"/>
        <v>227.41473901897587</v>
      </c>
      <c r="BH54">
        <f t="shared" si="0"/>
        <v>-1183.643377664933</v>
      </c>
      <c r="BJ54">
        <f t="shared" si="1"/>
        <v>-1237.8073123258591</v>
      </c>
      <c r="BN54" s="20">
        <f t="shared" si="2"/>
        <v>-958.11438610475068</v>
      </c>
      <c r="BP54">
        <f t="shared" si="3"/>
        <v>-1076.3805706306991</v>
      </c>
      <c r="BR54">
        <f t="shared" si="4"/>
        <v>-69.064353027683154</v>
      </c>
      <c r="BT54">
        <f t="shared" si="5"/>
        <v>-11.13129631013158</v>
      </c>
      <c r="BV54">
        <f t="shared" si="6"/>
        <v>-156.46463853249938</v>
      </c>
      <c r="BX54">
        <f t="shared" si="7"/>
        <v>-150.29544538502853</v>
      </c>
      <c r="CB54">
        <f t="shared" si="13"/>
        <v>13984.145894196023</v>
      </c>
      <c r="CD54">
        <f t="shared" si="8"/>
        <v>49933.968706536398</v>
      </c>
      <c r="CF54">
        <f t="shared" si="14"/>
        <v>47557.764748230831</v>
      </c>
    </row>
    <row r="55" spans="1:84" x14ac:dyDescent="0.25">
      <c r="A55" s="36" t="s">
        <v>25</v>
      </c>
      <c r="B55" s="35"/>
      <c r="C55" s="37"/>
      <c r="D55" s="28" t="s">
        <v>32</v>
      </c>
      <c r="E55" s="28"/>
      <c r="F55" s="31">
        <v>5000</v>
      </c>
      <c r="G55" s="30"/>
      <c r="H55" s="16" t="s">
        <v>21</v>
      </c>
      <c r="I55" s="6"/>
      <c r="L55">
        <v>44</v>
      </c>
      <c r="M55">
        <f t="shared" si="21"/>
        <v>0.27646015351590175</v>
      </c>
      <c r="P55">
        <f t="shared" si="23"/>
        <v>24810.138357930431</v>
      </c>
      <c r="Q55">
        <f t="shared" si="24"/>
        <v>8864.7596775866259</v>
      </c>
      <c r="V55">
        <f t="shared" si="18"/>
        <v>-16632.903149448699</v>
      </c>
      <c r="W55">
        <f t="shared" si="19"/>
        <v>10955.331774310638</v>
      </c>
      <c r="AB55">
        <f t="shared" si="22"/>
        <v>-189.86164206957073</v>
      </c>
      <c r="AC55">
        <f t="shared" si="20"/>
        <v>-13635.240322413374</v>
      </c>
      <c r="AW55">
        <v>48</v>
      </c>
      <c r="AX55">
        <f t="shared" si="9"/>
        <v>24</v>
      </c>
      <c r="AZ55">
        <f t="shared" si="15"/>
        <v>28153.785104550865</v>
      </c>
      <c r="BB55">
        <f t="shared" si="10"/>
        <v>17904.443116994149</v>
      </c>
      <c r="BD55">
        <f t="shared" si="11"/>
        <v>-2583.8957028851005</v>
      </c>
      <c r="BF55">
        <f t="shared" si="12"/>
        <v>-391.4889171439537</v>
      </c>
      <c r="BH55">
        <f t="shared" si="0"/>
        <v>-1168.9647208663869</v>
      </c>
      <c r="BJ55">
        <f t="shared" si="1"/>
        <v>-1366.213344943176</v>
      </c>
      <c r="BN55" s="20">
        <f t="shared" si="2"/>
        <v>-937.52528735268402</v>
      </c>
      <c r="BP55">
        <f t="shared" si="3"/>
        <v>-1196.3067946885628</v>
      </c>
      <c r="BR55">
        <f t="shared" si="4"/>
        <v>-72.184195978183666</v>
      </c>
      <c r="BT55">
        <f t="shared" si="5"/>
        <v>-11.849034708625371</v>
      </c>
      <c r="BV55">
        <f t="shared" si="6"/>
        <v>-159.25523753551923</v>
      </c>
      <c r="BX55">
        <f t="shared" si="7"/>
        <v>-158.05751554598774</v>
      </c>
      <c r="CB55">
        <f t="shared" si="13"/>
        <v>13218.799041742124</v>
      </c>
      <c r="CD55">
        <f t="shared" si="8"/>
        <v>48798.229894997836</v>
      </c>
      <c r="CF55">
        <f t="shared" si="14"/>
        <v>46710.553878093146</v>
      </c>
    </row>
    <row r="56" spans="1:84" x14ac:dyDescent="0.25">
      <c r="A56" s="36" t="s">
        <v>27</v>
      </c>
      <c r="B56" s="35"/>
      <c r="C56" s="35"/>
      <c r="D56" s="31" t="s">
        <v>37</v>
      </c>
      <c r="E56" s="30"/>
      <c r="F56" s="31">
        <v>1</v>
      </c>
      <c r="G56" s="32"/>
      <c r="H56" s="18" t="s">
        <v>39</v>
      </c>
      <c r="I56" s="6"/>
      <c r="L56">
        <v>45</v>
      </c>
      <c r="M56">
        <f t="shared" si="21"/>
        <v>0.28274333882308134</v>
      </c>
      <c r="P56">
        <f t="shared" si="23"/>
        <v>24801.468428384716</v>
      </c>
      <c r="Q56">
        <f t="shared" si="24"/>
        <v>8894.9555301961464</v>
      </c>
      <c r="V56">
        <f t="shared" si="18"/>
        <v>-16638.972100130701</v>
      </c>
      <c r="W56">
        <f t="shared" si="19"/>
        <v>10976.468871137302</v>
      </c>
      <c r="AB56">
        <f t="shared" si="22"/>
        <v>-198.53157161528452</v>
      </c>
      <c r="AC56">
        <f t="shared" si="20"/>
        <v>-13605.044469803854</v>
      </c>
      <c r="AW56">
        <v>49</v>
      </c>
      <c r="AX56">
        <f t="shared" si="9"/>
        <v>24.5</v>
      </c>
      <c r="AZ56">
        <f t="shared" si="15"/>
        <v>26715.716663000017</v>
      </c>
      <c r="BB56">
        <f t="shared" si="10"/>
        <v>17537.921990304272</v>
      </c>
      <c r="BD56">
        <f t="shared" si="11"/>
        <v>-3168.3780633182942</v>
      </c>
      <c r="BF56">
        <f t="shared" si="12"/>
        <v>-1074.5955896155417</v>
      </c>
      <c r="BH56">
        <f t="shared" si="0"/>
        <v>-1153.676942001041</v>
      </c>
      <c r="BJ56">
        <f t="shared" si="1"/>
        <v>-1544.8915632891044</v>
      </c>
      <c r="BN56" s="20">
        <f t="shared" si="2"/>
        <v>-912.13105421294404</v>
      </c>
      <c r="BP56">
        <f t="shared" si="3"/>
        <v>-1363.3541774577254</v>
      </c>
      <c r="BR56">
        <f t="shared" si="4"/>
        <v>-76.651546422650924</v>
      </c>
      <c r="BT56">
        <f t="shared" si="5"/>
        <v>-12.368286706125941</v>
      </c>
      <c r="BV56">
        <f t="shared" si="6"/>
        <v>-164.89434136544617</v>
      </c>
      <c r="BX56">
        <f t="shared" si="7"/>
        <v>-169.16909912525307</v>
      </c>
      <c r="CB56">
        <f t="shared" si="13"/>
        <v>12077.281489686749</v>
      </c>
      <c r="CD56">
        <f t="shared" si="8"/>
        <v>47319.958276287711</v>
      </c>
      <c r="CF56">
        <f t="shared" si="14"/>
        <v>45437.903240519619</v>
      </c>
    </row>
    <row r="57" spans="1:84" x14ac:dyDescent="0.25">
      <c r="A57" s="33" t="s">
        <v>26</v>
      </c>
      <c r="B57" s="30"/>
      <c r="C57" s="30"/>
      <c r="D57" s="31" t="s">
        <v>33</v>
      </c>
      <c r="E57" s="30"/>
      <c r="F57" s="31">
        <f>4/3*PI()*F55^3</f>
        <v>523598775598.29883</v>
      </c>
      <c r="G57" s="32"/>
      <c r="H57" s="16" t="s">
        <v>21</v>
      </c>
      <c r="I57" s="6"/>
      <c r="L57">
        <v>46</v>
      </c>
      <c r="M57">
        <f t="shared" si="21"/>
        <v>0.28902652413026092</v>
      </c>
      <c r="P57">
        <f t="shared" si="23"/>
        <v>24792.608945086879</v>
      </c>
      <c r="Q57">
        <f t="shared" si="24"/>
        <v>8925.0963123498805</v>
      </c>
      <c r="V57">
        <f t="shared" si="18"/>
        <v>-16645.173738439185</v>
      </c>
      <c r="W57">
        <f t="shared" si="19"/>
        <v>10997.567418644916</v>
      </c>
      <c r="AB57">
        <f t="shared" si="22"/>
        <v>-207.39105491312057</v>
      </c>
      <c r="AC57">
        <f t="shared" si="20"/>
        <v>-13574.90368765012</v>
      </c>
      <c r="AW57">
        <v>50</v>
      </c>
      <c r="AX57">
        <f t="shared" si="9"/>
        <v>25</v>
      </c>
      <c r="AZ57">
        <f t="shared" si="15"/>
        <v>24987.318013590739</v>
      </c>
      <c r="BB57">
        <f t="shared" si="10"/>
        <v>16807.512750085363</v>
      </c>
      <c r="BD57">
        <f t="shared" si="11"/>
        <v>-3745.2165343188144</v>
      </c>
      <c r="BF57">
        <f t="shared" si="12"/>
        <v>-1847.0413712600939</v>
      </c>
      <c r="BH57">
        <f t="shared" si="0"/>
        <v>-1105.8976526476977</v>
      </c>
      <c r="BJ57">
        <f t="shared" si="1"/>
        <v>-1781.58548705165</v>
      </c>
      <c r="BN57" s="20">
        <f t="shared" si="2"/>
        <v>-848.96634021373586</v>
      </c>
      <c r="BP57">
        <f t="shared" si="3"/>
        <v>-1584.3716030138592</v>
      </c>
      <c r="BR57">
        <f t="shared" si="4"/>
        <v>-82.817976699817308</v>
      </c>
      <c r="BT57">
        <f t="shared" si="5"/>
        <v>-12.532074753821927</v>
      </c>
      <c r="BV57">
        <f t="shared" si="6"/>
        <v>-174.11333573414441</v>
      </c>
      <c r="BX57">
        <f t="shared" si="7"/>
        <v>-184.68180928396893</v>
      </c>
      <c r="CB57">
        <f t="shared" si="13"/>
        <v>10559.504465726044</v>
      </c>
      <c r="CD57">
        <f t="shared" si="8"/>
        <v>45499.461666029863</v>
      </c>
      <c r="CF57">
        <f t="shared" si="14"/>
        <v>43714.495410505042</v>
      </c>
    </row>
    <row r="58" spans="1:84" x14ac:dyDescent="0.25">
      <c r="A58" s="33" t="s">
        <v>28</v>
      </c>
      <c r="B58" s="30"/>
      <c r="C58" s="30"/>
      <c r="D58" s="31" t="s">
        <v>34</v>
      </c>
      <c r="E58" s="32"/>
      <c r="F58" s="35">
        <f>F57*F56</f>
        <v>523598775598.29883</v>
      </c>
      <c r="G58" s="35"/>
      <c r="H58" s="18" t="s">
        <v>39</v>
      </c>
      <c r="I58" s="6"/>
      <c r="L58">
        <v>47</v>
      </c>
      <c r="M58">
        <f t="shared" si="21"/>
        <v>0.2953097094374405</v>
      </c>
      <c r="P58">
        <f t="shared" si="23"/>
        <v>24783.560257794154</v>
      </c>
      <c r="Q58">
        <f t="shared" si="24"/>
        <v>8955.1808341413598</v>
      </c>
      <c r="V58">
        <f t="shared" si="18"/>
        <v>-16651.507819544095</v>
      </c>
      <c r="W58">
        <f t="shared" si="19"/>
        <v>11018.626583898951</v>
      </c>
      <c r="AB58">
        <f t="shared" si="22"/>
        <v>-216.43974220584732</v>
      </c>
      <c r="AC58">
        <f t="shared" si="20"/>
        <v>-13544.81916585864</v>
      </c>
      <c r="AW58">
        <v>51</v>
      </c>
      <c r="AX58">
        <f t="shared" si="9"/>
        <v>25.5</v>
      </c>
      <c r="AZ58">
        <f t="shared" si="15"/>
        <v>22976.472539850369</v>
      </c>
      <c r="BB58">
        <f t="shared" si="10"/>
        <v>15661.293878573861</v>
      </c>
      <c r="BD58">
        <f t="shared" si="11"/>
        <v>-4298.1653606426635</v>
      </c>
      <c r="BF58">
        <f t="shared" si="12"/>
        <v>-2737.8341147859192</v>
      </c>
      <c r="BH58">
        <f t="shared" si="0"/>
        <v>-949.91648176384263</v>
      </c>
      <c r="BJ58">
        <f t="shared" si="1"/>
        <v>-2056.8189113471567</v>
      </c>
      <c r="BN58" s="20">
        <f t="shared" si="2"/>
        <v>-670.51831226302647</v>
      </c>
      <c r="BP58">
        <f t="shared" si="3"/>
        <v>-1838.5175485674106</v>
      </c>
      <c r="BR58">
        <f t="shared" si="4"/>
        <v>-91.170364814428453</v>
      </c>
      <c r="BT58">
        <f t="shared" si="5"/>
        <v>-12.009878841328158</v>
      </c>
      <c r="BV58">
        <f t="shared" si="6"/>
        <v>-188.22780468638766</v>
      </c>
      <c r="BX58">
        <f t="shared" si="7"/>
        <v>-206.291483938418</v>
      </c>
      <c r="CB58">
        <f t="shared" si="13"/>
        <v>8687.1230308388331</v>
      </c>
      <c r="CD58">
        <f t="shared" si="8"/>
        <v>43347.750118640419</v>
      </c>
      <c r="CF58">
        <f t="shared" si="14"/>
        <v>41506.601379554944</v>
      </c>
    </row>
    <row r="59" spans="1:84" x14ac:dyDescent="0.25">
      <c r="A59" s="27" t="s">
        <v>29</v>
      </c>
      <c r="B59" s="28"/>
      <c r="C59" s="28"/>
      <c r="D59" s="29" t="s">
        <v>35</v>
      </c>
      <c r="E59" s="30"/>
      <c r="F59" s="31">
        <f>F55*F19</f>
        <v>10000</v>
      </c>
      <c r="G59" s="32"/>
      <c r="H59" s="15" t="s">
        <v>21</v>
      </c>
      <c r="I59" s="6"/>
      <c r="L59">
        <v>48</v>
      </c>
      <c r="M59">
        <f t="shared" si="21"/>
        <v>0.30159289474462009</v>
      </c>
      <c r="P59">
        <f t="shared" si="23"/>
        <v>24774.322723733214</v>
      </c>
      <c r="Q59">
        <f t="shared" si="24"/>
        <v>8985.2079078851748</v>
      </c>
      <c r="V59">
        <f t="shared" si="18"/>
        <v>-16657.974093386751</v>
      </c>
      <c r="W59">
        <f t="shared" si="19"/>
        <v>11039.645535519621</v>
      </c>
      <c r="AB59">
        <f t="shared" si="22"/>
        <v>-225.67727626678516</v>
      </c>
      <c r="AC59">
        <f t="shared" si="20"/>
        <v>-13514.792092114825</v>
      </c>
      <c r="AW59">
        <v>52</v>
      </c>
      <c r="AX59">
        <f t="shared" si="9"/>
        <v>26</v>
      </c>
      <c r="AZ59">
        <f t="shared" si="15"/>
        <v>20708.650299308556</v>
      </c>
      <c r="BB59">
        <f t="shared" si="10"/>
        <v>14035.274457262505</v>
      </c>
      <c r="BD59">
        <f t="shared" si="11"/>
        <v>-4773.123601524585</v>
      </c>
      <c r="BF59">
        <f t="shared" si="12"/>
        <v>-3766.2435704594973</v>
      </c>
      <c r="BH59">
        <f t="shared" si="0"/>
        <v>-528.31766259611334</v>
      </c>
      <c r="BJ59">
        <f t="shared" si="1"/>
        <v>-2243.4083858149479</v>
      </c>
      <c r="BN59" s="20">
        <f t="shared" si="2"/>
        <v>-216.50179126375133</v>
      </c>
      <c r="BP59">
        <f t="shared" si="3"/>
        <v>-1996.6104971353529</v>
      </c>
      <c r="BR59">
        <f t="shared" si="4"/>
        <v>-102.27018770854065</v>
      </c>
      <c r="BT59">
        <f t="shared" si="5"/>
        <v>-10.137606458711932</v>
      </c>
      <c r="BV59">
        <f t="shared" si="6"/>
        <v>-209.5456836238213</v>
      </c>
      <c r="BX59">
        <f t="shared" si="7"/>
        <v>-236.66028222088289</v>
      </c>
      <c r="CB59">
        <f t="shared" si="13"/>
        <v>6573.5833058125791</v>
      </c>
      <c r="CD59">
        <f t="shared" si="8"/>
        <v>40908.161155652429</v>
      </c>
      <c r="CF59">
        <f t="shared" si="14"/>
        <v>38781.205022803231</v>
      </c>
    </row>
    <row r="60" spans="1:84" x14ac:dyDescent="0.25">
      <c r="A60" s="33" t="s">
        <v>30</v>
      </c>
      <c r="B60" s="30"/>
      <c r="C60" s="32"/>
      <c r="D60" s="34" t="s">
        <v>36</v>
      </c>
      <c r="E60" s="35"/>
      <c r="F60" s="34" t="s">
        <v>38</v>
      </c>
      <c r="G60" s="35"/>
      <c r="H60" s="19" t="s">
        <v>40</v>
      </c>
      <c r="L60">
        <v>49</v>
      </c>
      <c r="M60">
        <f t="shared" si="21"/>
        <v>0.30787608005179967</v>
      </c>
      <c r="P60">
        <f t="shared" si="23"/>
        <v>24764.896707586093</v>
      </c>
      <c r="Q60">
        <f t="shared" si="24"/>
        <v>9015.17634816387</v>
      </c>
      <c r="V60">
        <f t="shared" si="18"/>
        <v>-16664.572304689733</v>
      </c>
      <c r="W60">
        <f t="shared" si="19"/>
        <v>11060.623443714709</v>
      </c>
      <c r="AB60">
        <f t="shared" si="22"/>
        <v>-235.10329241390536</v>
      </c>
      <c r="AC60">
        <f t="shared" si="20"/>
        <v>-13484.82365183613</v>
      </c>
      <c r="AW60">
        <v>53</v>
      </c>
      <c r="AX60">
        <f t="shared" si="9"/>
        <v>26.5</v>
      </c>
      <c r="AZ60">
        <f t="shared" si="15"/>
        <v>18256.048790721747</v>
      </c>
      <c r="BB60">
        <f t="shared" si="10"/>
        <v>11871.726623805887</v>
      </c>
      <c r="BD60">
        <f t="shared" si="11"/>
        <v>-5037.2824328226416</v>
      </c>
      <c r="BF60">
        <f t="shared" si="12"/>
        <v>-4887.9477633669712</v>
      </c>
      <c r="BH60">
        <f t="shared" si="0"/>
        <v>317.95687831410532</v>
      </c>
      <c r="BJ60">
        <f t="shared" si="1"/>
        <v>-1980.8069518318209</v>
      </c>
      <c r="BN60" s="20">
        <f t="shared" si="2"/>
        <v>676.35519391409957</v>
      </c>
      <c r="BP60">
        <f t="shared" si="3"/>
        <v>-1695.4832180238413</v>
      </c>
      <c r="BR60">
        <f t="shared" si="4"/>
        <v>-116.39431016403509</v>
      </c>
      <c r="BT60">
        <f t="shared" si="5"/>
        <v>-5.69474203635954</v>
      </c>
      <c r="BV60">
        <f t="shared" si="6"/>
        <v>-242.0040054359591</v>
      </c>
      <c r="BX60">
        <f t="shared" si="7"/>
        <v>-279.62899177162012</v>
      </c>
      <c r="CB60">
        <f t="shared" si="13"/>
        <v>4706.7355453261134</v>
      </c>
      <c r="CD60">
        <f t="shared" si="8"/>
        <v>38301.809743566249</v>
      </c>
      <c r="CF60">
        <f t="shared" si="14"/>
        <v>35537.775635244652</v>
      </c>
    </row>
    <row r="61" spans="1:84" x14ac:dyDescent="0.25">
      <c r="D61" s="17"/>
      <c r="E61" s="17"/>
      <c r="F61" s="17"/>
      <c r="G61" s="17"/>
      <c r="H61" s="17"/>
      <c r="L61">
        <v>50</v>
      </c>
      <c r="M61">
        <f t="shared" si="21"/>
        <v>0.31415926535897926</v>
      </c>
      <c r="P61">
        <f t="shared" si="23"/>
        <v>24755.282581475767</v>
      </c>
      <c r="Q61">
        <f t="shared" si="24"/>
        <v>9045.0849718747377</v>
      </c>
      <c r="V61">
        <f t="shared" si="18"/>
        <v>-16671.302192966963</v>
      </c>
      <c r="W61">
        <f t="shared" si="19"/>
        <v>11081.559480312315</v>
      </c>
      <c r="AB61">
        <f t="shared" si="22"/>
        <v>-244.71741852423202</v>
      </c>
      <c r="AC61">
        <f t="shared" si="20"/>
        <v>-13454.915028125262</v>
      </c>
      <c r="AW61">
        <v>54</v>
      </c>
      <c r="AX61">
        <f t="shared" si="9"/>
        <v>27</v>
      </c>
      <c r="AZ61">
        <f t="shared" si="15"/>
        <v>15777.152184099688</v>
      </c>
      <c r="BB61">
        <f t="shared" si="10"/>
        <v>9180.1518731434244</v>
      </c>
      <c r="BD61">
        <f t="shared" si="11"/>
        <v>-4878.3039936655887</v>
      </c>
      <c r="BF61">
        <f t="shared" si="12"/>
        <v>-5878.3512392828816</v>
      </c>
      <c r="BH61">
        <f t="shared" si="0"/>
        <v>1244.1619772246952</v>
      </c>
      <c r="BJ61">
        <f t="shared" si="1"/>
        <v>-1000.1743367203645</v>
      </c>
      <c r="BN61" s="20">
        <f t="shared" si="2"/>
        <v>1668.338436533302</v>
      </c>
      <c r="BP61">
        <f t="shared" si="3"/>
        <v>-663.78474228320874</v>
      </c>
      <c r="BR61">
        <f t="shared" si="4"/>
        <v>-132.5193779759918</v>
      </c>
      <c r="BT61">
        <f t="shared" si="5"/>
        <v>3.0367359382533659</v>
      </c>
      <c r="BV61">
        <f t="shared" si="6"/>
        <v>-291.65708133261495</v>
      </c>
      <c r="BX61">
        <f t="shared" si="7"/>
        <v>-339.42633037540918</v>
      </c>
      <c r="CB61">
        <f t="shared" si="13"/>
        <v>4544.8161671382695</v>
      </c>
      <c r="CD61">
        <f t="shared" si="8"/>
        <v>35786.544529408522</v>
      </c>
      <c r="CF61">
        <f t="shared" si="14"/>
        <v>31880.555162818604</v>
      </c>
    </row>
    <row r="62" spans="1:84" x14ac:dyDescent="0.25">
      <c r="L62">
        <v>51</v>
      </c>
      <c r="M62">
        <f t="shared" si="21"/>
        <v>0.32044245066615884</v>
      </c>
      <c r="P62">
        <f t="shared" si="23"/>
        <v>24745.480724951474</v>
      </c>
      <c r="Q62">
        <f t="shared" si="24"/>
        <v>9074.932598276524</v>
      </c>
      <c r="V62">
        <f t="shared" si="18"/>
        <v>-16678.163492533968</v>
      </c>
      <c r="W62">
        <f t="shared" si="19"/>
        <v>11102.452818793567</v>
      </c>
      <c r="AB62">
        <f t="shared" si="22"/>
        <v>-254.51927504852665</v>
      </c>
      <c r="AC62">
        <f t="shared" si="20"/>
        <v>-13425.067401723476</v>
      </c>
      <c r="AW62">
        <v>55</v>
      </c>
      <c r="AX62">
        <f t="shared" si="9"/>
        <v>27.5</v>
      </c>
      <c r="AZ62">
        <f t="shared" si="15"/>
        <v>13493.520434419981</v>
      </c>
      <c r="BB62">
        <f t="shared" si="10"/>
        <v>6115.9544614119377</v>
      </c>
      <c r="BD62">
        <f t="shared" si="11"/>
        <v>-4256.2230050532407</v>
      </c>
      <c r="BF62">
        <f t="shared" si="12"/>
        <v>-6378.4384076430642</v>
      </c>
      <c r="BH62">
        <f t="shared" si="0"/>
        <v>1453.1100753541868</v>
      </c>
      <c r="BJ62">
        <f t="shared" si="1"/>
        <v>17.473536062919266</v>
      </c>
      <c r="BN62" s="20">
        <f t="shared" si="2"/>
        <v>1966.3987943048057</v>
      </c>
      <c r="BP62">
        <f t="shared" si="3"/>
        <v>418.28848471913955</v>
      </c>
      <c r="BR62">
        <f t="shared" si="4"/>
        <v>-147.29245172831295</v>
      </c>
      <c r="BT62">
        <f t="shared" si="5"/>
        <v>17.080634778992547</v>
      </c>
      <c r="BV62">
        <f t="shared" si="6"/>
        <v>-365.99626722230602</v>
      </c>
      <c r="BX62">
        <f t="shared" si="7"/>
        <v>-417.89558343521281</v>
      </c>
      <c r="CB62">
        <f t="shared" si="13"/>
        <v>6652.0567037718392</v>
      </c>
      <c r="CD62">
        <f t="shared" si="8"/>
        <v>33717.973261107116</v>
      </c>
      <c r="CF62">
        <f t="shared" si="14"/>
        <v>28069.446572291588</v>
      </c>
    </row>
    <row r="63" spans="1:84" x14ac:dyDescent="0.25">
      <c r="L63">
        <v>52</v>
      </c>
      <c r="M63">
        <f t="shared" si="21"/>
        <v>0.32672563597333842</v>
      </c>
      <c r="P63">
        <f t="shared" si="23"/>
        <v>24735.491524973721</v>
      </c>
      <c r="Q63">
        <f t="shared" si="24"/>
        <v>9104.7180490360479</v>
      </c>
      <c r="V63">
        <f t="shared" si="18"/>
        <v>-16685.155932518395</v>
      </c>
      <c r="W63">
        <f t="shared" si="19"/>
        <v>11123.302634325233</v>
      </c>
      <c r="AB63">
        <f t="shared" si="22"/>
        <v>-264.50847502627857</v>
      </c>
      <c r="AC63">
        <f t="shared" si="20"/>
        <v>-13395.281950963952</v>
      </c>
      <c r="AW63">
        <v>56</v>
      </c>
      <c r="AX63">
        <f t="shared" si="9"/>
        <v>28</v>
      </c>
      <c r="AZ63">
        <f t="shared" si="15"/>
        <v>11547.047691312633</v>
      </c>
      <c r="BB63">
        <f t="shared" si="10"/>
        <v>2928.9194495982706</v>
      </c>
      <c r="BD63">
        <f t="shared" si="11"/>
        <v>-3529.6679673761473</v>
      </c>
      <c r="BF63">
        <f t="shared" si="12"/>
        <v>-6369.7016396116051</v>
      </c>
      <c r="BH63">
        <f t="shared" si="0"/>
        <v>1029.9780802799914</v>
      </c>
      <c r="BJ63">
        <f t="shared" si="1"/>
        <v>420.20113474218999</v>
      </c>
      <c r="BN63" s="20">
        <f t="shared" si="2"/>
        <v>1659.1219358202375</v>
      </c>
      <c r="BP63">
        <f t="shared" si="3"/>
        <v>897.19895896945468</v>
      </c>
      <c r="BR63">
        <f t="shared" si="4"/>
        <v>-156.52965797514756</v>
      </c>
      <c r="BT63">
        <f t="shared" si="5"/>
        <v>35.085179155255744</v>
      </c>
      <c r="BV63">
        <f t="shared" si="6"/>
        <v>-472.61419756509855</v>
      </c>
      <c r="BX63">
        <f t="shared" si="7"/>
        <v>-512.08300338252047</v>
      </c>
      <c r="CB63">
        <f t="shared" si="13"/>
        <v>9609.7440200665114</v>
      </c>
      <c r="CD63">
        <f t="shared" si="8"/>
        <v>32329.806652502939</v>
      </c>
      <c r="CF63">
        <f t="shared" si="14"/>
        <v>24397.765060118887</v>
      </c>
    </row>
    <row r="64" spans="1:84" x14ac:dyDescent="0.25">
      <c r="L64">
        <v>53</v>
      </c>
      <c r="M64">
        <f t="shared" si="21"/>
        <v>0.33300882128051801</v>
      </c>
      <c r="P64">
        <f t="shared" si="23"/>
        <v>24725.315375899023</v>
      </c>
      <c r="Q64">
        <f t="shared" si="24"/>
        <v>9134.4401482747126</v>
      </c>
      <c r="V64">
        <f t="shared" si="18"/>
        <v>-16692.279236870683</v>
      </c>
      <c r="W64">
        <f t="shared" si="19"/>
        <v>11144.108103792298</v>
      </c>
      <c r="AB64">
        <f t="shared" si="22"/>
        <v>-274.68462410097618</v>
      </c>
      <c r="AC64">
        <f t="shared" si="20"/>
        <v>-13365.559851725287</v>
      </c>
      <c r="AW64">
        <v>57</v>
      </c>
      <c r="AX64">
        <f t="shared" si="9"/>
        <v>28.5</v>
      </c>
      <c r="AZ64">
        <f t="shared" si="15"/>
        <v>9910.9609676595592</v>
      </c>
      <c r="BB64">
        <f t="shared" si="10"/>
        <v>-203.40622836475819</v>
      </c>
      <c r="BD64">
        <f t="shared" si="11"/>
        <v>-3014.6789272361516</v>
      </c>
      <c r="BF64">
        <f t="shared" si="12"/>
        <v>-6159.6010722405099</v>
      </c>
      <c r="BH64">
        <f t="shared" si="0"/>
        <v>473.50780885046061</v>
      </c>
      <c r="BJ64">
        <f t="shared" si="1"/>
        <v>394.6654055017849</v>
      </c>
      <c r="BN64" s="20">
        <f t="shared" si="2"/>
        <v>1251.8731861174419</v>
      </c>
      <c r="BP64">
        <f t="shared" si="3"/>
        <v>955.85790362660612</v>
      </c>
      <c r="BR64">
        <f t="shared" si="4"/>
        <v>-158.38753792368931</v>
      </c>
      <c r="BT64">
        <f t="shared" si="5"/>
        <v>54.030105976644755</v>
      </c>
      <c r="BV64">
        <f t="shared" si="6"/>
        <v>-619.97783934329209</v>
      </c>
      <c r="BX64">
        <f t="shared" si="7"/>
        <v>-615.222604101466</v>
      </c>
      <c r="CB64">
        <f t="shared" si="13"/>
        <v>12693.745551069545</v>
      </c>
      <c r="CD64">
        <f t="shared" si="8"/>
        <v>31603.403055207305</v>
      </c>
      <c r="CF64">
        <f t="shared" si="14"/>
        <v>21006.569073074777</v>
      </c>
    </row>
    <row r="65" spans="12:84" x14ac:dyDescent="0.25">
      <c r="L65">
        <v>54</v>
      </c>
      <c r="M65">
        <f t="shared" si="21"/>
        <v>0.33929200658769759</v>
      </c>
      <c r="P65">
        <f t="shared" si="23"/>
        <v>24714.952679464324</v>
      </c>
      <c r="Q65">
        <f t="shared" si="24"/>
        <v>9164.0977226149334</v>
      </c>
      <c r="V65">
        <f t="shared" si="18"/>
        <v>-16699.533124374975</v>
      </c>
      <c r="W65">
        <f t="shared" si="19"/>
        <v>11164.868405830453</v>
      </c>
      <c r="AB65">
        <f t="shared" si="22"/>
        <v>-285.0473205356775</v>
      </c>
      <c r="AC65">
        <f t="shared" si="20"/>
        <v>-13335.902277385067</v>
      </c>
      <c r="AW65">
        <v>58</v>
      </c>
      <c r="AX65">
        <f t="shared" si="9"/>
        <v>29</v>
      </c>
      <c r="AZ65">
        <f t="shared" si="15"/>
        <v>8462.8099801477911</v>
      </c>
      <c r="BB65">
        <f t="shared" si="10"/>
        <v>-3233.8735887972898</v>
      </c>
      <c r="BD65">
        <f t="shared" si="11"/>
        <v>-2777.9250228109213</v>
      </c>
      <c r="BF65">
        <f t="shared" si="12"/>
        <v>-5962.2683694896177</v>
      </c>
      <c r="BH65">
        <f t="shared" si="0"/>
        <v>-44.312123668616778</v>
      </c>
      <c r="BJ65">
        <f t="shared" si="1"/>
        <v>219.44847950684004</v>
      </c>
      <c r="BN65" s="20">
        <f t="shared" si="2"/>
        <v>929.23556126694939</v>
      </c>
      <c r="BP65">
        <f t="shared" si="3"/>
        <v>864.5343477650639</v>
      </c>
      <c r="BR65">
        <f t="shared" si="4"/>
        <v>-153.68148117982525</v>
      </c>
      <c r="BT65">
        <f t="shared" si="5"/>
        <v>71.454691096608897</v>
      </c>
      <c r="BV65">
        <f t="shared" si="6"/>
        <v>-819.86620375574091</v>
      </c>
      <c r="BX65">
        <f t="shared" si="7"/>
        <v>-716.54055935483279</v>
      </c>
      <c r="CB65">
        <f t="shared" si="13"/>
        <v>15758.261191338892</v>
      </c>
      <c r="CD65">
        <f t="shared" si="8"/>
        <v>31388.962425194419</v>
      </c>
      <c r="CF65">
        <f t="shared" si="14"/>
        <v>17879.848525252357</v>
      </c>
    </row>
    <row r="66" spans="12:84" x14ac:dyDescent="0.25">
      <c r="L66">
        <v>55</v>
      </c>
      <c r="M66">
        <f t="shared" si="21"/>
        <v>0.34557519189487718</v>
      </c>
      <c r="P66">
        <f t="shared" si="23"/>
        <v>24704.403844771128</v>
      </c>
      <c r="Q66">
        <f t="shared" si="24"/>
        <v>9193.6896012264569</v>
      </c>
      <c r="V66">
        <f t="shared" si="18"/>
        <v>-16706.91730866021</v>
      </c>
      <c r="W66">
        <f t="shared" si="19"/>
        <v>11185.58272085852</v>
      </c>
      <c r="AB66">
        <f t="shared" si="22"/>
        <v>-295.5961552288727</v>
      </c>
      <c r="AC66">
        <f t="shared" si="20"/>
        <v>-13306.310398773543</v>
      </c>
      <c r="AW66">
        <v>59</v>
      </c>
      <c r="AX66">
        <f t="shared" si="9"/>
        <v>29.5</v>
      </c>
      <c r="AZ66">
        <f t="shared" si="15"/>
        <v>7068.3084532837529</v>
      </c>
      <c r="BB66">
        <f t="shared" si="10"/>
        <v>-6187.576713603743</v>
      </c>
      <c r="BD66">
        <f t="shared" si="11"/>
        <v>-2800.0810846452296</v>
      </c>
      <c r="BF66">
        <f t="shared" si="12"/>
        <v>-5852.5441297361976</v>
      </c>
      <c r="BH66">
        <f t="shared" si="0"/>
        <v>-532.55195242444131</v>
      </c>
      <c r="BJ66">
        <f t="shared" si="1"/>
        <v>31.929694395013485</v>
      </c>
      <c r="BN66" s="20">
        <f t="shared" si="2"/>
        <v>698.61959422329721</v>
      </c>
      <c r="BP66">
        <f t="shared" si="3"/>
        <v>739.45541115124172</v>
      </c>
      <c r="BR66">
        <f t="shared" si="4"/>
        <v>-144.16870870408277</v>
      </c>
      <c r="BT66">
        <f t="shared" si="5"/>
        <v>86.216766587991827</v>
      </c>
      <c r="BV66">
        <f t="shared" si="6"/>
        <v>-1087.0028379436558</v>
      </c>
      <c r="BX66">
        <f t="shared" si="7"/>
        <v>-793.74248334422009</v>
      </c>
      <c r="CB66">
        <f t="shared" si="13"/>
        <v>18830.252323062479</v>
      </c>
      <c r="CD66">
        <f t="shared" si="8"/>
        <v>31539.355769909424</v>
      </c>
      <c r="CF66">
        <f t="shared" si="14"/>
        <v>14943.322023640496</v>
      </c>
    </row>
    <row r="67" spans="12:84" x14ac:dyDescent="0.25">
      <c r="L67">
        <v>56</v>
      </c>
      <c r="M67">
        <f t="shared" si="21"/>
        <v>0.35185837720205676</v>
      </c>
      <c r="P67">
        <f t="shared" si="23"/>
        <v>24693.669288269371</v>
      </c>
      <c r="Q67">
        <f t="shared" si="24"/>
        <v>9223.2146158725845</v>
      </c>
      <c r="V67">
        <f t="shared" si="18"/>
        <v>-16714.431498211441</v>
      </c>
      <c r="W67">
        <f t="shared" si="19"/>
        <v>11206.250231110809</v>
      </c>
      <c r="AB67">
        <f t="shared" si="22"/>
        <v>-306.33071173062945</v>
      </c>
      <c r="AC67">
        <f t="shared" si="20"/>
        <v>-13276.785384127415</v>
      </c>
      <c r="AW67">
        <v>60</v>
      </c>
      <c r="AX67">
        <f t="shared" si="9"/>
        <v>30</v>
      </c>
      <c r="AZ67">
        <f t="shared" si="15"/>
        <v>5601.6989169080825</v>
      </c>
      <c r="BB67">
        <f t="shared" si="10"/>
        <v>-9109.8575666724646</v>
      </c>
      <c r="BD67">
        <f t="shared" si="11"/>
        <v>-3066.3570608574501</v>
      </c>
      <c r="BF67">
        <f t="shared" si="12"/>
        <v>-5836.5792825386907</v>
      </c>
      <c r="BH67">
        <f t="shared" si="0"/>
        <v>-1025.3452898656583</v>
      </c>
      <c r="BJ67">
        <f t="shared" si="1"/>
        <v>-78.428889021317218</v>
      </c>
      <c r="BN67" s="20">
        <f t="shared" si="2"/>
        <v>535.28532839769741</v>
      </c>
      <c r="BP67">
        <f t="shared" si="3"/>
        <v>617.5043160235108</v>
      </c>
      <c r="BR67">
        <f t="shared" si="4"/>
        <v>-131.43436958483665</v>
      </c>
      <c r="BT67">
        <f t="shared" si="5"/>
        <v>98.106461226790842</v>
      </c>
      <c r="BV67">
        <f t="shared" si="6"/>
        <v>-1429.1962486785192</v>
      </c>
      <c r="BX67">
        <f t="shared" si="7"/>
        <v>-794.0396662716189</v>
      </c>
      <c r="CB67">
        <f t="shared" si="13"/>
        <v>21981.775234600875</v>
      </c>
      <c r="CD67">
        <f t="shared" si="8"/>
        <v>31947.357381331582</v>
      </c>
      <c r="CF67">
        <f t="shared" si="14"/>
        <v>12128.058286867508</v>
      </c>
    </row>
    <row r="68" spans="12:84" x14ac:dyDescent="0.25">
      <c r="L68">
        <v>57</v>
      </c>
      <c r="M68">
        <f t="shared" si="21"/>
        <v>0.35814156250923634</v>
      </c>
      <c r="P68">
        <f t="shared" si="23"/>
        <v>24682.749433740963</v>
      </c>
      <c r="Q68">
        <f t="shared" si="24"/>
        <v>9252.6716009562952</v>
      </c>
      <c r="V68">
        <f t="shared" si="18"/>
        <v>-16722.075396381326</v>
      </c>
      <c r="W68">
        <f t="shared" si="19"/>
        <v>11226.870120669406</v>
      </c>
      <c r="AB68">
        <f t="shared" si="22"/>
        <v>-317.25056625903835</v>
      </c>
      <c r="AC68">
        <f t="shared" si="20"/>
        <v>-13247.328399043705</v>
      </c>
      <c r="AW68">
        <v>61</v>
      </c>
      <c r="AX68">
        <f t="shared" si="9"/>
        <v>30.5</v>
      </c>
      <c r="AZ68">
        <f t="shared" si="15"/>
        <v>3940.3522252461503</v>
      </c>
      <c r="BB68">
        <f t="shared" si="10"/>
        <v>-12037.950819069474</v>
      </c>
      <c r="BD68">
        <f t="shared" si="11"/>
        <v>-3579.029705790279</v>
      </c>
      <c r="BF68">
        <f t="shared" si="12"/>
        <v>-5875.7937270493494</v>
      </c>
      <c r="BH68">
        <f t="shared" si="0"/>
        <v>-1504.4383474840474</v>
      </c>
      <c r="BJ68">
        <f t="shared" si="1"/>
        <v>17.600541706146146</v>
      </c>
      <c r="BN68" s="20">
        <f t="shared" si="2"/>
        <v>418.02350149936029</v>
      </c>
      <c r="BP68">
        <f t="shared" si="3"/>
        <v>508.56175229128894</v>
      </c>
      <c r="BR68">
        <f t="shared" si="4"/>
        <v>-116.60692224682288</v>
      </c>
      <c r="BT68">
        <f t="shared" si="5"/>
        <v>107.34084417223393</v>
      </c>
      <c r="BV68">
        <f t="shared" si="6"/>
        <v>-1805.8549267365847</v>
      </c>
      <c r="BX68">
        <f t="shared" si="7"/>
        <v>-598.30205475737671</v>
      </c>
      <c r="CB68">
        <f t="shared" si="13"/>
        <v>25291.180455991649</v>
      </c>
      <c r="CD68">
        <f t="shared" si="8"/>
        <v>32539.387532228899</v>
      </c>
      <c r="CF68">
        <f t="shared" si="14"/>
        <v>9418.2606282537636</v>
      </c>
    </row>
    <row r="69" spans="12:84" x14ac:dyDescent="0.25">
      <c r="L69">
        <v>58</v>
      </c>
      <c r="M69">
        <f t="shared" si="21"/>
        <v>0.36442474781641593</v>
      </c>
      <c r="P69">
        <f t="shared" si="23"/>
        <v>24671.644712283061</v>
      </c>
      <c r="Q69">
        <f t="shared" si="24"/>
        <v>9282.0593935662528</v>
      </c>
      <c r="V69">
        <f t="shared" si="18"/>
        <v>-16729.848701401857</v>
      </c>
      <c r="W69">
        <f t="shared" si="19"/>
        <v>11247.441575496377</v>
      </c>
      <c r="AB69">
        <f t="shared" si="22"/>
        <v>-328.35528771693953</v>
      </c>
      <c r="AC69">
        <f t="shared" si="20"/>
        <v>-13217.940606433747</v>
      </c>
      <c r="AW69">
        <v>62</v>
      </c>
      <c r="AX69">
        <f t="shared" si="9"/>
        <v>31</v>
      </c>
      <c r="AZ69">
        <f t="shared" si="15"/>
        <v>1962.7825789155049</v>
      </c>
      <c r="BB69">
        <f t="shared" si="10"/>
        <v>-14973.64761488088</v>
      </c>
      <c r="BD69">
        <f t="shared" si="11"/>
        <v>-4331.2488795323025</v>
      </c>
      <c r="BF69">
        <f t="shared" si="12"/>
        <v>-5866.9934561962764</v>
      </c>
      <c r="BH69">
        <f t="shared" si="0"/>
        <v>-1782.6982363465954</v>
      </c>
      <c r="BJ69">
        <f t="shared" si="1"/>
        <v>521.2613115361014</v>
      </c>
      <c r="BN69" s="20">
        <f t="shared" si="2"/>
        <v>332.78165281799573</v>
      </c>
      <c r="BP69">
        <f t="shared" si="3"/>
        <v>414.63255797908982</v>
      </c>
      <c r="BR69">
        <f t="shared" si="4"/>
        <v>-100.48024373159446</v>
      </c>
      <c r="BT69">
        <f t="shared" si="5"/>
        <v>114.25502165737383</v>
      </c>
      <c r="BV69">
        <f t="shared" si="6"/>
        <v>-2014.9996454329967</v>
      </c>
      <c r="BX69">
        <f t="shared" si="7"/>
        <v>-7.6262681003622301</v>
      </c>
      <c r="CB69">
        <f t="shared" si="13"/>
        <v>28816.766810544777</v>
      </c>
      <c r="CD69">
        <f t="shared" si="8"/>
        <v>33257.283319612259</v>
      </c>
      <c r="CF69">
        <f t="shared" si="14"/>
        <v>6962.8324473198918</v>
      </c>
    </row>
    <row r="70" spans="12:84" x14ac:dyDescent="0.25">
      <c r="L70">
        <v>59</v>
      </c>
      <c r="M70">
        <f t="shared" si="21"/>
        <v>0.37070793312359551</v>
      </c>
      <c r="P70">
        <f t="shared" si="23"/>
        <v>24660.355562291054</v>
      </c>
      <c r="Q70">
        <f t="shared" si="24"/>
        <v>9311.3768335227287</v>
      </c>
      <c r="V70">
        <f t="shared" si="18"/>
        <v>-16737.751106396263</v>
      </c>
      <c r="W70">
        <f t="shared" si="19"/>
        <v>11267.96378346591</v>
      </c>
      <c r="AB70">
        <f t="shared" si="22"/>
        <v>-339.64443770894559</v>
      </c>
      <c r="AC70">
        <f t="shared" si="20"/>
        <v>-13188.623166477271</v>
      </c>
      <c r="AW70">
        <v>63</v>
      </c>
      <c r="AX70">
        <f t="shared" si="9"/>
        <v>31.5</v>
      </c>
      <c r="AZ70">
        <f t="shared" si="15"/>
        <v>-425.67914039397073</v>
      </c>
      <c r="BB70">
        <f t="shared" si="10"/>
        <v>-17841.986679037003</v>
      </c>
      <c r="BD70">
        <f t="shared" si="11"/>
        <v>-5222.5979977056004</v>
      </c>
      <c r="BF70">
        <f t="shared" si="12"/>
        <v>-5606.3628004282255</v>
      </c>
      <c r="BH70">
        <f t="shared" si="0"/>
        <v>-1447.5829892571755</v>
      </c>
      <c r="BJ70">
        <f t="shared" si="1"/>
        <v>1470.915235464297</v>
      </c>
      <c r="BN70" s="20">
        <f t="shared" si="2"/>
        <v>270.9014499480723</v>
      </c>
      <c r="BP70">
        <f t="shared" si="3"/>
        <v>336.10539403506175</v>
      </c>
      <c r="BR70">
        <f t="shared" si="4"/>
        <v>-83.799285755930526</v>
      </c>
      <c r="BT70">
        <f t="shared" si="5"/>
        <v>119.19384659439939</v>
      </c>
      <c r="BV70">
        <f t="shared" si="6"/>
        <v>-1634.6851534493173</v>
      </c>
      <c r="BX70">
        <f t="shared" si="7"/>
        <v>1015.6159948348359</v>
      </c>
      <c r="CB70">
        <f t="shared" si="13"/>
        <v>32548.804235898042</v>
      </c>
      <c r="CD70">
        <f t="shared" si="8"/>
        <v>34034.251267663894</v>
      </c>
      <c r="CF70">
        <f t="shared" si="14"/>
        <v>5385.2854715837129</v>
      </c>
    </row>
    <row r="71" spans="12:84" x14ac:dyDescent="0.25">
      <c r="L71">
        <v>60</v>
      </c>
      <c r="M71">
        <f t="shared" si="21"/>
        <v>0.3769911184307751</v>
      </c>
      <c r="P71">
        <f t="shared" si="23"/>
        <v>24648.882429441255</v>
      </c>
      <c r="Q71">
        <f t="shared" si="24"/>
        <v>9340.6227634233892</v>
      </c>
      <c r="V71">
        <f t="shared" si="18"/>
        <v>-16745.782299391121</v>
      </c>
      <c r="W71">
        <f t="shared" si="19"/>
        <v>11288.435934396373</v>
      </c>
      <c r="AB71">
        <f t="shared" si="22"/>
        <v>-351.11757055874295</v>
      </c>
      <c r="AC71">
        <f t="shared" si="20"/>
        <v>-13159.377236576611</v>
      </c>
      <c r="AW71">
        <v>64</v>
      </c>
      <c r="AX71">
        <f t="shared" si="9"/>
        <v>32</v>
      </c>
      <c r="AZ71">
        <f t="shared" si="15"/>
        <v>-3217.9260129039176</v>
      </c>
      <c r="BB71">
        <f t="shared" si="10"/>
        <v>-20461.303674818082</v>
      </c>
      <c r="BD71">
        <f t="shared" si="11"/>
        <v>-5946.3894923341886</v>
      </c>
      <c r="BF71">
        <f t="shared" si="12"/>
        <v>-4870.9051826960767</v>
      </c>
      <c r="BH71">
        <f t="shared" si="0"/>
        <v>-448.8629842360059</v>
      </c>
      <c r="BJ71">
        <f t="shared" si="1"/>
        <v>2260.1470438328251</v>
      </c>
      <c r="BN71" s="20">
        <f t="shared" si="2"/>
        <v>226.97276684530652</v>
      </c>
      <c r="BP71">
        <f t="shared" si="3"/>
        <v>273.34286689293879</v>
      </c>
      <c r="BR71">
        <f t="shared" si="4"/>
        <v>-67.506177626500318</v>
      </c>
      <c r="BT71">
        <f t="shared" si="5"/>
        <v>122.53111136252693</v>
      </c>
      <c r="BV71">
        <f t="shared" si="6"/>
        <v>-608.32957345481213</v>
      </c>
      <c r="BX71">
        <f t="shared" si="7"/>
        <v>1864.2730655773596</v>
      </c>
      <c r="CB71">
        <f t="shared" si="13"/>
        <v>36344.278663031349</v>
      </c>
      <c r="CD71">
        <f t="shared" si="8"/>
        <v>34778.283869073421</v>
      </c>
      <c r="CF71">
        <f t="shared" si="14"/>
        <v>5744.7041285053156</v>
      </c>
    </row>
    <row r="72" spans="12:84" x14ac:dyDescent="0.25">
      <c r="L72">
        <v>61</v>
      </c>
      <c r="M72">
        <f t="shared" si="21"/>
        <v>0.38327430373795468</v>
      </c>
      <c r="P72">
        <f t="shared" si="23"/>
        <v>24637.225766673306</v>
      </c>
      <c r="Q72">
        <f t="shared" si="24"/>
        <v>9369.7960286890011</v>
      </c>
      <c r="V72">
        <f t="shared" si="18"/>
        <v>-16753.941963328685</v>
      </c>
      <c r="W72">
        <f t="shared" si="19"/>
        <v>11308.857220082302</v>
      </c>
      <c r="AB72">
        <f t="shared" si="22"/>
        <v>-362.77423332669332</v>
      </c>
      <c r="AC72">
        <f t="shared" si="20"/>
        <v>-13130.203971310999</v>
      </c>
      <c r="AW72">
        <v>65</v>
      </c>
      <c r="AX72">
        <f t="shared" si="9"/>
        <v>32.5</v>
      </c>
      <c r="AZ72">
        <f t="shared" si="15"/>
        <v>-6247.2286321005122</v>
      </c>
      <c r="BB72">
        <f t="shared" si="10"/>
        <v>-22614.23788568702</v>
      </c>
      <c r="BD72">
        <f t="shared" si="11"/>
        <v>-6170.8209844521916</v>
      </c>
      <c r="BF72">
        <f t="shared" si="12"/>
        <v>-3740.8316607796642</v>
      </c>
      <c r="BH72">
        <f t="shared" ref="BH72:BH135" si="25">BN72+BR72+BV72</f>
        <v>468.31144157514001</v>
      </c>
      <c r="BJ72">
        <f t="shared" ref="BJ72:BJ135" si="26">SUM(BP72,BT72,BX72)</f>
        <v>2329.0712400284965</v>
      </c>
      <c r="BN72" s="20">
        <f t="shared" ref="BN72:BN135" si="27">$F$36*($F$32-AZ72)/(CB72^2+$F$37^2)^(3/2)</f>
        <v>196.80047766972183</v>
      </c>
      <c r="BP72">
        <f t="shared" ref="BP72:BP135" si="28">$F$36*($G$32-BB72)/(CB72^2+($F$37)^2)^(3/2)</f>
        <v>225.79512997858751</v>
      </c>
      <c r="BR72">
        <f t="shared" ref="BR72:BR135" si="29">$F$47*($F$43-AZ72)/(CD72^2+($F$48)^2)^(3/2)</f>
        <v>-52.583917381693823</v>
      </c>
      <c r="BT72">
        <f t="shared" ref="BT72:BT135" si="30">$F$47*($G$43-BB72)/(CD72^2+($F$48)^2)^(3/2)</f>
        <v>124.70100349743622</v>
      </c>
      <c r="BV72">
        <f t="shared" ref="BV72:BV135" si="31">$F$58*($F$54-AZ72)/(CF72^2+($F$59)^2)^(3/2)</f>
        <v>324.094881287112</v>
      </c>
      <c r="BX72">
        <f t="shared" ref="BX72:BX135" si="32">$F$58*($G$54-BB72)/(CF72^2+($F$59)^2)^(3/2)</f>
        <v>1978.5751065524728</v>
      </c>
      <c r="CB72">
        <f t="shared" ref="CB72:CB135" si="33">SQRT(($F$32-AZ72)^2+($G$32-BB72)^2)</f>
        <v>39947.269422346057</v>
      </c>
      <c r="CD72">
        <f t="shared" ref="CD72:CD135" si="34">SQRT(($F$43-AZ72)^2+($G$43-BB72)^2)</f>
        <v>35395.299591356743</v>
      </c>
      <c r="CF72">
        <f t="shared" ref="CF72:CF135" si="35">SQRT(($F$54-AZ72)^2+($G$54-BB72)^2)</f>
        <v>7715.7111040112732</v>
      </c>
    </row>
    <row r="73" spans="12:84" x14ac:dyDescent="0.25">
      <c r="L73">
        <v>62</v>
      </c>
      <c r="M73">
        <f t="shared" si="21"/>
        <v>0.38955748904513426</v>
      </c>
      <c r="P73">
        <f t="shared" si="23"/>
        <v>24625.38603417229</v>
      </c>
      <c r="Q73">
        <f t="shared" si="24"/>
        <v>9398.895477609005</v>
      </c>
      <c r="V73">
        <f t="shared" si="18"/>
        <v>-16762.229776079395</v>
      </c>
      <c r="W73">
        <f t="shared" si="19"/>
        <v>11329.226834326304</v>
      </c>
      <c r="AB73">
        <f t="shared" si="22"/>
        <v>-374.61396582770976</v>
      </c>
      <c r="AC73">
        <f t="shared" si="20"/>
        <v>-13101.104522390995</v>
      </c>
      <c r="AW73">
        <v>66</v>
      </c>
      <c r="AX73">
        <f t="shared" ref="AX73:AX136" si="36">$F$17*AW73</f>
        <v>33</v>
      </c>
      <c r="AZ73">
        <f t="shared" ref="AZ73:AZ136" si="37">AZ72+BD72*$F$17+(BH72*0.5)*$F$17^2</f>
        <v>-9274.1001941297163</v>
      </c>
      <c r="BB73">
        <f t="shared" ref="BB73:BB136" si="38">BB72+(BF72*$F$17)+(BJ72*0.5)*$F$17^2</f>
        <v>-24193.519811073293</v>
      </c>
      <c r="BD73">
        <f t="shared" ref="BD73:BD136" si="39">BD72+BH72*$F$17</f>
        <v>-5936.6652636646213</v>
      </c>
      <c r="BF73">
        <f t="shared" ref="BF73:BF136" si="40">BF72+BJ72*$F$17</f>
        <v>-2576.2960407654159</v>
      </c>
      <c r="BH73">
        <f t="shared" si="25"/>
        <v>911.83473911863052</v>
      </c>
      <c r="BJ73">
        <f t="shared" si="26"/>
        <v>1984.0960643035505</v>
      </c>
      <c r="BN73" s="20">
        <f t="shared" si="27"/>
        <v>176.44753827845344</v>
      </c>
      <c r="BP73">
        <f t="shared" si="28"/>
        <v>191.03041640762984</v>
      </c>
      <c r="BR73">
        <f t="shared" si="29"/>
        <v>-39.569734243219301</v>
      </c>
      <c r="BT73">
        <f t="shared" si="30"/>
        <v>126.14591934039063</v>
      </c>
      <c r="BV73">
        <f t="shared" si="31"/>
        <v>774.95693508339639</v>
      </c>
      <c r="BX73">
        <f t="shared" si="32"/>
        <v>1666.9197285555299</v>
      </c>
      <c r="CB73">
        <f t="shared" si="33"/>
        <v>43144.549368267144</v>
      </c>
      <c r="CD73">
        <f t="shared" si="34"/>
        <v>35836.318501149493</v>
      </c>
      <c r="CF73">
        <f t="shared" si="35"/>
        <v>10138.478139546231</v>
      </c>
    </row>
    <row r="74" spans="12:84" x14ac:dyDescent="0.25">
      <c r="L74">
        <v>63</v>
      </c>
      <c r="M74">
        <f t="shared" si="21"/>
        <v>0.39584067435231385</v>
      </c>
      <c r="P74">
        <f t="shared" si="23"/>
        <v>24613.363699350575</v>
      </c>
      <c r="Q74">
        <f t="shared" si="24"/>
        <v>9427.9199613869823</v>
      </c>
      <c r="V74">
        <f t="shared" si="18"/>
        <v>-16770.645410454599</v>
      </c>
      <c r="W74">
        <f t="shared" si="19"/>
        <v>11349.543972970887</v>
      </c>
      <c r="AB74">
        <f t="shared" si="22"/>
        <v>-386.63630064942572</v>
      </c>
      <c r="AC74">
        <f t="shared" si="20"/>
        <v>-13072.080038613018</v>
      </c>
      <c r="AW74">
        <v>67</v>
      </c>
      <c r="AX74">
        <f t="shared" si="36"/>
        <v>33.5</v>
      </c>
      <c r="AZ74">
        <f t="shared" si="37"/>
        <v>-12128.453483572199</v>
      </c>
      <c r="BB74">
        <f t="shared" si="38"/>
        <v>-25233.655823418056</v>
      </c>
      <c r="BD74">
        <f t="shared" si="39"/>
        <v>-5480.7478941053059</v>
      </c>
      <c r="BF74">
        <f t="shared" si="40"/>
        <v>-1584.2480086136406</v>
      </c>
      <c r="BH74">
        <f t="shared" si="25"/>
        <v>1047.8762818831913</v>
      </c>
      <c r="BJ74">
        <f t="shared" si="26"/>
        <v>1604.6095477424642</v>
      </c>
      <c r="BN74" s="20">
        <f t="shared" si="27"/>
        <v>162.61138261507404</v>
      </c>
      <c r="BP74">
        <f t="shared" si="28"/>
        <v>165.67448645524277</v>
      </c>
      <c r="BR74">
        <f t="shared" si="29"/>
        <v>-28.425536793626343</v>
      </c>
      <c r="BT74">
        <f t="shared" si="30"/>
        <v>127.23491856299739</v>
      </c>
      <c r="BV74">
        <f t="shared" si="31"/>
        <v>913.69043606174353</v>
      </c>
      <c r="BX74">
        <f t="shared" si="32"/>
        <v>1311.700142724224</v>
      </c>
      <c r="CB74">
        <f t="shared" si="33"/>
        <v>45866.433770373442</v>
      </c>
      <c r="CD74">
        <f t="shared" si="34"/>
        <v>36102.240197020568</v>
      </c>
      <c r="CF74">
        <f t="shared" si="35"/>
        <v>12471.670320355286</v>
      </c>
    </row>
    <row r="75" spans="12:84" x14ac:dyDescent="0.25">
      <c r="L75">
        <v>64</v>
      </c>
      <c r="M75">
        <f t="shared" si="21"/>
        <v>0.40212385965949343</v>
      </c>
      <c r="P75">
        <f t="shared" ref="P75:P138" si="41">COS(M75)*$F$33+$F$32</f>
        <v>24601.159236829353</v>
      </c>
      <c r="Q75">
        <f t="shared" ref="Q75:Q138" si="42">SIN(M75)*$F$33+$G$32</f>
        <v>9456.8683341860124</v>
      </c>
      <c r="V75">
        <f t="shared" si="18"/>
        <v>-16779.188534219455</v>
      </c>
      <c r="W75">
        <f t="shared" si="19"/>
        <v>11369.807833930208</v>
      </c>
      <c r="AB75">
        <f t="shared" si="22"/>
        <v>-398.84076317064773</v>
      </c>
      <c r="AC75">
        <f t="shared" si="20"/>
        <v>-13043.131665813988</v>
      </c>
      <c r="AW75">
        <v>68</v>
      </c>
      <c r="AX75">
        <f t="shared" si="36"/>
        <v>34</v>
      </c>
      <c r="AZ75">
        <f t="shared" si="37"/>
        <v>-14737.842895389453</v>
      </c>
      <c r="BB75">
        <f t="shared" si="38"/>
        <v>-25825.203634257068</v>
      </c>
      <c r="BD75">
        <f t="shared" si="39"/>
        <v>-4956.8097531637104</v>
      </c>
      <c r="BF75">
        <f t="shared" si="40"/>
        <v>-781.94323474240855</v>
      </c>
      <c r="BH75">
        <f t="shared" si="25"/>
        <v>1059.3410949880438</v>
      </c>
      <c r="BJ75">
        <f t="shared" si="26"/>
        <v>1303.5269042653208</v>
      </c>
      <c r="BN75" s="20">
        <f t="shared" si="27"/>
        <v>153.04148256873899</v>
      </c>
      <c r="BP75">
        <f t="shared" si="28"/>
        <v>146.81794106935581</v>
      </c>
      <c r="BR75">
        <f t="shared" si="29"/>
        <v>-18.840103411330588</v>
      </c>
      <c r="BT75">
        <f t="shared" si="30"/>
        <v>128.26499243247747</v>
      </c>
      <c r="BV75">
        <f t="shared" si="31"/>
        <v>925.1397158306354</v>
      </c>
      <c r="BX75">
        <f t="shared" si="32"/>
        <v>1028.4439707634876</v>
      </c>
      <c r="CB75">
        <f t="shared" si="33"/>
        <v>48138.206513012716</v>
      </c>
      <c r="CD75">
        <f t="shared" si="34"/>
        <v>36209.605256472889</v>
      </c>
      <c r="CF75">
        <f t="shared" si="35"/>
        <v>14560.584396871551</v>
      </c>
    </row>
    <row r="76" spans="12:84" x14ac:dyDescent="0.25">
      <c r="L76">
        <v>65</v>
      </c>
      <c r="M76">
        <f t="shared" si="21"/>
        <v>0.40840704496667302</v>
      </c>
      <c r="P76">
        <f t="shared" si="41"/>
        <v>24588.773128419904</v>
      </c>
      <c r="Q76">
        <f t="shared" si="42"/>
        <v>9485.7394531739028</v>
      </c>
      <c r="V76">
        <f t="shared" ref="V76:V139" si="43">COS(M76)*$F$44+$F$43</f>
        <v>-16787.858810106067</v>
      </c>
      <c r="W76">
        <f t="shared" ref="W76:W139" si="44">SIN(M76)*$F$44+$G$43</f>
        <v>11390.017617221733</v>
      </c>
      <c r="AB76">
        <f t="shared" ref="AB76:AB139" si="45">COS(M76)*$F$55+$F$54</f>
        <v>-411.22687158009467</v>
      </c>
      <c r="AC76">
        <f t="shared" ref="AC76:AC139" si="46">SIN(M76)*$F$55+$G$54</f>
        <v>-13014.260546826097</v>
      </c>
      <c r="AW76">
        <v>69</v>
      </c>
      <c r="AX76">
        <f t="shared" si="36"/>
        <v>34.5</v>
      </c>
      <c r="AZ76">
        <f t="shared" si="37"/>
        <v>-17083.8301350978</v>
      </c>
      <c r="BB76">
        <f t="shared" si="38"/>
        <v>-26053.234388595109</v>
      </c>
      <c r="BD76">
        <f t="shared" si="39"/>
        <v>-4427.1392056696886</v>
      </c>
      <c r="BF76">
        <f t="shared" si="40"/>
        <v>-130.17978260974814</v>
      </c>
      <c r="BH76">
        <f t="shared" si="25"/>
        <v>1031.4518037136295</v>
      </c>
      <c r="BJ76">
        <f t="shared" si="26"/>
        <v>1081.0906081467306</v>
      </c>
      <c r="BN76" s="20">
        <f t="shared" si="27"/>
        <v>146.37441236190716</v>
      </c>
      <c r="BP76">
        <f t="shared" si="28"/>
        <v>132.43871920941729</v>
      </c>
      <c r="BR76">
        <f t="shared" si="29"/>
        <v>-10.473038629230137</v>
      </c>
      <c r="BT76">
        <f t="shared" si="30"/>
        <v>129.48042602213371</v>
      </c>
      <c r="BV76">
        <f t="shared" si="31"/>
        <v>895.55042998095234</v>
      </c>
      <c r="BX76">
        <f t="shared" si="32"/>
        <v>819.17146291517963</v>
      </c>
      <c r="CB76">
        <f t="shared" si="33"/>
        <v>50010.298893575804</v>
      </c>
      <c r="CD76">
        <f t="shared" si="34"/>
        <v>36170.97948023997</v>
      </c>
      <c r="CF76">
        <f t="shared" si="35"/>
        <v>16376.597362795459</v>
      </c>
    </row>
    <row r="77" spans="12:84" x14ac:dyDescent="0.25">
      <c r="L77">
        <v>66</v>
      </c>
      <c r="M77">
        <f t="shared" ref="M77:M140" si="47">M76+$O$5</f>
        <v>0.4146902302738526</v>
      </c>
      <c r="P77">
        <f t="shared" si="41"/>
        <v>24576.205863104587</v>
      </c>
      <c r="Q77">
        <f t="shared" si="42"/>
        <v>9514.5321785683136</v>
      </c>
      <c r="V77">
        <f t="shared" si="43"/>
        <v>-16796.655895826789</v>
      </c>
      <c r="W77">
        <f t="shared" si="44"/>
        <v>11410.172524997819</v>
      </c>
      <c r="AB77">
        <f t="shared" si="45"/>
        <v>-423.79413689541161</v>
      </c>
      <c r="AC77">
        <f t="shared" si="46"/>
        <v>-12985.467821431686</v>
      </c>
      <c r="AW77">
        <v>70</v>
      </c>
      <c r="AX77">
        <f t="shared" si="36"/>
        <v>35</v>
      </c>
      <c r="AZ77">
        <f t="shared" si="37"/>
        <v>-19168.468262468439</v>
      </c>
      <c r="BB77">
        <f t="shared" si="38"/>
        <v>-25983.187953881639</v>
      </c>
      <c r="BD77">
        <f t="shared" si="39"/>
        <v>-3911.4133038128739</v>
      </c>
      <c r="BF77">
        <f t="shared" si="40"/>
        <v>410.36552146361714</v>
      </c>
      <c r="BH77">
        <f t="shared" si="25"/>
        <v>996.43669808537697</v>
      </c>
      <c r="BJ77">
        <f t="shared" si="26"/>
        <v>917.15522905393868</v>
      </c>
      <c r="BN77" s="20">
        <f t="shared" si="27"/>
        <v>141.80239919341199</v>
      </c>
      <c r="BP77">
        <f t="shared" si="28"/>
        <v>121.21986370996129</v>
      </c>
      <c r="BR77">
        <f t="shared" si="29"/>
        <v>-3.0292801719617626</v>
      </c>
      <c r="BT77">
        <f t="shared" si="30"/>
        <v>131.08718870580665</v>
      </c>
      <c r="BV77">
        <f t="shared" si="31"/>
        <v>857.6635790639267</v>
      </c>
      <c r="BX77">
        <f t="shared" si="32"/>
        <v>664.84817663817068</v>
      </c>
      <c r="CB77">
        <f t="shared" si="33"/>
        <v>51529.533100766224</v>
      </c>
      <c r="CD77">
        <f t="shared" si="34"/>
        <v>35992.794561618794</v>
      </c>
      <c r="CF77">
        <f t="shared" si="35"/>
        <v>17926.960437700145</v>
      </c>
    </row>
    <row r="78" spans="12:84" x14ac:dyDescent="0.25">
      <c r="L78">
        <v>67</v>
      </c>
      <c r="M78">
        <f t="shared" si="47"/>
        <v>0.42097341558103218</v>
      </c>
      <c r="P78">
        <f t="shared" si="41"/>
        <v>24563.457937017512</v>
      </c>
      <c r="Q78">
        <f t="shared" si="42"/>
        <v>9543.2453736817442</v>
      </c>
      <c r="V78">
        <f t="shared" si="43"/>
        <v>-16805.57944408774</v>
      </c>
      <c r="W78">
        <f t="shared" si="44"/>
        <v>11430.271761577222</v>
      </c>
      <c r="AB78">
        <f t="shared" si="45"/>
        <v>-436.54206298248573</v>
      </c>
      <c r="AC78">
        <f t="shared" si="46"/>
        <v>-12956.754626318256</v>
      </c>
      <c r="AW78">
        <v>71</v>
      </c>
      <c r="AX78">
        <f t="shared" si="36"/>
        <v>35.5</v>
      </c>
      <c r="AZ78">
        <f t="shared" si="37"/>
        <v>-20999.620327114204</v>
      </c>
      <c r="BB78">
        <f t="shared" si="38"/>
        <v>-25663.36078951809</v>
      </c>
      <c r="BD78">
        <f t="shared" si="39"/>
        <v>-3413.1949547701852</v>
      </c>
      <c r="BF78">
        <f t="shared" si="40"/>
        <v>868.94313599058648</v>
      </c>
      <c r="BH78">
        <f t="shared" si="25"/>
        <v>965.54566368215865</v>
      </c>
      <c r="BJ78">
        <f t="shared" si="26"/>
        <v>794.06241656197676</v>
      </c>
      <c r="BN78" s="20">
        <f t="shared" si="27"/>
        <v>138.83977880632537</v>
      </c>
      <c r="BP78">
        <f t="shared" si="28"/>
        <v>112.30332475654758</v>
      </c>
      <c r="BR78">
        <f t="shared" si="29"/>
        <v>3.7354459996392002</v>
      </c>
      <c r="BT78">
        <f t="shared" si="30"/>
        <v>133.26915708035119</v>
      </c>
      <c r="BV78">
        <f t="shared" si="31"/>
        <v>822.97043887619407</v>
      </c>
      <c r="BX78">
        <f t="shared" si="32"/>
        <v>548.489934725078</v>
      </c>
      <c r="CB78">
        <f t="shared" si="33"/>
        <v>52733.076582191396</v>
      </c>
      <c r="CD78">
        <f t="shared" si="34"/>
        <v>35677.367386085483</v>
      </c>
      <c r="CF78">
        <f t="shared" si="35"/>
        <v>19227.457292612507</v>
      </c>
    </row>
    <row r="79" spans="12:84" x14ac:dyDescent="0.25">
      <c r="L79">
        <v>68</v>
      </c>
      <c r="M79">
        <f t="shared" si="47"/>
        <v>0.42725660088821177</v>
      </c>
      <c r="P79">
        <f t="shared" si="41"/>
        <v>24550.529853424978</v>
      </c>
      <c r="Q79">
        <f t="shared" si="42"/>
        <v>9571.8779049664208</v>
      </c>
      <c r="V79">
        <f t="shared" si="43"/>
        <v>-16814.629102602514</v>
      </c>
      <c r="W79">
        <f t="shared" si="44"/>
        <v>11450.314533476494</v>
      </c>
      <c r="AB79">
        <f t="shared" si="45"/>
        <v>-449.47014657502132</v>
      </c>
      <c r="AC79">
        <f t="shared" si="46"/>
        <v>-12928.122095033579</v>
      </c>
      <c r="AW79">
        <v>72</v>
      </c>
      <c r="AX79">
        <f t="shared" si="36"/>
        <v>36</v>
      </c>
      <c r="AZ79">
        <f t="shared" si="37"/>
        <v>-22585.524596539028</v>
      </c>
      <c r="BB79">
        <f t="shared" si="38"/>
        <v>-25129.631419452551</v>
      </c>
      <c r="BD79">
        <f t="shared" si="39"/>
        <v>-2930.4221229291061</v>
      </c>
      <c r="BF79">
        <f t="shared" si="40"/>
        <v>1265.9743442715749</v>
      </c>
      <c r="BH79">
        <f t="shared" si="25"/>
        <v>942.325284870102</v>
      </c>
      <c r="BJ79">
        <f t="shared" si="26"/>
        <v>699.32310202262761</v>
      </c>
      <c r="BN79" s="20">
        <f t="shared" si="27"/>
        <v>137.19096612530186</v>
      </c>
      <c r="BP79">
        <f t="shared" si="28"/>
        <v>105.11765913788953</v>
      </c>
      <c r="BR79">
        <f t="shared" si="29"/>
        <v>10.024668236540641</v>
      </c>
      <c r="BT79">
        <f t="shared" si="30"/>
        <v>136.20558888643711</v>
      </c>
      <c r="BV79">
        <f t="shared" si="31"/>
        <v>795.10965050825951</v>
      </c>
      <c r="BX79">
        <f t="shared" si="32"/>
        <v>457.99985399830092</v>
      </c>
      <c r="CB79">
        <f t="shared" si="33"/>
        <v>53649.042412066927</v>
      </c>
      <c r="CD79">
        <f t="shared" si="34"/>
        <v>35224.649623607271</v>
      </c>
      <c r="CF79">
        <f t="shared" si="35"/>
        <v>20294.336846259339</v>
      </c>
    </row>
    <row r="80" spans="12:84" x14ac:dyDescent="0.25">
      <c r="L80">
        <v>69</v>
      </c>
      <c r="M80">
        <f t="shared" si="47"/>
        <v>0.43353978619539135</v>
      </c>
      <c r="P80">
        <f t="shared" si="41"/>
        <v>24537.422122705586</v>
      </c>
      <c r="Q80">
        <f t="shared" si="42"/>
        <v>9600.4286420590306</v>
      </c>
      <c r="V80">
        <f t="shared" si="43"/>
        <v>-16823.80451410609</v>
      </c>
      <c r="W80">
        <f t="shared" si="44"/>
        <v>11470.300049441321</v>
      </c>
      <c r="AB80">
        <f t="shared" si="45"/>
        <v>-462.57787729441498</v>
      </c>
      <c r="AC80">
        <f t="shared" si="46"/>
        <v>-12899.571357940969</v>
      </c>
      <c r="AW80">
        <v>73</v>
      </c>
      <c r="AX80">
        <f t="shared" si="36"/>
        <v>36.5</v>
      </c>
      <c r="AZ80">
        <f t="shared" si="37"/>
        <v>-23932.944997394818</v>
      </c>
      <c r="BB80">
        <f t="shared" si="38"/>
        <v>-24409.228859563933</v>
      </c>
      <c r="BD80">
        <f t="shared" si="39"/>
        <v>-2459.259480494055</v>
      </c>
      <c r="BF80">
        <f t="shared" si="40"/>
        <v>1615.6358952828887</v>
      </c>
      <c r="BH80">
        <f t="shared" si="25"/>
        <v>927.59474687262093</v>
      </c>
      <c r="BJ80">
        <f t="shared" si="26"/>
        <v>624.47019291753247</v>
      </c>
      <c r="BN80" s="20">
        <f t="shared" si="27"/>
        <v>136.67901380487717</v>
      </c>
      <c r="BP80">
        <f t="shared" si="28"/>
        <v>99.272241641391119</v>
      </c>
      <c r="BR80">
        <f t="shared" si="29"/>
        <v>16.012054359425512</v>
      </c>
      <c r="BT80">
        <f t="shared" si="30"/>
        <v>140.08902828038745</v>
      </c>
      <c r="BV80">
        <f t="shared" si="31"/>
        <v>774.90367870831824</v>
      </c>
      <c r="BX80">
        <f t="shared" si="32"/>
        <v>385.10892299575391</v>
      </c>
      <c r="CB80">
        <f t="shared" si="33"/>
        <v>54298.273845087802</v>
      </c>
      <c r="CD80">
        <f t="shared" si="34"/>
        <v>34633.265613603064</v>
      </c>
      <c r="CF80">
        <f t="shared" si="35"/>
        <v>21142.137876904224</v>
      </c>
    </row>
    <row r="81" spans="12:84" x14ac:dyDescent="0.25">
      <c r="L81">
        <v>70</v>
      </c>
      <c r="M81">
        <f t="shared" si="47"/>
        <v>0.43982297150257094</v>
      </c>
      <c r="P81">
        <f t="shared" si="41"/>
        <v>24524.135262330099</v>
      </c>
      <c r="Q81">
        <f t="shared" si="42"/>
        <v>9628.8964578253617</v>
      </c>
      <c r="V81">
        <f t="shared" si="43"/>
        <v>-16833.105316368932</v>
      </c>
      <c r="W81">
        <f t="shared" si="44"/>
        <v>11490.227520477754</v>
      </c>
      <c r="AB81">
        <f t="shared" si="45"/>
        <v>-475.86473766990184</v>
      </c>
      <c r="AC81">
        <f t="shared" si="46"/>
        <v>-12871.103542174638</v>
      </c>
      <c r="AW81">
        <v>74</v>
      </c>
      <c r="AX81">
        <f t="shared" si="36"/>
        <v>37</v>
      </c>
      <c r="AZ81">
        <f t="shared" si="37"/>
        <v>-25046.625394282768</v>
      </c>
      <c r="BB81">
        <f t="shared" si="38"/>
        <v>-23523.352137807797</v>
      </c>
      <c r="BD81">
        <f t="shared" si="39"/>
        <v>-1995.4621070577446</v>
      </c>
      <c r="BF81">
        <f t="shared" si="40"/>
        <v>1927.870991741655</v>
      </c>
      <c r="BH81">
        <f t="shared" si="25"/>
        <v>921.29080124160066</v>
      </c>
      <c r="BJ81">
        <f t="shared" si="26"/>
        <v>563.72198508135875</v>
      </c>
      <c r="BN81" s="20">
        <f t="shared" si="27"/>
        <v>137.2069363325827</v>
      </c>
      <c r="BP81">
        <f t="shared" si="28"/>
        <v>94.493628864277355</v>
      </c>
      <c r="BR81">
        <f t="shared" si="29"/>
        <v>21.850149161868334</v>
      </c>
      <c r="BT81">
        <f t="shared" si="30"/>
        <v>145.14456441462116</v>
      </c>
      <c r="BV81">
        <f t="shared" si="31"/>
        <v>762.23371574714963</v>
      </c>
      <c r="BX81">
        <f t="shared" si="32"/>
        <v>324.08379180246021</v>
      </c>
      <c r="CB81">
        <f t="shared" si="33"/>
        <v>54695.949002455971</v>
      </c>
      <c r="CD81">
        <f t="shared" si="34"/>
        <v>33901.085033162031</v>
      </c>
      <c r="CF81">
        <f t="shared" si="35"/>
        <v>21783.358817312252</v>
      </c>
    </row>
    <row r="82" spans="12:84" x14ac:dyDescent="0.25">
      <c r="L82">
        <v>71</v>
      </c>
      <c r="M82">
        <f t="shared" si="47"/>
        <v>0.44610615680975052</v>
      </c>
      <c r="P82">
        <f t="shared" si="41"/>
        <v>24510.669796841015</v>
      </c>
      <c r="Q82">
        <f t="shared" si="42"/>
        <v>9657.2802284047939</v>
      </c>
      <c r="V82">
        <f t="shared" si="43"/>
        <v>-16842.53114221129</v>
      </c>
      <c r="W82">
        <f t="shared" si="44"/>
        <v>11510.096159883356</v>
      </c>
      <c r="AB82">
        <f t="shared" si="45"/>
        <v>-489.33020315898557</v>
      </c>
      <c r="AC82">
        <f t="shared" si="46"/>
        <v>-12842.719771595206</v>
      </c>
      <c r="AW82">
        <v>75</v>
      </c>
      <c r="AX82">
        <f t="shared" si="36"/>
        <v>37.5</v>
      </c>
      <c r="AZ82">
        <f t="shared" si="37"/>
        <v>-25929.19509765644</v>
      </c>
      <c r="BB82">
        <f t="shared" si="38"/>
        <v>-22488.951393801799</v>
      </c>
      <c r="BD82">
        <f t="shared" si="39"/>
        <v>-1534.8167064369443</v>
      </c>
      <c r="BF82">
        <f t="shared" si="40"/>
        <v>2209.7319842823345</v>
      </c>
      <c r="BH82">
        <f t="shared" si="25"/>
        <v>923.15000166614436</v>
      </c>
      <c r="BJ82">
        <f t="shared" si="26"/>
        <v>513.01727168422099</v>
      </c>
      <c r="BN82" s="20">
        <f t="shared" si="27"/>
        <v>138.73702562518571</v>
      </c>
      <c r="BP82">
        <f t="shared" si="28"/>
        <v>90.586780568393308</v>
      </c>
      <c r="BR82">
        <f t="shared" si="29"/>
        <v>27.67641985079641</v>
      </c>
      <c r="BT82">
        <f t="shared" si="30"/>
        <v>151.65260115026115</v>
      </c>
      <c r="BV82">
        <f t="shared" si="31"/>
        <v>756.73655619016222</v>
      </c>
      <c r="BX82">
        <f t="shared" si="32"/>
        <v>270.77788996556649</v>
      </c>
      <c r="CB82">
        <f t="shared" si="33"/>
        <v>54852.786328666982</v>
      </c>
      <c r="CD82">
        <f t="shared" si="34"/>
        <v>33025.555516522189</v>
      </c>
      <c r="CF82">
        <f t="shared" si="35"/>
        <v>22228.711173041327</v>
      </c>
    </row>
    <row r="83" spans="12:84" x14ac:dyDescent="0.25">
      <c r="L83">
        <v>72</v>
      </c>
      <c r="M83">
        <f t="shared" si="47"/>
        <v>0.4523893421169301</v>
      </c>
      <c r="P83">
        <f t="shared" si="41"/>
        <v>24497.026257831854</v>
      </c>
      <c r="Q83">
        <f t="shared" si="42"/>
        <v>9685.5788332546636</v>
      </c>
      <c r="V83">
        <f t="shared" si="43"/>
        <v>-16852.081619517703</v>
      </c>
      <c r="W83">
        <f t="shared" si="44"/>
        <v>11529.905183278264</v>
      </c>
      <c r="AB83">
        <f t="shared" si="45"/>
        <v>-502.97374216814478</v>
      </c>
      <c r="AC83">
        <f t="shared" si="46"/>
        <v>-12814.421166745336</v>
      </c>
      <c r="AW83">
        <v>76</v>
      </c>
      <c r="AX83">
        <f t="shared" si="36"/>
        <v>38</v>
      </c>
      <c r="AZ83">
        <f t="shared" si="37"/>
        <v>-26581.209700666644</v>
      </c>
      <c r="BB83">
        <f t="shared" si="38"/>
        <v>-21319.958242700104</v>
      </c>
      <c r="BD83">
        <f t="shared" si="39"/>
        <v>-1073.2417056038721</v>
      </c>
      <c r="BF83">
        <f t="shared" si="40"/>
        <v>2466.2406201244448</v>
      </c>
      <c r="BH83">
        <f t="shared" si="25"/>
        <v>932.94748147331995</v>
      </c>
      <c r="BJ83">
        <f t="shared" si="26"/>
        <v>469.38095830760739</v>
      </c>
      <c r="BN83" s="20">
        <f t="shared" si="27"/>
        <v>141.28074747942642</v>
      </c>
      <c r="BP83">
        <f t="shared" si="28"/>
        <v>87.410895273427286</v>
      </c>
      <c r="BR83">
        <f t="shared" si="29"/>
        <v>33.615985508580913</v>
      </c>
      <c r="BT83">
        <f t="shared" si="30"/>
        <v>159.97837940178644</v>
      </c>
      <c r="BV83">
        <f t="shared" si="31"/>
        <v>758.05074848531262</v>
      </c>
      <c r="BX83">
        <f t="shared" si="32"/>
        <v>221.99168363239366</v>
      </c>
      <c r="CB83">
        <f t="shared" si="33"/>
        <v>54775.89880858604</v>
      </c>
      <c r="CD83">
        <f t="shared" si="34"/>
        <v>32003.938905213323</v>
      </c>
      <c r="CF83">
        <f t="shared" si="35"/>
        <v>22487.562881148795</v>
      </c>
    </row>
    <row r="84" spans="12:84" x14ac:dyDescent="0.25">
      <c r="L84">
        <v>73</v>
      </c>
      <c r="M84">
        <f t="shared" si="47"/>
        <v>0.45867252742410969</v>
      </c>
      <c r="P84">
        <f t="shared" si="41"/>
        <v>24483.20518392618</v>
      </c>
      <c r="Q84">
        <f t="shared" si="42"/>
        <v>9713.7911551945072</v>
      </c>
      <c r="V84">
        <f t="shared" si="43"/>
        <v>-16861.756371251675</v>
      </c>
      <c r="W84">
        <f t="shared" si="44"/>
        <v>11549.653808636154</v>
      </c>
      <c r="AB84">
        <f t="shared" si="45"/>
        <v>-516.79481607382058</v>
      </c>
      <c r="AC84">
        <f t="shared" si="46"/>
        <v>-12786.208844805493</v>
      </c>
      <c r="AW84">
        <v>77</v>
      </c>
      <c r="AX84">
        <f t="shared" si="36"/>
        <v>38.5</v>
      </c>
      <c r="AZ84">
        <f t="shared" si="37"/>
        <v>-27001.212118284413</v>
      </c>
      <c r="BB84">
        <f t="shared" si="38"/>
        <v>-20028.165312849429</v>
      </c>
      <c r="BD84">
        <f t="shared" si="39"/>
        <v>-606.76796486721219</v>
      </c>
      <c r="BF84">
        <f t="shared" si="40"/>
        <v>2700.9310992782484</v>
      </c>
      <c r="BH84">
        <f t="shared" si="25"/>
        <v>950.55395946000897</v>
      </c>
      <c r="BJ84">
        <f t="shared" si="26"/>
        <v>430.51125193857575</v>
      </c>
      <c r="BN84" s="20">
        <f t="shared" si="27"/>
        <v>144.89564096845675</v>
      </c>
      <c r="BP84">
        <f t="shared" si="28"/>
        <v>84.864006222921788</v>
      </c>
      <c r="BR84">
        <f t="shared" si="29"/>
        <v>39.779235595580325</v>
      </c>
      <c r="BT84">
        <f t="shared" si="30"/>
        <v>170.61295134356988</v>
      </c>
      <c r="BV84">
        <f t="shared" si="31"/>
        <v>765.87908289597192</v>
      </c>
      <c r="BX84">
        <f t="shared" si="32"/>
        <v>175.0342943720841</v>
      </c>
      <c r="CB84">
        <f t="shared" si="33"/>
        <v>54469.384300536498</v>
      </c>
      <c r="CD84">
        <f t="shared" si="34"/>
        <v>30833.548014800799</v>
      </c>
      <c r="CF84">
        <f t="shared" si="35"/>
        <v>22568.468735983995</v>
      </c>
    </row>
    <row r="85" spans="12:84" x14ac:dyDescent="0.25">
      <c r="L85">
        <v>74</v>
      </c>
      <c r="M85">
        <f t="shared" si="47"/>
        <v>0.46495571273128927</v>
      </c>
      <c r="P85">
        <f t="shared" si="41"/>
        <v>24469.20712075632</v>
      </c>
      <c r="Q85">
        <f t="shared" si="42"/>
        <v>9741.9160804501607</v>
      </c>
      <c r="V85">
        <f t="shared" si="43"/>
        <v>-16871.555015470578</v>
      </c>
      <c r="W85">
        <f t="shared" si="44"/>
        <v>11569.341256315112</v>
      </c>
      <c r="AB85">
        <f t="shared" si="45"/>
        <v>-530.79287924368055</v>
      </c>
      <c r="AC85">
        <f t="shared" si="46"/>
        <v>-12758.083919549839</v>
      </c>
      <c r="AW85">
        <v>78</v>
      </c>
      <c r="AX85">
        <f t="shared" si="36"/>
        <v>39</v>
      </c>
      <c r="AZ85">
        <f t="shared" si="37"/>
        <v>-27185.77685578552</v>
      </c>
      <c r="BB85">
        <f t="shared" si="38"/>
        <v>-18623.885856717981</v>
      </c>
      <c r="BD85">
        <f t="shared" si="39"/>
        <v>-131.4909851372077</v>
      </c>
      <c r="BF85">
        <f t="shared" si="40"/>
        <v>2916.1867252475363</v>
      </c>
      <c r="BH85">
        <f t="shared" si="25"/>
        <v>975.89866403943267</v>
      </c>
      <c r="BJ85">
        <f t="shared" si="26"/>
        <v>394.50647324142284</v>
      </c>
      <c r="BN85" s="20">
        <f t="shared" si="27"/>
        <v>149.68773042009741</v>
      </c>
      <c r="BP85">
        <f t="shared" si="28"/>
        <v>82.872963935663861</v>
      </c>
      <c r="BR85">
        <f t="shared" si="29"/>
        <v>46.24997184286574</v>
      </c>
      <c r="BT85">
        <f t="shared" si="30"/>
        <v>184.23253901082785</v>
      </c>
      <c r="BV85">
        <f t="shared" si="31"/>
        <v>779.9609617764695</v>
      </c>
      <c r="BX85">
        <f t="shared" si="32"/>
        <v>127.40097029493114</v>
      </c>
      <c r="CB85">
        <f t="shared" si="33"/>
        <v>53934.728605406126</v>
      </c>
      <c r="CD85">
        <f t="shared" si="34"/>
        <v>29512.069235476571</v>
      </c>
      <c r="CF85">
        <f t="shared" si="35"/>
        <v>22479.796337983782</v>
      </c>
    </row>
    <row r="86" spans="12:84" x14ac:dyDescent="0.25">
      <c r="L86">
        <v>75</v>
      </c>
      <c r="M86">
        <f t="shared" si="47"/>
        <v>0.47123889803846886</v>
      </c>
      <c r="P86">
        <f t="shared" si="41"/>
        <v>24455.032620941842</v>
      </c>
      <c r="Q86">
        <f t="shared" si="42"/>
        <v>9769.952498697734</v>
      </c>
      <c r="V86">
        <f t="shared" si="43"/>
        <v>-16881.477165340712</v>
      </c>
      <c r="W86">
        <f t="shared" si="44"/>
        <v>11588.966749088413</v>
      </c>
      <c r="AB86">
        <f t="shared" si="45"/>
        <v>-544.96737905816008</v>
      </c>
      <c r="AC86">
        <f t="shared" si="46"/>
        <v>-12730.047501302266</v>
      </c>
      <c r="AW86">
        <v>79</v>
      </c>
      <c r="AX86">
        <f t="shared" si="36"/>
        <v>39.5</v>
      </c>
      <c r="AZ86">
        <f t="shared" si="37"/>
        <v>-27129.535015349193</v>
      </c>
      <c r="BB86">
        <f t="shared" si="38"/>
        <v>-17116.479184939035</v>
      </c>
      <c r="BD86">
        <f t="shared" si="39"/>
        <v>356.45834688250864</v>
      </c>
      <c r="BF86">
        <f t="shared" si="40"/>
        <v>3113.4399618682478</v>
      </c>
      <c r="BH86">
        <f t="shared" si="25"/>
        <v>1008.8487196824117</v>
      </c>
      <c r="BJ86">
        <f t="shared" si="26"/>
        <v>359.68326338299784</v>
      </c>
      <c r="BN86" s="20">
        <f t="shared" si="27"/>
        <v>155.81927095170428</v>
      </c>
      <c r="BP86">
        <f t="shared" si="28"/>
        <v>81.386795748054425</v>
      </c>
      <c r="BR86">
        <f t="shared" si="29"/>
        <v>53.054218909061412</v>
      </c>
      <c r="BT86">
        <f t="shared" si="30"/>
        <v>201.78645867135842</v>
      </c>
      <c r="BV86">
        <f t="shared" si="31"/>
        <v>799.97522982164605</v>
      </c>
      <c r="BX86">
        <f t="shared" si="32"/>
        <v>76.510008963584994</v>
      </c>
      <c r="CB86">
        <f t="shared" si="33"/>
        <v>53171.083478010507</v>
      </c>
      <c r="CD86">
        <f t="shared" si="34"/>
        <v>28038.076127336593</v>
      </c>
      <c r="CF86">
        <f t="shared" si="35"/>
        <v>22230.515156780471</v>
      </c>
    </row>
    <row r="87" spans="12:84" x14ac:dyDescent="0.25">
      <c r="L87">
        <v>76</v>
      </c>
      <c r="M87">
        <f t="shared" si="47"/>
        <v>0.47752208334564844</v>
      </c>
      <c r="P87">
        <f t="shared" si="41"/>
        <v>24440.682244067724</v>
      </c>
      <c r="Q87">
        <f t="shared" si="42"/>
        <v>9797.8993031074388</v>
      </c>
      <c r="V87">
        <f t="shared" si="43"/>
        <v>-16891.522429152596</v>
      </c>
      <c r="W87">
        <f t="shared" si="44"/>
        <v>11608.529512175208</v>
      </c>
      <c r="AB87">
        <f t="shared" si="45"/>
        <v>-559.31775593227667</v>
      </c>
      <c r="AC87">
        <f t="shared" si="46"/>
        <v>-12702.100696892561</v>
      </c>
      <c r="AW87">
        <v>80</v>
      </c>
      <c r="AX87">
        <f t="shared" si="36"/>
        <v>40</v>
      </c>
      <c r="AZ87">
        <f t="shared" si="37"/>
        <v>-26825.199751947639</v>
      </c>
      <c r="BB87">
        <f t="shared" si="38"/>
        <v>-15514.798796082037</v>
      </c>
      <c r="BD87">
        <f t="shared" si="39"/>
        <v>860.88270672371448</v>
      </c>
      <c r="BF87">
        <f t="shared" si="40"/>
        <v>3293.2815935597469</v>
      </c>
      <c r="BH87">
        <f t="shared" si="25"/>
        <v>1048.9639396332898</v>
      </c>
      <c r="BJ87">
        <f t="shared" si="26"/>
        <v>324.46765522948613</v>
      </c>
      <c r="BN87" s="20">
        <f t="shared" si="27"/>
        <v>163.52269858384912</v>
      </c>
      <c r="BP87">
        <f t="shared" si="28"/>
        <v>80.372150603439138</v>
      </c>
      <c r="BR87">
        <f t="shared" si="29"/>
        <v>60.087803821288801</v>
      </c>
      <c r="BT87">
        <f t="shared" si="30"/>
        <v>224.62759777267178</v>
      </c>
      <c r="BV87">
        <f t="shared" si="31"/>
        <v>825.35343722815185</v>
      </c>
      <c r="BX87">
        <f t="shared" si="32"/>
        <v>19.46790685337519</v>
      </c>
      <c r="CB87">
        <f t="shared" si="33"/>
        <v>52175.475996237321</v>
      </c>
      <c r="CD87">
        <f t="shared" si="34"/>
        <v>26411.897115855492</v>
      </c>
      <c r="CF87">
        <f t="shared" si="35"/>
        <v>21831.270279414864</v>
      </c>
    </row>
    <row r="88" spans="12:84" x14ac:dyDescent="0.25">
      <c r="L88">
        <v>77</v>
      </c>
      <c r="M88">
        <f t="shared" si="47"/>
        <v>0.48380526865282802</v>
      </c>
      <c r="P88">
        <f t="shared" si="41"/>
        <v>24426.156556662278</v>
      </c>
      <c r="Q88">
        <f t="shared" si="42"/>
        <v>9825.7553903872904</v>
      </c>
      <c r="V88">
        <f t="shared" si="43"/>
        <v>-16901.690410336407</v>
      </c>
      <c r="W88">
        <f t="shared" si="44"/>
        <v>11628.028773271104</v>
      </c>
      <c r="AB88">
        <f t="shared" si="45"/>
        <v>-573.84344333772333</v>
      </c>
      <c r="AC88">
        <f t="shared" si="46"/>
        <v>-12674.24460961271</v>
      </c>
      <c r="AW88">
        <v>81</v>
      </c>
      <c r="AX88">
        <f t="shared" si="36"/>
        <v>40.5</v>
      </c>
      <c r="AZ88">
        <f t="shared" si="37"/>
        <v>-26263.637906131622</v>
      </c>
      <c r="BB88">
        <f t="shared" si="38"/>
        <v>-13827.599542398479</v>
      </c>
      <c r="BD88">
        <f t="shared" si="39"/>
        <v>1385.3646765403594</v>
      </c>
      <c r="BF88">
        <f t="shared" si="40"/>
        <v>3455.5154211744898</v>
      </c>
      <c r="BH88">
        <f t="shared" si="25"/>
        <v>1095.0251596258488</v>
      </c>
      <c r="BJ88">
        <f t="shared" si="26"/>
        <v>287.37138396438547</v>
      </c>
      <c r="BN88" s="20">
        <f t="shared" si="27"/>
        <v>173.12275502535235</v>
      </c>
      <c r="BP88">
        <f t="shared" si="28"/>
        <v>79.80982382641605</v>
      </c>
      <c r="BR88">
        <f t="shared" si="29"/>
        <v>66.953900349416244</v>
      </c>
      <c r="BT88">
        <f t="shared" si="30"/>
        <v>254.70034335251364</v>
      </c>
      <c r="BV88">
        <f t="shared" si="31"/>
        <v>854.94850425108029</v>
      </c>
      <c r="BX88">
        <f t="shared" si="32"/>
        <v>-47.138783214544191</v>
      </c>
      <c r="CB88">
        <f t="shared" si="33"/>
        <v>50943.014187919573</v>
      </c>
      <c r="CD88">
        <f t="shared" si="34"/>
        <v>24637.119551035932</v>
      </c>
      <c r="CF88">
        <f t="shared" si="35"/>
        <v>21295.934349919044</v>
      </c>
    </row>
    <row r="89" spans="12:84" x14ac:dyDescent="0.25">
      <c r="L89">
        <v>78</v>
      </c>
      <c r="M89">
        <f t="shared" si="47"/>
        <v>0.49008845396000761</v>
      </c>
      <c r="P89">
        <f t="shared" si="41"/>
        <v>24411.456132174768</v>
      </c>
      <c r="Q89">
        <f t="shared" si="42"/>
        <v>9853.5196608266633</v>
      </c>
      <c r="V89">
        <f t="shared" si="43"/>
        <v>-16911.980707477662</v>
      </c>
      <c r="W89">
        <f t="shared" si="44"/>
        <v>11647.463762578664</v>
      </c>
      <c r="AB89">
        <f t="shared" si="45"/>
        <v>-588.54386782523306</v>
      </c>
      <c r="AC89">
        <f t="shared" si="46"/>
        <v>-12646.480339173337</v>
      </c>
      <c r="AW89">
        <v>82</v>
      </c>
      <c r="AX89">
        <f t="shared" si="36"/>
        <v>41</v>
      </c>
      <c r="AZ89">
        <f t="shared" si="37"/>
        <v>-25434.077422908209</v>
      </c>
      <c r="BB89">
        <f t="shared" si="38"/>
        <v>-12063.920408815686</v>
      </c>
      <c r="BD89">
        <f t="shared" si="39"/>
        <v>1932.8772563532839</v>
      </c>
      <c r="BF89">
        <f t="shared" si="40"/>
        <v>3599.2011131566824</v>
      </c>
      <c r="BH89">
        <f t="shared" si="25"/>
        <v>1144.1376472607503</v>
      </c>
      <c r="BJ89">
        <f t="shared" si="26"/>
        <v>247.1031869503804</v>
      </c>
      <c r="BN89" s="20">
        <f t="shared" si="27"/>
        <v>185.07012218235124</v>
      </c>
      <c r="BP89">
        <f t="shared" si="28"/>
        <v>79.691221783227633</v>
      </c>
      <c r="BR89">
        <f t="shared" si="29"/>
        <v>72.601790372878696</v>
      </c>
      <c r="BT89">
        <f t="shared" si="30"/>
        <v>294.78419235834554</v>
      </c>
      <c r="BV89">
        <f t="shared" si="31"/>
        <v>886.4657347055205</v>
      </c>
      <c r="BX89">
        <f t="shared" si="32"/>
        <v>-127.37222719119278</v>
      </c>
      <c r="CB89">
        <f t="shared" si="33"/>
        <v>49467.184810066683</v>
      </c>
      <c r="CD89">
        <f t="shared" si="34"/>
        <v>22723.243193802991</v>
      </c>
      <c r="CF89">
        <f t="shared" si="35"/>
        <v>20643.935755838225</v>
      </c>
    </row>
    <row r="90" spans="12:84" x14ac:dyDescent="0.25">
      <c r="L90">
        <v>79</v>
      </c>
      <c r="M90">
        <f t="shared" si="47"/>
        <v>0.49637163926718719</v>
      </c>
      <c r="P90">
        <f t="shared" si="41"/>
        <v>24396.581550952782</v>
      </c>
      <c r="Q90">
        <f t="shared" si="42"/>
        <v>9881.191018339694</v>
      </c>
      <c r="V90">
        <f t="shared" si="43"/>
        <v>-16922.392914333053</v>
      </c>
      <c r="W90">
        <f t="shared" si="44"/>
        <v>11666.833712837786</v>
      </c>
      <c r="AB90">
        <f t="shared" si="45"/>
        <v>-603.41844904721802</v>
      </c>
      <c r="AC90">
        <f t="shared" si="46"/>
        <v>-12618.808981660306</v>
      </c>
      <c r="AW90">
        <v>83</v>
      </c>
      <c r="AX90">
        <f t="shared" si="36"/>
        <v>41.5</v>
      </c>
      <c r="AZ90">
        <f t="shared" si="37"/>
        <v>-24324.621588823975</v>
      </c>
      <c r="BB90">
        <f t="shared" si="38"/>
        <v>-10233.431953868547</v>
      </c>
      <c r="BD90">
        <f t="shared" si="39"/>
        <v>2504.9460799836588</v>
      </c>
      <c r="BF90">
        <f t="shared" si="40"/>
        <v>3722.7527066318726</v>
      </c>
      <c r="BH90">
        <f t="shared" si="25"/>
        <v>1190.0583313273023</v>
      </c>
      <c r="BJ90">
        <f t="shared" si="26"/>
        <v>202.89214994116452</v>
      </c>
      <c r="BN90" s="20">
        <f t="shared" si="27"/>
        <v>199.99163436963667</v>
      </c>
      <c r="BP90">
        <f t="shared" si="28"/>
        <v>80.012821594649211</v>
      </c>
      <c r="BR90">
        <f t="shared" si="29"/>
        <v>74.53062403558377</v>
      </c>
      <c r="BT90">
        <f t="shared" si="30"/>
        <v>348.70341345019915</v>
      </c>
      <c r="BV90">
        <f t="shared" si="31"/>
        <v>915.53607292208198</v>
      </c>
      <c r="BX90">
        <f t="shared" si="32"/>
        <v>-225.82408510368384</v>
      </c>
      <c r="CB90">
        <f t="shared" si="33"/>
        <v>47740.409380889549</v>
      </c>
      <c r="CD90">
        <f t="shared" si="34"/>
        <v>20690.435484018963</v>
      </c>
      <c r="CF90">
        <f t="shared" si="35"/>
        <v>19903.797891097143</v>
      </c>
    </row>
    <row r="91" spans="12:84" x14ac:dyDescent="0.25">
      <c r="L91">
        <v>80</v>
      </c>
      <c r="M91">
        <f t="shared" si="47"/>
        <v>0.50265482457436683</v>
      </c>
      <c r="P91">
        <f t="shared" si="41"/>
        <v>24381.533400219319</v>
      </c>
      <c r="Q91">
        <f t="shared" si="42"/>
        <v>9908.7683705085765</v>
      </c>
      <c r="V91">
        <f t="shared" si="43"/>
        <v>-16932.926619846476</v>
      </c>
      <c r="W91">
        <f t="shared" si="44"/>
        <v>11686.137859356004</v>
      </c>
      <c r="AB91">
        <f t="shared" si="45"/>
        <v>-618.46659978068237</v>
      </c>
      <c r="AC91">
        <f t="shared" si="46"/>
        <v>-12591.231629491424</v>
      </c>
      <c r="AW91">
        <v>84</v>
      </c>
      <c r="AX91">
        <f t="shared" si="36"/>
        <v>42</v>
      </c>
      <c r="AZ91">
        <f t="shared" si="37"/>
        <v>-22923.391257416231</v>
      </c>
      <c r="BB91">
        <f t="shared" si="38"/>
        <v>-8346.6940818099647</v>
      </c>
      <c r="BD91">
        <f t="shared" si="39"/>
        <v>3099.9752456473097</v>
      </c>
      <c r="BF91">
        <f t="shared" si="40"/>
        <v>3824.1987816024548</v>
      </c>
      <c r="BH91">
        <f t="shared" si="25"/>
        <v>1220.2295908728706</v>
      </c>
      <c r="BJ91">
        <f t="shared" si="26"/>
        <v>154.99672722329859</v>
      </c>
      <c r="BN91" s="20">
        <f t="shared" si="27"/>
        <v>218.76393587895433</v>
      </c>
      <c r="BP91">
        <f t="shared" si="28"/>
        <v>80.764475183621755</v>
      </c>
      <c r="BR91">
        <f t="shared" si="29"/>
        <v>67.095236305507342</v>
      </c>
      <c r="BT91">
        <f t="shared" si="30"/>
        <v>421.07801058824418</v>
      </c>
      <c r="BV91">
        <f t="shared" si="31"/>
        <v>934.3704186884089</v>
      </c>
      <c r="BX91">
        <f t="shared" si="32"/>
        <v>-346.84575854856735</v>
      </c>
      <c r="CB91">
        <f t="shared" si="33"/>
        <v>45755.166160333276</v>
      </c>
      <c r="CD91">
        <f t="shared" si="34"/>
        <v>18578.143076622549</v>
      </c>
      <c r="CF91">
        <f t="shared" si="35"/>
        <v>19118.431782116626</v>
      </c>
    </row>
    <row r="92" spans="12:84" x14ac:dyDescent="0.25">
      <c r="L92">
        <v>81</v>
      </c>
      <c r="M92">
        <f t="shared" si="47"/>
        <v>0.50893800988154647</v>
      </c>
      <c r="P92">
        <f t="shared" si="41"/>
        <v>24366.3122740496</v>
      </c>
      <c r="Q92">
        <f t="shared" si="42"/>
        <v>9936.2506286266616</v>
      </c>
      <c r="V92">
        <f t="shared" si="43"/>
        <v>-16943.581408165279</v>
      </c>
      <c r="W92">
        <f t="shared" si="44"/>
        <v>11705.375440038662</v>
      </c>
      <c r="AB92">
        <f t="shared" si="45"/>
        <v>-633.687725950399</v>
      </c>
      <c r="AC92">
        <f t="shared" si="46"/>
        <v>-12563.749371373338</v>
      </c>
      <c r="AW92">
        <v>85</v>
      </c>
      <c r="AX92">
        <f t="shared" si="36"/>
        <v>42.5</v>
      </c>
      <c r="AZ92">
        <f t="shared" si="37"/>
        <v>-21220.874935733467</v>
      </c>
      <c r="BB92">
        <f t="shared" si="38"/>
        <v>-6415.2201001058247</v>
      </c>
      <c r="BD92">
        <f t="shared" si="39"/>
        <v>3710.0900410837448</v>
      </c>
      <c r="BF92">
        <f t="shared" si="40"/>
        <v>3901.6971452141042</v>
      </c>
      <c r="BH92">
        <f t="shared" si="25"/>
        <v>1211.2369963692365</v>
      </c>
      <c r="BJ92">
        <f t="shared" si="26"/>
        <v>104.67333499051676</v>
      </c>
      <c r="BN92" s="20">
        <f t="shared" si="27"/>
        <v>242.61757441146068</v>
      </c>
      <c r="BP92">
        <f t="shared" si="28"/>
        <v>81.902117637067221</v>
      </c>
      <c r="BR92">
        <f t="shared" si="29"/>
        <v>38.31252505359393</v>
      </c>
      <c r="BT92">
        <f t="shared" si="30"/>
        <v>515.1293657836726</v>
      </c>
      <c r="BV92">
        <f t="shared" si="31"/>
        <v>930.30689690418194</v>
      </c>
      <c r="BX92">
        <f t="shared" si="32"/>
        <v>-492.35814843022308</v>
      </c>
      <c r="CB92">
        <f t="shared" si="33"/>
        <v>43506.251055472116</v>
      </c>
      <c r="CD92">
        <f t="shared" si="34"/>
        <v>16460.558512505595</v>
      </c>
      <c r="CF92">
        <f t="shared" si="35"/>
        <v>18352.526518447896</v>
      </c>
    </row>
    <row r="93" spans="12:84" x14ac:dyDescent="0.25">
      <c r="L93">
        <v>82</v>
      </c>
      <c r="M93">
        <f t="shared" si="47"/>
        <v>0.51522119518872611</v>
      </c>
      <c r="P93">
        <f t="shared" si="41"/>
        <v>24350.918773347628</v>
      </c>
      <c r="Q93">
        <f t="shared" si="42"/>
        <v>9963.6367077414579</v>
      </c>
      <c r="V93">
        <f t="shared" si="43"/>
        <v>-16954.356858656662</v>
      </c>
      <c r="W93">
        <f t="shared" si="44"/>
        <v>11724.545695419019</v>
      </c>
      <c r="AB93">
        <f t="shared" si="45"/>
        <v>-649.0812266523717</v>
      </c>
      <c r="AC93">
        <f t="shared" si="46"/>
        <v>-12536.363292258542</v>
      </c>
      <c r="AW93">
        <v>86</v>
      </c>
      <c r="AX93">
        <f t="shared" si="36"/>
        <v>43</v>
      </c>
      <c r="AZ93">
        <f t="shared" si="37"/>
        <v>-19214.425290645442</v>
      </c>
      <c r="BB93">
        <f t="shared" si="38"/>
        <v>-4451.2873606249577</v>
      </c>
      <c r="BD93">
        <f t="shared" si="39"/>
        <v>4315.708539268363</v>
      </c>
      <c r="BF93">
        <f t="shared" si="40"/>
        <v>3954.0338127093628</v>
      </c>
      <c r="BH93">
        <f t="shared" si="25"/>
        <v>1125.023250175997</v>
      </c>
      <c r="BJ93">
        <f t="shared" si="26"/>
        <v>50.611235954688937</v>
      </c>
      <c r="BN93" s="20">
        <f t="shared" si="27"/>
        <v>273.27084900301583</v>
      </c>
      <c r="BP93">
        <f t="shared" si="28"/>
        <v>83.284108322660543</v>
      </c>
      <c r="BR93">
        <f t="shared" si="29"/>
        <v>-33.954567709114947</v>
      </c>
      <c r="BT93">
        <f t="shared" si="30"/>
        <v>624.62196061960094</v>
      </c>
      <c r="BV93">
        <f t="shared" si="31"/>
        <v>885.70696888209602</v>
      </c>
      <c r="BX93">
        <f t="shared" si="32"/>
        <v>-657.29483298757259</v>
      </c>
      <c r="CB93">
        <f t="shared" si="33"/>
        <v>40995.175575326502</v>
      </c>
      <c r="CD93">
        <f t="shared" si="34"/>
        <v>14472.623604700571</v>
      </c>
      <c r="CF93">
        <f t="shared" si="35"/>
        <v>17700.995019813196</v>
      </c>
    </row>
    <row r="94" spans="12:84" x14ac:dyDescent="0.25">
      <c r="L94">
        <v>83</v>
      </c>
      <c r="M94">
        <f t="shared" si="47"/>
        <v>0.52150438049590575</v>
      </c>
      <c r="P94">
        <f t="shared" si="41"/>
        <v>24335.353505822452</v>
      </c>
      <c r="Q94">
        <f t="shared" si="42"/>
        <v>9990.9255266974542</v>
      </c>
      <c r="V94">
        <f t="shared" si="43"/>
        <v>-16965.252545924286</v>
      </c>
      <c r="W94">
        <f t="shared" si="44"/>
        <v>11743.647868688218</v>
      </c>
      <c r="AB94">
        <f t="shared" si="45"/>
        <v>-664.64649417755027</v>
      </c>
      <c r="AC94">
        <f t="shared" si="46"/>
        <v>-12509.074473302546</v>
      </c>
      <c r="AW94">
        <v>87</v>
      </c>
      <c r="AX94">
        <f t="shared" si="36"/>
        <v>43.5</v>
      </c>
      <c r="AZ94">
        <f t="shared" si="37"/>
        <v>-16915.943114739261</v>
      </c>
      <c r="BB94">
        <f t="shared" si="38"/>
        <v>-2467.9440497759401</v>
      </c>
      <c r="BD94">
        <f t="shared" si="39"/>
        <v>4878.2201643563612</v>
      </c>
      <c r="BF94">
        <f t="shared" si="40"/>
        <v>3979.3394306867071</v>
      </c>
      <c r="BH94">
        <f t="shared" si="25"/>
        <v>918.7926245257695</v>
      </c>
      <c r="BJ94">
        <f t="shared" si="26"/>
        <v>-23.183864882604098</v>
      </c>
      <c r="BN94" s="20">
        <f t="shared" si="27"/>
        <v>313.06162837512767</v>
      </c>
      <c r="BP94">
        <f t="shared" si="28"/>
        <v>84.532062097827875</v>
      </c>
      <c r="BR94">
        <f t="shared" si="29"/>
        <v>-176.97547438442888</v>
      </c>
      <c r="BT94">
        <f t="shared" si="30"/>
        <v>715.46031571368565</v>
      </c>
      <c r="BV94">
        <f t="shared" si="31"/>
        <v>782.70647053507071</v>
      </c>
      <c r="BX94">
        <f t="shared" si="32"/>
        <v>-823.1762426941176</v>
      </c>
      <c r="CB94">
        <f t="shared" si="33"/>
        <v>38238.027729344627</v>
      </c>
      <c r="CD94">
        <f t="shared" si="34"/>
        <v>12843.715805788739</v>
      </c>
      <c r="CF94">
        <f t="shared" si="35"/>
        <v>17292.834546518054</v>
      </c>
    </row>
    <row r="95" spans="12:84" x14ac:dyDescent="0.25">
      <c r="L95">
        <v>84</v>
      </c>
      <c r="M95">
        <f t="shared" si="47"/>
        <v>0.52778756580308539</v>
      </c>
      <c r="P95">
        <f t="shared" si="41"/>
        <v>24319.617085964175</v>
      </c>
      <c r="Q95">
        <f t="shared" si="42"/>
        <v>10018.116008178804</v>
      </c>
      <c r="V95">
        <f t="shared" si="43"/>
        <v>-16976.268039825078</v>
      </c>
      <c r="W95">
        <f t="shared" si="44"/>
        <v>11762.681205725163</v>
      </c>
      <c r="AB95">
        <f t="shared" si="45"/>
        <v>-680.38291403582389</v>
      </c>
      <c r="AC95">
        <f t="shared" si="46"/>
        <v>-12481.883991821196</v>
      </c>
      <c r="AW95">
        <v>88</v>
      </c>
      <c r="AX95">
        <f t="shared" si="36"/>
        <v>44</v>
      </c>
      <c r="AZ95">
        <f t="shared" si="37"/>
        <v>-14361.983954495359</v>
      </c>
      <c r="BB95">
        <f t="shared" si="38"/>
        <v>-481.17231754291208</v>
      </c>
      <c r="BD95">
        <f t="shared" si="39"/>
        <v>5337.616476619246</v>
      </c>
      <c r="BF95">
        <f t="shared" si="40"/>
        <v>3967.747498245405</v>
      </c>
      <c r="BH95">
        <f t="shared" si="25"/>
        <v>596.63766480476488</v>
      </c>
      <c r="BJ95">
        <f t="shared" si="26"/>
        <v>-155.94646924360961</v>
      </c>
      <c r="BN95" s="20">
        <f t="shared" si="27"/>
        <v>364.97428538348885</v>
      </c>
      <c r="BP95">
        <f t="shared" si="28"/>
        <v>84.771667054359042</v>
      </c>
      <c r="BR95">
        <f t="shared" si="29"/>
        <v>-384.67192852976501</v>
      </c>
      <c r="BT95">
        <f t="shared" si="30"/>
        <v>715.11197132131326</v>
      </c>
      <c r="BV95">
        <f t="shared" si="31"/>
        <v>616.33530795104105</v>
      </c>
      <c r="BX95">
        <f t="shared" si="32"/>
        <v>-955.83010761928188</v>
      </c>
      <c r="CB95">
        <f t="shared" si="33"/>
        <v>35276.692770883579</v>
      </c>
      <c r="CD95">
        <f t="shared" si="34"/>
        <v>11901.352783587068</v>
      </c>
      <c r="CF95">
        <f t="shared" si="35"/>
        <v>17275.505805536079</v>
      </c>
    </row>
    <row r="96" spans="12:84" x14ac:dyDescent="0.25">
      <c r="L96">
        <v>85</v>
      </c>
      <c r="M96">
        <f t="shared" si="47"/>
        <v>0.53407075111026503</v>
      </c>
      <c r="P96">
        <f t="shared" si="41"/>
        <v>24303.710135019719</v>
      </c>
      <c r="Q96">
        <f t="shared" si="42"/>
        <v>10045.207078751857</v>
      </c>
      <c r="V96">
        <f t="shared" si="43"/>
        <v>-16987.402905486197</v>
      </c>
      <c r="W96">
        <f t="shared" si="44"/>
        <v>11781.644955126299</v>
      </c>
      <c r="AB96">
        <f t="shared" si="45"/>
        <v>-696.28986498028189</v>
      </c>
      <c r="AC96">
        <f t="shared" si="46"/>
        <v>-12454.792921248143</v>
      </c>
      <c r="AW96">
        <v>89</v>
      </c>
      <c r="AX96">
        <f t="shared" si="36"/>
        <v>44.5</v>
      </c>
      <c r="AZ96">
        <f t="shared" si="37"/>
        <v>-11618.596008085142</v>
      </c>
      <c r="BB96">
        <f t="shared" si="38"/>
        <v>1483.2081229243392</v>
      </c>
      <c r="BD96">
        <f t="shared" si="39"/>
        <v>5635.9353090216282</v>
      </c>
      <c r="BF96">
        <f t="shared" si="40"/>
        <v>3889.7742636236003</v>
      </c>
      <c r="BH96">
        <f t="shared" si="25"/>
        <v>274.84415769889489</v>
      </c>
      <c r="BJ96">
        <f t="shared" si="26"/>
        <v>-360.82262456074716</v>
      </c>
      <c r="BN96" s="20">
        <f t="shared" si="27"/>
        <v>432.42381812278194</v>
      </c>
      <c r="BP96">
        <f t="shared" si="28"/>
        <v>82.287148856005302</v>
      </c>
      <c r="BR96">
        <f t="shared" si="29"/>
        <v>-566.75068845770465</v>
      </c>
      <c r="BT96">
        <f t="shared" si="30"/>
        <v>575.90561968375414</v>
      </c>
      <c r="BV96">
        <f t="shared" si="31"/>
        <v>409.17102803381761</v>
      </c>
      <c r="BX96">
        <f t="shared" si="32"/>
        <v>-1019.0153931005066</v>
      </c>
      <c r="CB96">
        <f t="shared" si="33"/>
        <v>32185.98138964449</v>
      </c>
      <c r="CD96">
        <f t="shared" si="34"/>
        <v>11949.212390492867</v>
      </c>
      <c r="CF96">
        <f t="shared" si="35"/>
        <v>17762.374929661841</v>
      </c>
    </row>
    <row r="97" spans="12:84" x14ac:dyDescent="0.25">
      <c r="L97">
        <v>86</v>
      </c>
      <c r="M97">
        <f t="shared" si="47"/>
        <v>0.54035393641744467</v>
      </c>
      <c r="P97">
        <f t="shared" si="41"/>
        <v>24287.633280968261</v>
      </c>
      <c r="Q97">
        <f t="shared" si="42"/>
        <v>10072.197668907533</v>
      </c>
      <c r="V97">
        <f t="shared" si="43"/>
        <v>-16998.656703322216</v>
      </c>
      <c r="W97">
        <f t="shared" si="44"/>
        <v>11800.538368235273</v>
      </c>
      <c r="AB97">
        <f t="shared" si="45"/>
        <v>-712.36671903173919</v>
      </c>
      <c r="AC97">
        <f t="shared" si="46"/>
        <v>-12427.802331092467</v>
      </c>
      <c r="AW97">
        <v>90</v>
      </c>
      <c r="AX97">
        <f t="shared" si="36"/>
        <v>45</v>
      </c>
      <c r="AZ97">
        <f t="shared" si="37"/>
        <v>-8766.2728338619654</v>
      </c>
      <c r="BB97">
        <f t="shared" si="38"/>
        <v>3382.992426666046</v>
      </c>
      <c r="BD97">
        <f t="shared" si="39"/>
        <v>5773.3573878710758</v>
      </c>
      <c r="BF97">
        <f t="shared" si="40"/>
        <v>3709.3629513432265</v>
      </c>
      <c r="BH97">
        <f t="shared" si="25"/>
        <v>101.47312560732558</v>
      </c>
      <c r="BJ97">
        <f t="shared" si="26"/>
        <v>-560.23605674362148</v>
      </c>
      <c r="BN97" s="20">
        <f t="shared" si="27"/>
        <v>518.9374337620626</v>
      </c>
      <c r="BP97">
        <f t="shared" si="28"/>
        <v>74.269939565127558</v>
      </c>
      <c r="BR97">
        <f t="shared" si="29"/>
        <v>-622.59514093347389</v>
      </c>
      <c r="BT97">
        <f t="shared" si="30"/>
        <v>366.72750742031826</v>
      </c>
      <c r="BV97">
        <f t="shared" si="31"/>
        <v>205.13083277873687</v>
      </c>
      <c r="BX97">
        <f t="shared" si="32"/>
        <v>-1001.2335037290674</v>
      </c>
      <c r="CB97">
        <f t="shared" si="33"/>
        <v>29059.390979700071</v>
      </c>
      <c r="CD97">
        <f t="shared" si="34"/>
        <v>13037.692099017624</v>
      </c>
      <c r="CF97">
        <f t="shared" si="35"/>
        <v>18764.840037099912</v>
      </c>
    </row>
    <row r="98" spans="12:84" x14ac:dyDescent="0.25">
      <c r="L98">
        <v>87</v>
      </c>
      <c r="M98">
        <f t="shared" si="47"/>
        <v>0.54663712172462431</v>
      </c>
      <c r="P98">
        <f t="shared" si="41"/>
        <v>24271.387158496476</v>
      </c>
      <c r="Q98">
        <f t="shared" si="42"/>
        <v>10099.086713103548</v>
      </c>
      <c r="V98">
        <f t="shared" si="43"/>
        <v>-17010.028989052465</v>
      </c>
      <c r="W98">
        <f t="shared" si="44"/>
        <v>11819.360699172485</v>
      </c>
      <c r="AB98">
        <f t="shared" si="45"/>
        <v>-728.61284150352458</v>
      </c>
      <c r="AC98">
        <f t="shared" si="46"/>
        <v>-12400.913286896452</v>
      </c>
      <c r="AW98">
        <v>91</v>
      </c>
      <c r="AX98">
        <f t="shared" si="36"/>
        <v>45.5</v>
      </c>
      <c r="AZ98">
        <f t="shared" si="37"/>
        <v>-5866.9099992255115</v>
      </c>
      <c r="BB98">
        <f t="shared" si="38"/>
        <v>5167.6443952447071</v>
      </c>
      <c r="BD98">
        <f t="shared" si="39"/>
        <v>5824.0939506747391</v>
      </c>
      <c r="BF98">
        <f t="shared" si="40"/>
        <v>3429.2449229714157</v>
      </c>
      <c r="BH98">
        <f t="shared" si="25"/>
        <v>102.50439645358921</v>
      </c>
      <c r="BJ98">
        <f t="shared" si="26"/>
        <v>-673.658585009543</v>
      </c>
      <c r="BN98" s="20">
        <f t="shared" si="27"/>
        <v>628.31870925070154</v>
      </c>
      <c r="BP98">
        <f t="shared" si="28"/>
        <v>56.653951443653803</v>
      </c>
      <c r="BR98">
        <f t="shared" si="29"/>
        <v>-565.51858949281416</v>
      </c>
      <c r="BT98">
        <f t="shared" si="30"/>
        <v>193.36089456581345</v>
      </c>
      <c r="BV98">
        <f t="shared" si="31"/>
        <v>39.704276695701815</v>
      </c>
      <c r="BX98">
        <f t="shared" si="32"/>
        <v>-923.6734310190102</v>
      </c>
      <c r="CB98">
        <f t="shared" si="33"/>
        <v>25971.848520562915</v>
      </c>
      <c r="CD98">
        <f t="shared" si="34"/>
        <v>14936.394935217861</v>
      </c>
      <c r="CF98">
        <f t="shared" si="35"/>
        <v>20186.267941345734</v>
      </c>
    </row>
    <row r="99" spans="12:84" x14ac:dyDescent="0.25">
      <c r="L99">
        <v>88</v>
      </c>
      <c r="M99">
        <f t="shared" si="47"/>
        <v>0.55292030703180395</v>
      </c>
      <c r="P99">
        <f t="shared" si="41"/>
        <v>24254.972408973459</v>
      </c>
      <c r="Q99">
        <f t="shared" si="42"/>
        <v>10125.873149806481</v>
      </c>
      <c r="V99">
        <f t="shared" si="43"/>
        <v>-17021.519313718578</v>
      </c>
      <c r="W99">
        <f t="shared" si="44"/>
        <v>11838.111204864535</v>
      </c>
      <c r="AB99">
        <f t="shared" si="45"/>
        <v>-745.02759102654181</v>
      </c>
      <c r="AC99">
        <f t="shared" si="46"/>
        <v>-12374.126850193519</v>
      </c>
      <c r="AW99">
        <v>92</v>
      </c>
      <c r="AX99">
        <f t="shared" si="36"/>
        <v>46</v>
      </c>
      <c r="AZ99">
        <f t="shared" si="37"/>
        <v>-2942.0499743314431</v>
      </c>
      <c r="BB99">
        <f t="shared" si="38"/>
        <v>6798.0595336042225</v>
      </c>
      <c r="BD99">
        <f t="shared" si="39"/>
        <v>5875.3461489015335</v>
      </c>
      <c r="BF99">
        <f t="shared" si="40"/>
        <v>3092.415630466644</v>
      </c>
      <c r="BH99">
        <f t="shared" si="25"/>
        <v>220.75793724714259</v>
      </c>
      <c r="BJ99">
        <f t="shared" si="26"/>
        <v>-707.23176336268466</v>
      </c>
      <c r="BN99" s="20">
        <f t="shared" si="27"/>
        <v>765.43054870490903</v>
      </c>
      <c r="BP99">
        <f t="shared" si="28"/>
        <v>23.419296747790163</v>
      </c>
      <c r="BR99">
        <f t="shared" si="29"/>
        <v>-467.408764692445</v>
      </c>
      <c r="BT99">
        <f t="shared" si="30"/>
        <v>87.737098289344075</v>
      </c>
      <c r="BV99">
        <f t="shared" si="31"/>
        <v>-77.263846765321418</v>
      </c>
      <c r="BX99">
        <f t="shared" si="32"/>
        <v>-818.38815839981896</v>
      </c>
      <c r="CB99">
        <f t="shared" si="33"/>
        <v>22952.785831856778</v>
      </c>
      <c r="CD99">
        <f t="shared" si="34"/>
        <v>17355.865919871263</v>
      </c>
      <c r="CF99">
        <f t="shared" si="35"/>
        <v>21894.989329495078</v>
      </c>
    </row>
    <row r="100" spans="12:84" x14ac:dyDescent="0.25">
      <c r="L100">
        <v>89</v>
      </c>
      <c r="M100">
        <f t="shared" si="47"/>
        <v>0.55920349233898359</v>
      </c>
      <c r="P100">
        <f t="shared" si="41"/>
        <v>24238.389680425415</v>
      </c>
      <c r="Q100">
        <f t="shared" si="42"/>
        <v>10152.555921533673</v>
      </c>
      <c r="V100">
        <f t="shared" si="43"/>
        <v>-17033.127223702209</v>
      </c>
      <c r="W100">
        <f t="shared" si="44"/>
        <v>11856.78914507357</v>
      </c>
      <c r="AB100">
        <f t="shared" si="45"/>
        <v>-761.61031957458454</v>
      </c>
      <c r="AC100">
        <f t="shared" si="46"/>
        <v>-12347.444078466327</v>
      </c>
      <c r="AW100">
        <v>93</v>
      </c>
      <c r="AX100">
        <f t="shared" si="36"/>
        <v>46.5</v>
      </c>
      <c r="AZ100">
        <f t="shared" si="37"/>
        <v>23.217842275216505</v>
      </c>
      <c r="BB100">
        <f t="shared" si="38"/>
        <v>8255.8633784172089</v>
      </c>
      <c r="BD100">
        <f t="shared" si="39"/>
        <v>5985.7251175251049</v>
      </c>
      <c r="BF100">
        <f t="shared" si="40"/>
        <v>2738.7997487853017</v>
      </c>
      <c r="BH100">
        <f t="shared" si="25"/>
        <v>410.54289145196663</v>
      </c>
      <c r="BJ100">
        <f t="shared" si="26"/>
        <v>-711.30415115293863</v>
      </c>
      <c r="BN100" s="20">
        <f t="shared" si="27"/>
        <v>936.55706256767644</v>
      </c>
      <c r="BP100">
        <f t="shared" si="28"/>
        <v>-35.436597336030971</v>
      </c>
      <c r="BR100">
        <f t="shared" si="29"/>
        <v>-373.0101376210871</v>
      </c>
      <c r="BT100">
        <f t="shared" si="30"/>
        <v>32.491313153123549</v>
      </c>
      <c r="BV100">
        <f t="shared" si="31"/>
        <v>-153.00403349462275</v>
      </c>
      <c r="BX100">
        <f t="shared" si="32"/>
        <v>-708.35886697003116</v>
      </c>
      <c r="CB100">
        <f t="shared" si="33"/>
        <v>19991.076880048848</v>
      </c>
      <c r="CD100">
        <f t="shared" si="34"/>
        <v>20099.03642749957</v>
      </c>
      <c r="CF100">
        <f t="shared" si="35"/>
        <v>23792.181467166032</v>
      </c>
    </row>
    <row r="101" spans="12:84" x14ac:dyDescent="0.25">
      <c r="L101">
        <v>90</v>
      </c>
      <c r="M101">
        <f t="shared" si="47"/>
        <v>0.56548667764616323</v>
      </c>
      <c r="P101">
        <f t="shared" si="41"/>
        <v>24221.639627510074</v>
      </c>
      <c r="Q101">
        <f t="shared" si="42"/>
        <v>10179.133974894985</v>
      </c>
      <c r="V101">
        <f t="shared" si="43"/>
        <v>-17044.852260742948</v>
      </c>
      <c r="W101">
        <f t="shared" si="44"/>
        <v>11875.39378242649</v>
      </c>
      <c r="AB101">
        <f t="shared" si="45"/>
        <v>-778.36037248992579</v>
      </c>
      <c r="AC101">
        <f t="shared" si="46"/>
        <v>-12320.866025105015</v>
      </c>
      <c r="AW101">
        <v>94</v>
      </c>
      <c r="AX101">
        <f t="shared" si="36"/>
        <v>47</v>
      </c>
      <c r="AZ101">
        <f t="shared" si="37"/>
        <v>3067.3982624692644</v>
      </c>
      <c r="BB101">
        <f t="shared" si="38"/>
        <v>9536.3502339157421</v>
      </c>
      <c r="BD101">
        <f t="shared" si="39"/>
        <v>6190.9965632510884</v>
      </c>
      <c r="BF101">
        <f t="shared" si="40"/>
        <v>2383.1476732088322</v>
      </c>
      <c r="BH101">
        <f t="shared" si="25"/>
        <v>652.94988301187152</v>
      </c>
      <c r="BJ101">
        <f t="shared" si="26"/>
        <v>-736.70889288802732</v>
      </c>
      <c r="BN101" s="20">
        <f t="shared" si="27"/>
        <v>1147.3368295627897</v>
      </c>
      <c r="BP101">
        <f t="shared" si="28"/>
        <v>-137.98113588662511</v>
      </c>
      <c r="BR101">
        <f t="shared" si="29"/>
        <v>-295.57564450605724</v>
      </c>
      <c r="BT101">
        <f t="shared" si="30"/>
        <v>5.9410071684767143</v>
      </c>
      <c r="BV101">
        <f t="shared" si="31"/>
        <v>-198.81130204486101</v>
      </c>
      <c r="BX101">
        <f t="shared" si="32"/>
        <v>-604.66876416987895</v>
      </c>
      <c r="CB101">
        <f t="shared" si="33"/>
        <v>17054.610047638074</v>
      </c>
      <c r="CD101">
        <f t="shared" si="34"/>
        <v>23072.057422452814</v>
      </c>
      <c r="CF101">
        <f t="shared" si="35"/>
        <v>25828.577148706219</v>
      </c>
    </row>
    <row r="102" spans="12:84" x14ac:dyDescent="0.25">
      <c r="L102">
        <v>91</v>
      </c>
      <c r="M102">
        <f t="shared" si="47"/>
        <v>0.57176986295334287</v>
      </c>
      <c r="P102">
        <f t="shared" si="41"/>
        <v>24204.722911490844</v>
      </c>
      <c r="Q102">
        <f t="shared" si="42"/>
        <v>10205.60626063438</v>
      </c>
      <c r="V102">
        <f t="shared" si="43"/>
        <v>-17056.693961956407</v>
      </c>
      <c r="W102">
        <f t="shared" si="44"/>
        <v>11893.924382444067</v>
      </c>
      <c r="AB102">
        <f t="shared" si="45"/>
        <v>-795.27708850915587</v>
      </c>
      <c r="AC102">
        <f t="shared" si="46"/>
        <v>-12294.39373936562</v>
      </c>
      <c r="AW102">
        <v>95</v>
      </c>
      <c r="AX102">
        <f t="shared" si="36"/>
        <v>47.5</v>
      </c>
      <c r="AZ102">
        <f t="shared" si="37"/>
        <v>6244.5152794712922</v>
      </c>
      <c r="BB102">
        <f t="shared" si="38"/>
        <v>10635.835458909156</v>
      </c>
      <c r="BD102">
        <f t="shared" si="39"/>
        <v>6517.4715047570244</v>
      </c>
      <c r="BF102">
        <f t="shared" si="40"/>
        <v>2014.7932267648184</v>
      </c>
      <c r="BH102">
        <f t="shared" si="25"/>
        <v>933.5693571619679</v>
      </c>
      <c r="BJ102">
        <f t="shared" si="26"/>
        <v>-834.21171524763099</v>
      </c>
      <c r="BN102" s="20">
        <f t="shared" si="27"/>
        <v>1392.7261489623945</v>
      </c>
      <c r="BP102">
        <f t="shared" si="28"/>
        <v>-317.49953790784389</v>
      </c>
      <c r="BR102">
        <f t="shared" si="29"/>
        <v>-235.0113757790152</v>
      </c>
      <c r="BT102">
        <f t="shared" si="30"/>
        <v>-5.6937064516564586</v>
      </c>
      <c r="BV102">
        <f t="shared" si="31"/>
        <v>-224.14541602141139</v>
      </c>
      <c r="BX102">
        <f t="shared" si="32"/>
        <v>-511.01847088813071</v>
      </c>
      <c r="CB102">
        <f t="shared" si="33"/>
        <v>14108.395511965588</v>
      </c>
      <c r="CD102">
        <f t="shared" si="34"/>
        <v>26252.216458524192</v>
      </c>
      <c r="CF102">
        <f t="shared" si="35"/>
        <v>27993.484662444709</v>
      </c>
    </row>
    <row r="103" spans="12:84" x14ac:dyDescent="0.25">
      <c r="L103">
        <v>92</v>
      </c>
      <c r="M103">
        <f t="shared" si="47"/>
        <v>0.57805304826052251</v>
      </c>
      <c r="P103">
        <f t="shared" si="41"/>
        <v>24187.640200210706</v>
      </c>
      <c r="Q103">
        <f t="shared" si="42"/>
        <v>10231.971733671347</v>
      </c>
      <c r="V103">
        <f t="shared" si="43"/>
        <v>-17068.651859852504</v>
      </c>
      <c r="W103">
        <f t="shared" si="44"/>
        <v>11912.380213569944</v>
      </c>
      <c r="AB103">
        <f t="shared" si="45"/>
        <v>-812.35979978929299</v>
      </c>
      <c r="AC103">
        <f t="shared" si="46"/>
        <v>-12268.028266328653</v>
      </c>
      <c r="AW103">
        <v>96</v>
      </c>
      <c r="AX103">
        <f t="shared" si="36"/>
        <v>48</v>
      </c>
      <c r="AZ103">
        <f t="shared" si="37"/>
        <v>9619.9472014950497</v>
      </c>
      <c r="BB103">
        <f t="shared" si="38"/>
        <v>11538.955607885611</v>
      </c>
      <c r="BD103">
        <f t="shared" si="39"/>
        <v>6984.2561833380087</v>
      </c>
      <c r="BF103">
        <f t="shared" si="40"/>
        <v>1597.6873691410028</v>
      </c>
      <c r="BH103">
        <f t="shared" si="25"/>
        <v>1196.9085441347956</v>
      </c>
      <c r="BJ103">
        <f t="shared" si="26"/>
        <v>-1068.106194879748</v>
      </c>
      <c r="BN103" s="20">
        <f t="shared" si="27"/>
        <v>1620.5244494125402</v>
      </c>
      <c r="BP103">
        <f t="shared" si="28"/>
        <v>-630.5580944263827</v>
      </c>
      <c r="BR103">
        <f t="shared" si="29"/>
        <v>-187.95638365000826</v>
      </c>
      <c r="BT103">
        <f t="shared" si="30"/>
        <v>-9.7655991311652155</v>
      </c>
      <c r="BV103">
        <f t="shared" si="31"/>
        <v>-235.65952162773624</v>
      </c>
      <c r="BX103">
        <f t="shared" si="32"/>
        <v>-427.78250132220006</v>
      </c>
      <c r="CB103">
        <f t="shared" si="33"/>
        <v>11138.16225874902</v>
      </c>
      <c r="CD103">
        <f t="shared" si="34"/>
        <v>29659.899807356011</v>
      </c>
      <c r="CF103">
        <f t="shared" si="35"/>
        <v>30299.488789942086</v>
      </c>
    </row>
    <row r="104" spans="12:84" x14ac:dyDescent="0.25">
      <c r="L104">
        <v>93</v>
      </c>
      <c r="M104">
        <f t="shared" si="47"/>
        <v>0.58433623356770215</v>
      </c>
      <c r="P104">
        <f t="shared" si="41"/>
        <v>24170.392168065853</v>
      </c>
      <c r="Q104">
        <f t="shared" si="42"/>
        <v>10258.229353142153</v>
      </c>
      <c r="V104">
        <f t="shared" si="43"/>
        <v>-17080.725482353904</v>
      </c>
      <c r="W104">
        <f t="shared" si="44"/>
        <v>11930.760547199508</v>
      </c>
      <c r="AB104">
        <f t="shared" si="45"/>
        <v>-829.60783193414591</v>
      </c>
      <c r="AC104">
        <f t="shared" si="46"/>
        <v>-12241.770646857847</v>
      </c>
      <c r="AW104">
        <v>97</v>
      </c>
      <c r="AX104">
        <f t="shared" si="36"/>
        <v>48.5</v>
      </c>
      <c r="AZ104">
        <f t="shared" si="37"/>
        <v>13261.688861180904</v>
      </c>
      <c r="BB104">
        <f t="shared" si="38"/>
        <v>12204.286018096145</v>
      </c>
      <c r="BD104">
        <f t="shared" si="39"/>
        <v>7582.7104554054067</v>
      </c>
      <c r="BF104">
        <f t="shared" si="40"/>
        <v>1063.6342717011289</v>
      </c>
      <c r="BH104">
        <f t="shared" si="25"/>
        <v>1238.0141713424234</v>
      </c>
      <c r="BJ104">
        <f t="shared" si="26"/>
        <v>-1500.2046662372732</v>
      </c>
      <c r="BN104" s="20">
        <f t="shared" si="27"/>
        <v>1627.0121573930885</v>
      </c>
      <c r="BP104">
        <f t="shared" si="28"/>
        <v>-1135.882624832032</v>
      </c>
      <c r="BR104">
        <f t="shared" si="29"/>
        <v>-151.16053084603732</v>
      </c>
      <c r="BT104">
        <f t="shared" si="30"/>
        <v>-10.017562428129853</v>
      </c>
      <c r="BV104">
        <f t="shared" si="31"/>
        <v>-237.8374552046277</v>
      </c>
      <c r="BX104">
        <f t="shared" si="32"/>
        <v>-354.30447897711144</v>
      </c>
      <c r="CB104">
        <f t="shared" si="33"/>
        <v>8217.9768765547378</v>
      </c>
      <c r="CD104">
        <f t="shared" si="34"/>
        <v>33334.648981916398</v>
      </c>
      <c r="CF104">
        <f t="shared" si="35"/>
        <v>32765.262974939789</v>
      </c>
    </row>
    <row r="105" spans="12:84" x14ac:dyDescent="0.25">
      <c r="L105">
        <v>94</v>
      </c>
      <c r="M105">
        <f t="shared" si="47"/>
        <v>0.59061941887488179</v>
      </c>
      <c r="P105">
        <f t="shared" si="41"/>
        <v>24152.97949597906</v>
      </c>
      <c r="Q105">
        <f t="shared" si="42"/>
        <v>10284.378082440942</v>
      </c>
      <c r="V105">
        <f t="shared" si="43"/>
        <v>-17092.914352814656</v>
      </c>
      <c r="W105">
        <f t="shared" si="44"/>
        <v>11949.064657708659</v>
      </c>
      <c r="AB105">
        <f t="shared" si="45"/>
        <v>-847.02050402093846</v>
      </c>
      <c r="AC105">
        <f t="shared" si="46"/>
        <v>-12215.621917559058</v>
      </c>
      <c r="AW105">
        <v>98</v>
      </c>
      <c r="AX105">
        <f t="shared" si="36"/>
        <v>49</v>
      </c>
      <c r="AZ105">
        <f t="shared" si="37"/>
        <v>17207.795860301412</v>
      </c>
      <c r="BB105">
        <f t="shared" si="38"/>
        <v>12548.57757066705</v>
      </c>
      <c r="BD105">
        <f t="shared" si="39"/>
        <v>8201.7175410766176</v>
      </c>
      <c r="BF105">
        <f t="shared" si="40"/>
        <v>313.53193858249233</v>
      </c>
      <c r="BH105">
        <f t="shared" si="25"/>
        <v>593.94023368174066</v>
      </c>
      <c r="BJ105">
        <f t="shared" si="26"/>
        <v>-2016.398677337947</v>
      </c>
      <c r="BN105" s="20">
        <f t="shared" si="27"/>
        <v>950.11489254535661</v>
      </c>
      <c r="BP105">
        <f t="shared" si="28"/>
        <v>-1717.9004456955709</v>
      </c>
      <c r="BR105">
        <f t="shared" si="29"/>
        <v>-122.29853573234665</v>
      </c>
      <c r="BT105">
        <f t="shared" si="30"/>
        <v>-8.3769354751119227</v>
      </c>
      <c r="BV105">
        <f t="shared" si="31"/>
        <v>-233.87612313126925</v>
      </c>
      <c r="BX105">
        <f t="shared" si="32"/>
        <v>-290.12129616726423</v>
      </c>
      <c r="CB105">
        <f t="shared" si="33"/>
        <v>5769.2754696575503</v>
      </c>
      <c r="CD105">
        <f t="shared" si="34"/>
        <v>37294.977147272395</v>
      </c>
      <c r="CF105">
        <f t="shared" si="35"/>
        <v>35385.170949705476</v>
      </c>
    </row>
    <row r="106" spans="12:84" x14ac:dyDescent="0.25">
      <c r="L106">
        <v>95</v>
      </c>
      <c r="M106">
        <f t="shared" si="47"/>
        <v>0.59690260418206142</v>
      </c>
      <c r="P106">
        <f t="shared" si="41"/>
        <v>24135.402871372808</v>
      </c>
      <c r="Q106">
        <f t="shared" si="42"/>
        <v>10310.416889260656</v>
      </c>
      <c r="V106">
        <f t="shared" si="43"/>
        <v>-17105.217990039037</v>
      </c>
      <c r="W106">
        <f t="shared" si="44"/>
        <v>11967.291822482459</v>
      </c>
      <c r="AB106">
        <f t="shared" si="45"/>
        <v>-864.59712862719334</v>
      </c>
      <c r="AC106">
        <f t="shared" si="46"/>
        <v>-12189.583110739344</v>
      </c>
      <c r="AW106">
        <v>99</v>
      </c>
      <c r="AX106">
        <f t="shared" si="36"/>
        <v>49.5</v>
      </c>
      <c r="AZ106">
        <f t="shared" si="37"/>
        <v>21382.897160049939</v>
      </c>
      <c r="BB106">
        <f t="shared" si="38"/>
        <v>12453.293705291053</v>
      </c>
      <c r="BD106">
        <f t="shared" si="39"/>
        <v>8498.6876579174877</v>
      </c>
      <c r="BF106">
        <f t="shared" si="40"/>
        <v>-694.66740008648117</v>
      </c>
      <c r="BH106">
        <f t="shared" si="25"/>
        <v>-835.68170170755775</v>
      </c>
      <c r="BJ106">
        <f t="shared" si="26"/>
        <v>-2065.5548533757956</v>
      </c>
      <c r="BN106" s="20">
        <f t="shared" si="27"/>
        <v>-509.24059530524761</v>
      </c>
      <c r="BP106">
        <f t="shared" si="28"/>
        <v>-1824.0099900943192</v>
      </c>
      <c r="BR106">
        <f t="shared" si="29"/>
        <v>-100.01182326250122</v>
      </c>
      <c r="BT106">
        <f t="shared" si="30"/>
        <v>-5.9289801657830443</v>
      </c>
      <c r="BV106">
        <f t="shared" si="31"/>
        <v>-226.42928313980894</v>
      </c>
      <c r="BX106">
        <f t="shared" si="32"/>
        <v>-235.61588311569326</v>
      </c>
      <c r="CB106">
        <f t="shared" si="33"/>
        <v>5142.7155361880705</v>
      </c>
      <c r="CD106">
        <f t="shared" si="34"/>
        <v>41455.552431051859</v>
      </c>
      <c r="CF106">
        <f t="shared" si="35"/>
        <v>38075.459259564348</v>
      </c>
    </row>
    <row r="107" spans="12:84" x14ac:dyDescent="0.25">
      <c r="L107">
        <v>96</v>
      </c>
      <c r="M107">
        <f t="shared" si="47"/>
        <v>0.60318578948924106</v>
      </c>
      <c r="P107">
        <f t="shared" si="41"/>
        <v>24117.662988142136</v>
      </c>
      <c r="Q107">
        <f t="shared" si="42"/>
        <v>10336.344745633785</v>
      </c>
      <c r="V107">
        <f t="shared" si="43"/>
        <v>-17117.635908300505</v>
      </c>
      <c r="W107">
        <f t="shared" si="44"/>
        <v>11985.44132194365</v>
      </c>
      <c r="AB107">
        <f t="shared" si="45"/>
        <v>-882.33701185786504</v>
      </c>
      <c r="AC107">
        <f t="shared" si="46"/>
        <v>-12163.655254366215</v>
      </c>
      <c r="AW107">
        <v>100</v>
      </c>
      <c r="AX107">
        <f t="shared" si="36"/>
        <v>50</v>
      </c>
      <c r="AZ107">
        <f t="shared" si="37"/>
        <v>25527.780776295236</v>
      </c>
      <c r="BB107">
        <f t="shared" si="38"/>
        <v>11847.765648575838</v>
      </c>
      <c r="BD107">
        <f t="shared" si="39"/>
        <v>8080.8468070637091</v>
      </c>
      <c r="BF107">
        <f t="shared" si="40"/>
        <v>-1727.444826774379</v>
      </c>
      <c r="BH107">
        <f t="shared" si="25"/>
        <v>-1885.3210685858332</v>
      </c>
      <c r="BJ107">
        <f t="shared" si="26"/>
        <v>-1440.8474809543436</v>
      </c>
      <c r="BN107" s="20">
        <f t="shared" si="27"/>
        <v>-1584.0338812481118</v>
      </c>
      <c r="BP107">
        <f t="shared" si="28"/>
        <v>-1245.8902358437103</v>
      </c>
      <c r="BR107">
        <f t="shared" si="29"/>
        <v>-83.458704714525624</v>
      </c>
      <c r="BT107">
        <f t="shared" si="30"/>
        <v>-3.3872094140469899</v>
      </c>
      <c r="BV107">
        <f t="shared" si="31"/>
        <v>-217.82848262319595</v>
      </c>
      <c r="BX107">
        <f t="shared" si="32"/>
        <v>-191.57003569658627</v>
      </c>
      <c r="CB107">
        <f t="shared" si="33"/>
        <v>7032.7396116815835</v>
      </c>
      <c r="CD107">
        <f t="shared" si="34"/>
        <v>45565.261552047028</v>
      </c>
      <c r="CF107">
        <f t="shared" si="35"/>
        <v>40654.002502169322</v>
      </c>
    </row>
    <row r="108" spans="12:84" x14ac:dyDescent="0.25">
      <c r="L108">
        <v>97</v>
      </c>
      <c r="M108">
        <f t="shared" si="47"/>
        <v>0.6094689747964207</v>
      </c>
      <c r="P108">
        <f t="shared" si="41"/>
        <v>24099.760546627258</v>
      </c>
      <c r="Q108">
        <f t="shared" si="42"/>
        <v>10362.160627972957</v>
      </c>
      <c r="V108">
        <f t="shared" si="43"/>
        <v>-17130.167617360919</v>
      </c>
      <c r="W108">
        <f t="shared" si="44"/>
        <v>12003.512439581071</v>
      </c>
      <c r="AB108">
        <f t="shared" si="45"/>
        <v>-900.23945337274108</v>
      </c>
      <c r="AC108">
        <f t="shared" si="46"/>
        <v>-12137.839372027043</v>
      </c>
      <c r="AW108">
        <v>101</v>
      </c>
      <c r="AX108">
        <f t="shared" si="36"/>
        <v>50.5</v>
      </c>
      <c r="AZ108">
        <f t="shared" si="37"/>
        <v>29332.539046253863</v>
      </c>
      <c r="BB108">
        <f t="shared" si="38"/>
        <v>10803.937300069356</v>
      </c>
      <c r="BD108">
        <f t="shared" si="39"/>
        <v>7138.1862727707921</v>
      </c>
      <c r="BF108">
        <f t="shared" si="40"/>
        <v>-2447.8685672515508</v>
      </c>
      <c r="BH108">
        <f t="shared" si="25"/>
        <v>-2034.951051325196</v>
      </c>
      <c r="BJ108">
        <f t="shared" si="26"/>
        <v>-779.58621491934696</v>
      </c>
      <c r="BN108" s="20">
        <f t="shared" si="27"/>
        <v>-1753.7198960975188</v>
      </c>
      <c r="BP108">
        <f t="shared" si="28"/>
        <v>-620.85789835684284</v>
      </c>
      <c r="BR108">
        <f t="shared" si="29"/>
        <v>-71.592978894655317</v>
      </c>
      <c r="BT108">
        <f t="shared" si="30"/>
        <v>-1.16669985509011</v>
      </c>
      <c r="BV108">
        <f t="shared" si="31"/>
        <v>-209.63817633302179</v>
      </c>
      <c r="BX108">
        <f t="shared" si="32"/>
        <v>-157.56161670741403</v>
      </c>
      <c r="CB108">
        <f t="shared" si="33"/>
        <v>9900.1154908739591</v>
      </c>
      <c r="CD108">
        <f t="shared" si="34"/>
        <v>49339.089208583944</v>
      </c>
      <c r="CF108">
        <f t="shared" si="35"/>
        <v>42948.415774606365</v>
      </c>
    </row>
    <row r="109" spans="12:84" x14ac:dyDescent="0.25">
      <c r="L109">
        <v>98</v>
      </c>
      <c r="M109">
        <f t="shared" si="47"/>
        <v>0.61575216010360034</v>
      </c>
      <c r="P109">
        <f t="shared" si="41"/>
        <v>24081.696253585917</v>
      </c>
      <c r="Q109">
        <f t="shared" si="42"/>
        <v>10387.863517111342</v>
      </c>
      <c r="V109">
        <f t="shared" si="43"/>
        <v>-17142.812622489859</v>
      </c>
      <c r="W109">
        <f t="shared" si="44"/>
        <v>12021.504461977938</v>
      </c>
      <c r="AB109">
        <f t="shared" si="45"/>
        <v>-918.30374641408253</v>
      </c>
      <c r="AC109">
        <f t="shared" si="46"/>
        <v>-12112.136482888658</v>
      </c>
      <c r="AW109">
        <v>102</v>
      </c>
      <c r="AX109">
        <f t="shared" si="36"/>
        <v>51</v>
      </c>
      <c r="AZ109">
        <f t="shared" si="37"/>
        <v>32647.263301223611</v>
      </c>
      <c r="BB109">
        <f t="shared" si="38"/>
        <v>9482.5547395786634</v>
      </c>
      <c r="BD109">
        <f t="shared" si="39"/>
        <v>6120.7107471081945</v>
      </c>
      <c r="BF109">
        <f t="shared" si="40"/>
        <v>-2837.6616747112244</v>
      </c>
      <c r="BH109">
        <f t="shared" si="25"/>
        <v>-1810.3320987292968</v>
      </c>
      <c r="BJ109">
        <f t="shared" si="26"/>
        <v>-373.17344508080731</v>
      </c>
      <c r="BN109" s="20">
        <f t="shared" si="27"/>
        <v>-1544.813682427442</v>
      </c>
      <c r="BP109">
        <f t="shared" si="28"/>
        <v>-242.16129726390548</v>
      </c>
      <c r="BR109">
        <f t="shared" si="29"/>
        <v>-63.104950858364582</v>
      </c>
      <c r="BT109">
        <f t="shared" si="30"/>
        <v>0.62022896696366714</v>
      </c>
      <c r="BV109">
        <f t="shared" si="31"/>
        <v>-202.41346544349005</v>
      </c>
      <c r="BX109">
        <f t="shared" si="32"/>
        <v>-131.63237678386551</v>
      </c>
      <c r="CB109">
        <f t="shared" si="33"/>
        <v>12801.71052265686</v>
      </c>
      <c r="CD109">
        <f t="shared" si="34"/>
        <v>52649.806103212752</v>
      </c>
      <c r="CF109">
        <f t="shared" si="35"/>
        <v>44907.815808031941</v>
      </c>
    </row>
    <row r="110" spans="12:84" x14ac:dyDescent="0.25">
      <c r="L110">
        <v>99</v>
      </c>
      <c r="M110">
        <f t="shared" si="47"/>
        <v>0.62203534541077998</v>
      </c>
      <c r="P110">
        <f t="shared" si="41"/>
        <v>24063.470822165466</v>
      </c>
      <c r="Q110">
        <f t="shared" si="42"/>
        <v>10413.452398342884</v>
      </c>
      <c r="V110">
        <f t="shared" si="43"/>
        <v>-17155.570424484173</v>
      </c>
      <c r="W110">
        <f t="shared" si="44"/>
        <v>12039.416678840018</v>
      </c>
      <c r="AB110">
        <f t="shared" si="45"/>
        <v>-936.52917783453313</v>
      </c>
      <c r="AC110">
        <f t="shared" si="46"/>
        <v>-12086.547601657116</v>
      </c>
      <c r="AW110">
        <v>103</v>
      </c>
      <c r="AX110">
        <f t="shared" si="36"/>
        <v>51.5</v>
      </c>
      <c r="AZ110">
        <f t="shared" si="37"/>
        <v>35481.327162436552</v>
      </c>
      <c r="BB110">
        <f t="shared" si="38"/>
        <v>8017.0772215879506</v>
      </c>
      <c r="BD110">
        <f t="shared" si="39"/>
        <v>5215.5446977435458</v>
      </c>
      <c r="BF110">
        <f t="shared" si="40"/>
        <v>-3024.2483972516279</v>
      </c>
      <c r="BH110">
        <f t="shared" si="25"/>
        <v>-1546.3625894324077</v>
      </c>
      <c r="BJ110">
        <f t="shared" si="26"/>
        <v>-152.70514254838213</v>
      </c>
      <c r="BN110" s="20">
        <f t="shared" si="27"/>
        <v>-1293.3188017684374</v>
      </c>
      <c r="BP110">
        <f t="shared" si="28"/>
        <v>-43.196922694619261</v>
      </c>
      <c r="BR110">
        <f t="shared" si="29"/>
        <v>-56.871170826516725</v>
      </c>
      <c r="BT110">
        <f t="shared" si="30"/>
        <v>2.0325962956274446</v>
      </c>
      <c r="BV110">
        <f t="shared" si="31"/>
        <v>-196.17261683745366</v>
      </c>
      <c r="BX110">
        <f t="shared" si="32"/>
        <v>-111.54081614939031</v>
      </c>
      <c r="CB110">
        <f t="shared" si="33"/>
        <v>15489.959960034786</v>
      </c>
      <c r="CD110">
        <f t="shared" si="34"/>
        <v>55516.751043720717</v>
      </c>
      <c r="CF110">
        <f t="shared" si="35"/>
        <v>46567.410199159305</v>
      </c>
    </row>
    <row r="111" spans="12:84" x14ac:dyDescent="0.25">
      <c r="L111">
        <v>100</v>
      </c>
      <c r="M111">
        <f t="shared" si="47"/>
        <v>0.62831853071795962</v>
      </c>
      <c r="P111">
        <f t="shared" si="41"/>
        <v>24045.084971874734</v>
      </c>
      <c r="Q111">
        <f t="shared" si="42"/>
        <v>10438.926261462369</v>
      </c>
      <c r="V111">
        <f t="shared" si="43"/>
        <v>-17168.440519687687</v>
      </c>
      <c r="W111">
        <f t="shared" si="44"/>
        <v>12057.24838302366</v>
      </c>
      <c r="AB111">
        <f t="shared" si="45"/>
        <v>-954.91502812526551</v>
      </c>
      <c r="AC111">
        <f t="shared" si="46"/>
        <v>-12061.073738537631</v>
      </c>
      <c r="AW111">
        <v>104</v>
      </c>
      <c r="AX111">
        <f t="shared" si="36"/>
        <v>52</v>
      </c>
      <c r="AZ111">
        <f t="shared" si="37"/>
        <v>37895.804187629277</v>
      </c>
      <c r="BB111">
        <f t="shared" si="38"/>
        <v>6485.8648801435893</v>
      </c>
      <c r="BD111">
        <f t="shared" si="39"/>
        <v>4442.3634030273424</v>
      </c>
      <c r="BF111">
        <f t="shared" si="40"/>
        <v>-3100.6009685258191</v>
      </c>
      <c r="BH111">
        <f t="shared" si="25"/>
        <v>-1326.5967828425305</v>
      </c>
      <c r="BJ111">
        <f t="shared" si="26"/>
        <v>-31.008918171162065</v>
      </c>
      <c r="BN111" s="20">
        <f t="shared" si="27"/>
        <v>-1083.6293990981815</v>
      </c>
      <c r="BP111">
        <f t="shared" si="28"/>
        <v>61.408060739400952</v>
      </c>
      <c r="BR111">
        <f t="shared" si="29"/>
        <v>-52.141466304809853</v>
      </c>
      <c r="BT111">
        <f t="shared" si="30"/>
        <v>3.1648607444629571</v>
      </c>
      <c r="BV111">
        <f t="shared" si="31"/>
        <v>-190.8259174395391</v>
      </c>
      <c r="BX111">
        <f t="shared" si="32"/>
        <v>-95.581839655025973</v>
      </c>
      <c r="CB111">
        <f t="shared" si="33"/>
        <v>17924.516104020651</v>
      </c>
      <c r="CD111">
        <f t="shared" si="34"/>
        <v>58002.355884678684</v>
      </c>
      <c r="CF111">
        <f t="shared" si="35"/>
        <v>47975.956546495465</v>
      </c>
    </row>
    <row r="112" spans="12:84" x14ac:dyDescent="0.25">
      <c r="L112">
        <v>101</v>
      </c>
      <c r="M112">
        <f t="shared" si="47"/>
        <v>0.63460171602513926</v>
      </c>
      <c r="P112">
        <f t="shared" si="41"/>
        <v>24026.539428555607</v>
      </c>
      <c r="Q112">
        <f t="shared" si="42"/>
        <v>10464.2841008053</v>
      </c>
      <c r="V112">
        <f t="shared" si="43"/>
        <v>-17181.422400011077</v>
      </c>
      <c r="W112">
        <f t="shared" si="44"/>
        <v>12074.998870563712</v>
      </c>
      <c r="AB112">
        <f t="shared" si="45"/>
        <v>-973.46057144439328</v>
      </c>
      <c r="AC112">
        <f t="shared" si="46"/>
        <v>-12035.7158991947</v>
      </c>
      <c r="AW112">
        <v>105</v>
      </c>
      <c r="AX112">
        <f t="shared" si="36"/>
        <v>52.5</v>
      </c>
      <c r="AZ112">
        <f t="shared" si="37"/>
        <v>39951.16129128763</v>
      </c>
      <c r="BB112">
        <f t="shared" si="38"/>
        <v>4931.6882811092846</v>
      </c>
      <c r="BD112">
        <f t="shared" si="39"/>
        <v>3779.065011606077</v>
      </c>
      <c r="BF112">
        <f t="shared" si="40"/>
        <v>-3116.1054276114</v>
      </c>
      <c r="BH112">
        <f t="shared" si="25"/>
        <v>-1156.2235122574721</v>
      </c>
      <c r="BJ112">
        <f t="shared" si="26"/>
        <v>40.116642297902501</v>
      </c>
      <c r="BN112" s="20">
        <f t="shared" si="27"/>
        <v>-921.48391755150874</v>
      </c>
      <c r="BP112">
        <f t="shared" si="28"/>
        <v>118.6225658578756</v>
      </c>
      <c r="BR112">
        <f t="shared" si="29"/>
        <v>-48.450587105726122</v>
      </c>
      <c r="BT112">
        <f t="shared" si="30"/>
        <v>4.0960453997206105</v>
      </c>
      <c r="BV112">
        <f t="shared" si="31"/>
        <v>-186.28900760023723</v>
      </c>
      <c r="BX112">
        <f t="shared" si="32"/>
        <v>-82.601968959693707</v>
      </c>
      <c r="CB112">
        <f t="shared" si="33"/>
        <v>20115.791357944763</v>
      </c>
      <c r="CD112">
        <f t="shared" si="34"/>
        <v>60165.019104574618</v>
      </c>
      <c r="CF112">
        <f t="shared" si="35"/>
        <v>49171.934059691659</v>
      </c>
    </row>
    <row r="113" spans="12:84" x14ac:dyDescent="0.25">
      <c r="L113">
        <v>102</v>
      </c>
      <c r="M113">
        <f t="shared" si="47"/>
        <v>0.6408849013323189</v>
      </c>
      <c r="P113">
        <f t="shared" si="41"/>
        <v>24007.834924354378</v>
      </c>
      <c r="Q113">
        <f t="shared" si="42"/>
        <v>10489.524915287599</v>
      </c>
      <c r="V113">
        <f t="shared" si="43"/>
        <v>-17194.515552951932</v>
      </c>
      <c r="W113">
        <f t="shared" si="44"/>
        <v>12092.66744070132</v>
      </c>
      <c r="AB113">
        <f t="shared" si="45"/>
        <v>-992.16507564562016</v>
      </c>
      <c r="AC113">
        <f t="shared" si="46"/>
        <v>-12010.475084712401</v>
      </c>
      <c r="AW113">
        <v>106</v>
      </c>
      <c r="AX113">
        <f t="shared" si="36"/>
        <v>53</v>
      </c>
      <c r="AZ113">
        <f t="shared" si="37"/>
        <v>41696.165858058484</v>
      </c>
      <c r="BB113">
        <f t="shared" si="38"/>
        <v>3378.6501475908226</v>
      </c>
      <c r="BD113">
        <f t="shared" si="39"/>
        <v>3200.9532554773409</v>
      </c>
      <c r="BF113">
        <f t="shared" si="40"/>
        <v>-3096.0471064624489</v>
      </c>
      <c r="BH113">
        <f t="shared" si="25"/>
        <v>-1025.3308720165724</v>
      </c>
      <c r="BJ113">
        <f t="shared" si="26"/>
        <v>84.516704387782539</v>
      </c>
      <c r="BN113" s="20">
        <f t="shared" si="27"/>
        <v>-797.32971531147712</v>
      </c>
      <c r="BP113">
        <f t="shared" si="28"/>
        <v>151.45877506738728</v>
      </c>
      <c r="BR113">
        <f t="shared" si="29"/>
        <v>-45.506953987369613</v>
      </c>
      <c r="BT113">
        <f t="shared" si="30"/>
        <v>4.8838928461306352</v>
      </c>
      <c r="BV113">
        <f t="shared" si="31"/>
        <v>-182.4942027177257</v>
      </c>
      <c r="BX113">
        <f t="shared" si="32"/>
        <v>-71.825963525735375</v>
      </c>
      <c r="CB113">
        <f t="shared" si="33"/>
        <v>22084.137690802778</v>
      </c>
      <c r="CD113">
        <f t="shared" si="34"/>
        <v>62050.456528965689</v>
      </c>
      <c r="CF113">
        <f t="shared" si="35"/>
        <v>50182.732957570646</v>
      </c>
    </row>
    <row r="114" spans="12:84" x14ac:dyDescent="0.25">
      <c r="L114">
        <v>103</v>
      </c>
      <c r="M114">
        <f t="shared" si="47"/>
        <v>0.64716808663949854</v>
      </c>
      <c r="P114">
        <f t="shared" si="41"/>
        <v>23988.972197692852</v>
      </c>
      <c r="Q114">
        <f t="shared" si="42"/>
        <v>10514.647708445129</v>
      </c>
      <c r="V114">
        <f t="shared" si="43"/>
        <v>-17207.719461615005</v>
      </c>
      <c r="W114">
        <f t="shared" si="44"/>
        <v>12110.25339591159</v>
      </c>
      <c r="AB114">
        <f t="shared" si="45"/>
        <v>-1011.0278023071482</v>
      </c>
      <c r="AC114">
        <f t="shared" si="46"/>
        <v>-11985.352291554871</v>
      </c>
      <c r="AW114">
        <v>107</v>
      </c>
      <c r="AX114">
        <f t="shared" si="36"/>
        <v>53.5</v>
      </c>
      <c r="AZ114">
        <f t="shared" si="37"/>
        <v>43168.476126795089</v>
      </c>
      <c r="BB114">
        <f t="shared" si="38"/>
        <v>1841.191182408071</v>
      </c>
      <c r="BD114">
        <f t="shared" si="39"/>
        <v>2688.2878194690547</v>
      </c>
      <c r="BF114">
        <f t="shared" si="40"/>
        <v>-3053.7887542685576</v>
      </c>
      <c r="BH114">
        <f t="shared" si="25"/>
        <v>-923.88588400910533</v>
      </c>
      <c r="BJ114">
        <f t="shared" si="26"/>
        <v>114.1584735094155</v>
      </c>
      <c r="BN114" s="20">
        <f t="shared" si="27"/>
        <v>-701.37664853938725</v>
      </c>
      <c r="BP114">
        <f t="shared" si="28"/>
        <v>171.30847715174215</v>
      </c>
      <c r="BR114">
        <f t="shared" si="29"/>
        <v>-43.121402840693804</v>
      </c>
      <c r="BT114">
        <f t="shared" si="30"/>
        <v>5.5695388474687295</v>
      </c>
      <c r="BV114">
        <f t="shared" si="31"/>
        <v>-179.3878326290243</v>
      </c>
      <c r="BX114">
        <f t="shared" si="32"/>
        <v>-62.71954248979538</v>
      </c>
      <c r="CB114">
        <f t="shared" si="33"/>
        <v>23849.53675172602</v>
      </c>
      <c r="CD114">
        <f t="shared" si="34"/>
        <v>63693.190668261363</v>
      </c>
      <c r="CF114">
        <f t="shared" si="35"/>
        <v>51027.716123887498</v>
      </c>
    </row>
    <row r="115" spans="12:84" x14ac:dyDescent="0.25">
      <c r="L115">
        <v>104</v>
      </c>
      <c r="M115">
        <f t="shared" si="47"/>
        <v>0.65345127194667818</v>
      </c>
      <c r="P115">
        <f t="shared" si="41"/>
        <v>23969.951993239174</v>
      </c>
      <c r="Q115">
        <f t="shared" si="42"/>
        <v>10539.651488473031</v>
      </c>
      <c r="V115">
        <f t="shared" si="43"/>
        <v>-17221.03360473258</v>
      </c>
      <c r="W115">
        <f t="shared" si="44"/>
        <v>12127.756041931123</v>
      </c>
      <c r="AB115">
        <f t="shared" si="45"/>
        <v>-1030.0480067608269</v>
      </c>
      <c r="AC115">
        <f t="shared" si="46"/>
        <v>-11960.348511526969</v>
      </c>
      <c r="AW115">
        <v>108</v>
      </c>
      <c r="AX115">
        <f t="shared" si="36"/>
        <v>54</v>
      </c>
      <c r="AZ115">
        <f t="shared" si="37"/>
        <v>44397.134301028476</v>
      </c>
      <c r="BB115">
        <f t="shared" si="38"/>
        <v>328.56661446246915</v>
      </c>
      <c r="BD115">
        <f t="shared" si="39"/>
        <v>2226.3448774645021</v>
      </c>
      <c r="BF115">
        <f t="shared" si="40"/>
        <v>-2996.7095175138497</v>
      </c>
      <c r="BH115">
        <f t="shared" si="25"/>
        <v>-844.22102722986244</v>
      </c>
      <c r="BJ115">
        <f t="shared" si="26"/>
        <v>135.32684584214695</v>
      </c>
      <c r="BN115" s="20">
        <f t="shared" si="27"/>
        <v>-626.12661883837768</v>
      </c>
      <c r="BP115">
        <f t="shared" si="28"/>
        <v>184.04724434057755</v>
      </c>
      <c r="BR115">
        <f t="shared" si="29"/>
        <v>-41.166609017039583</v>
      </c>
      <c r="BT115">
        <f t="shared" si="30"/>
        <v>6.1825750654623217</v>
      </c>
      <c r="BV115">
        <f t="shared" si="31"/>
        <v>-176.92779937444519</v>
      </c>
      <c r="BX115">
        <f t="shared" si="32"/>
        <v>-54.9029735638929</v>
      </c>
      <c r="CB115">
        <f t="shared" si="33"/>
        <v>25429.306300125892</v>
      </c>
      <c r="CD115">
        <f t="shared" si="34"/>
        <v>65119.332996550176</v>
      </c>
      <c r="CF115">
        <f t="shared" si="35"/>
        <v>51720.806563779122</v>
      </c>
    </row>
    <row r="116" spans="12:84" x14ac:dyDescent="0.25">
      <c r="L116">
        <v>105</v>
      </c>
      <c r="M116">
        <f t="shared" si="47"/>
        <v>0.65973445725385782</v>
      </c>
      <c r="P116">
        <f t="shared" si="41"/>
        <v>23950.775061878448</v>
      </c>
      <c r="Q116">
        <f t="shared" si="42"/>
        <v>10564.535268264888</v>
      </c>
      <c r="V116">
        <f t="shared" si="43"/>
        <v>-17234.457456685086</v>
      </c>
      <c r="W116">
        <f t="shared" si="44"/>
        <v>12145.17468778542</v>
      </c>
      <c r="AB116">
        <f t="shared" si="45"/>
        <v>-1049.224938121552</v>
      </c>
      <c r="AC116">
        <f t="shared" si="46"/>
        <v>-11935.464731735112</v>
      </c>
      <c r="AW116">
        <v>109</v>
      </c>
      <c r="AX116">
        <f t="shared" si="36"/>
        <v>54.5</v>
      </c>
      <c r="AZ116">
        <f t="shared" si="37"/>
        <v>45404.779111356998</v>
      </c>
      <c r="BB116">
        <f t="shared" si="38"/>
        <v>-1152.8722885641876</v>
      </c>
      <c r="BD116">
        <f t="shared" si="39"/>
        <v>1804.2343638495709</v>
      </c>
      <c r="BF116">
        <f t="shared" si="40"/>
        <v>-2929.0460945927762</v>
      </c>
      <c r="BH116">
        <f t="shared" si="25"/>
        <v>-780.84269542513584</v>
      </c>
      <c r="BJ116">
        <f t="shared" si="26"/>
        <v>151.49648306016792</v>
      </c>
      <c r="BN116" s="20">
        <f t="shared" si="27"/>
        <v>-566.2064753290731</v>
      </c>
      <c r="BP116">
        <f t="shared" si="28"/>
        <v>192.85002630825241</v>
      </c>
      <c r="BR116">
        <f t="shared" si="29"/>
        <v>-39.55402705576369</v>
      </c>
      <c r="BT116">
        <f t="shared" si="30"/>
        <v>6.7447825410474405</v>
      </c>
      <c r="BV116">
        <f t="shared" si="31"/>
        <v>-175.08219304029913</v>
      </c>
      <c r="BX116">
        <f t="shared" si="32"/>
        <v>-48.09832578913192</v>
      </c>
      <c r="CB116">
        <f t="shared" si="33"/>
        <v>26837.939573280266</v>
      </c>
      <c r="CD116">
        <f t="shared" si="34"/>
        <v>66348.863523729058</v>
      </c>
      <c r="CF116">
        <f t="shared" si="35"/>
        <v>52272.217315907925</v>
      </c>
    </row>
    <row r="117" spans="12:84" x14ac:dyDescent="0.25">
      <c r="L117">
        <v>106</v>
      </c>
      <c r="M117">
        <f t="shared" si="47"/>
        <v>0.66601764256103746</v>
      </c>
      <c r="P117">
        <f t="shared" si="41"/>
        <v>23931.442160683091</v>
      </c>
      <c r="Q117">
        <f t="shared" si="42"/>
        <v>10589.298065451676</v>
      </c>
      <c r="V117">
        <f t="shared" si="43"/>
        <v>-17247.990487521838</v>
      </c>
      <c r="W117">
        <f t="shared" si="44"/>
        <v>12162.508645816173</v>
      </c>
      <c r="AB117">
        <f t="shared" si="45"/>
        <v>-1068.5578393169094</v>
      </c>
      <c r="AC117">
        <f t="shared" si="46"/>
        <v>-11910.701934548324</v>
      </c>
      <c r="AW117">
        <v>110</v>
      </c>
      <c r="AX117">
        <f t="shared" si="36"/>
        <v>55</v>
      </c>
      <c r="AZ117">
        <f t="shared" si="37"/>
        <v>46209.290956353638</v>
      </c>
      <c r="BB117">
        <f t="shared" si="38"/>
        <v>-2598.4582754780549</v>
      </c>
      <c r="BD117">
        <f t="shared" si="39"/>
        <v>1413.8130161370029</v>
      </c>
      <c r="BF117">
        <f t="shared" si="40"/>
        <v>-2853.2978530626924</v>
      </c>
      <c r="BH117">
        <f t="shared" si="25"/>
        <v>-729.85877141867763</v>
      </c>
      <c r="BJ117">
        <f t="shared" si="26"/>
        <v>164.6884631745985</v>
      </c>
      <c r="BN117" s="20">
        <f t="shared" si="27"/>
        <v>-517.80982956876699</v>
      </c>
      <c r="BP117">
        <f t="shared" si="28"/>
        <v>199.5124922395112</v>
      </c>
      <c r="BR117">
        <f t="shared" si="29"/>
        <v>-38.220398460072687</v>
      </c>
      <c r="BT117">
        <f t="shared" si="30"/>
        <v>7.2726665444702743</v>
      </c>
      <c r="BV117">
        <f t="shared" si="31"/>
        <v>-173.82854338983788</v>
      </c>
      <c r="BX117">
        <f t="shared" si="32"/>
        <v>-42.096695609382984</v>
      </c>
      <c r="CB117">
        <f t="shared" si="33"/>
        <v>28087.466813088929</v>
      </c>
      <c r="CD117">
        <f t="shared" si="34"/>
        <v>67397.265225393625</v>
      </c>
      <c r="CF117">
        <f t="shared" si="35"/>
        <v>52689.559852000479</v>
      </c>
    </row>
    <row r="118" spans="12:84" x14ac:dyDescent="0.25">
      <c r="L118">
        <v>107</v>
      </c>
      <c r="M118">
        <f t="shared" si="47"/>
        <v>0.6723008278682171</v>
      </c>
      <c r="P118">
        <f t="shared" si="41"/>
        <v>23911.954052882938</v>
      </c>
      <c r="Q118">
        <f t="shared" si="42"/>
        <v>10613.938902440568</v>
      </c>
      <c r="V118">
        <f t="shared" si="43"/>
        <v>-17261.632162981943</v>
      </c>
      <c r="W118">
        <f t="shared" si="44"/>
        <v>12179.757231708398</v>
      </c>
      <c r="AB118">
        <f t="shared" si="45"/>
        <v>-1088.0459471170634</v>
      </c>
      <c r="AC118">
        <f t="shared" si="46"/>
        <v>-11886.061097559432</v>
      </c>
      <c r="AW118">
        <v>111</v>
      </c>
      <c r="AX118">
        <f t="shared" si="36"/>
        <v>55.5</v>
      </c>
      <c r="AZ118">
        <f t="shared" si="37"/>
        <v>46824.965117994805</v>
      </c>
      <c r="BB118">
        <f t="shared" si="38"/>
        <v>-4004.5211441125762</v>
      </c>
      <c r="BD118">
        <f t="shared" si="39"/>
        <v>1048.8836304276642</v>
      </c>
      <c r="BF118">
        <f t="shared" si="40"/>
        <v>-2770.953621475393</v>
      </c>
      <c r="BH118">
        <f t="shared" si="25"/>
        <v>-688.493729368598</v>
      </c>
      <c r="BJ118">
        <f t="shared" si="26"/>
        <v>176.13820568408178</v>
      </c>
      <c r="BN118" s="20">
        <f t="shared" si="27"/>
        <v>-478.22070848083041</v>
      </c>
      <c r="BP118">
        <f t="shared" si="28"/>
        <v>205.09626864638651</v>
      </c>
      <c r="BR118">
        <f t="shared" si="29"/>
        <v>-37.119571671015741</v>
      </c>
      <c r="BT118">
        <f t="shared" si="30"/>
        <v>7.7791559697673165</v>
      </c>
      <c r="BV118">
        <f t="shared" si="31"/>
        <v>-173.15344921675188</v>
      </c>
      <c r="BX118">
        <f t="shared" si="32"/>
        <v>-36.737218932072047</v>
      </c>
      <c r="CB118">
        <f t="shared" si="33"/>
        <v>29187.887219478071</v>
      </c>
      <c r="CD118">
        <f t="shared" si="34"/>
        <v>68276.662011972425</v>
      </c>
      <c r="CF118">
        <f t="shared" si="35"/>
        <v>52978.557594102596</v>
      </c>
    </row>
    <row r="119" spans="12:84" x14ac:dyDescent="0.25">
      <c r="L119">
        <v>108</v>
      </c>
      <c r="M119">
        <f t="shared" si="47"/>
        <v>0.67858401317539674</v>
      </c>
      <c r="P119">
        <f t="shared" si="41"/>
        <v>23892.311507835111</v>
      </c>
      <c r="Q119">
        <f t="shared" si="42"/>
        <v>10638.456806453509</v>
      </c>
      <c r="V119">
        <f t="shared" si="43"/>
        <v>-17275.381944515422</v>
      </c>
      <c r="W119">
        <f t="shared" si="44"/>
        <v>12196.919764517455</v>
      </c>
      <c r="AB119">
        <f t="shared" si="45"/>
        <v>-1107.6884921648871</v>
      </c>
      <c r="AC119">
        <f t="shared" si="46"/>
        <v>-11861.543193546491</v>
      </c>
      <c r="AW119">
        <v>112</v>
      </c>
      <c r="AX119">
        <f t="shared" si="36"/>
        <v>56</v>
      </c>
      <c r="AZ119">
        <f t="shared" si="37"/>
        <v>47263.34521703756</v>
      </c>
      <c r="BB119">
        <f t="shared" si="38"/>
        <v>-5367.9806791397623</v>
      </c>
      <c r="BD119">
        <f t="shared" si="39"/>
        <v>704.63676574336523</v>
      </c>
      <c r="BF119">
        <f t="shared" si="40"/>
        <v>-2682.8845186333519</v>
      </c>
      <c r="BH119">
        <f t="shared" si="25"/>
        <v>-654.7432615750962</v>
      </c>
      <c r="BJ119">
        <f t="shared" si="26"/>
        <v>186.63980917213249</v>
      </c>
      <c r="BN119" s="20">
        <f t="shared" si="27"/>
        <v>-445.47340013751756</v>
      </c>
      <c r="BP119">
        <f t="shared" si="28"/>
        <v>210.25824455533007</v>
      </c>
      <c r="BR119">
        <f t="shared" si="29"/>
        <v>-36.217370602618942</v>
      </c>
      <c r="BT119">
        <f t="shared" si="30"/>
        <v>8.2747572228880237</v>
      </c>
      <c r="BV119">
        <f t="shared" si="31"/>
        <v>-173.05249083495974</v>
      </c>
      <c r="BX119">
        <f t="shared" si="32"/>
        <v>-31.893192606085595</v>
      </c>
      <c r="CB119">
        <f t="shared" si="33"/>
        <v>30147.55245757239</v>
      </c>
      <c r="CD119">
        <f t="shared" si="34"/>
        <v>68996.611800441213</v>
      </c>
      <c r="CF119">
        <f t="shared" si="35"/>
        <v>53143.513710260704</v>
      </c>
    </row>
    <row r="120" spans="12:84" x14ac:dyDescent="0.25">
      <c r="L120">
        <v>109</v>
      </c>
      <c r="M120">
        <f t="shared" si="47"/>
        <v>0.68486719848257638</v>
      </c>
      <c r="P120">
        <f t="shared" si="41"/>
        <v>23872.515300993666</v>
      </c>
      <c r="Q120">
        <f t="shared" si="42"/>
        <v>10662.850809565627</v>
      </c>
      <c r="V120">
        <f t="shared" si="43"/>
        <v>-17289.239289304434</v>
      </c>
      <c r="W120">
        <f t="shared" si="44"/>
        <v>12213.995566695939</v>
      </c>
      <c r="AB120">
        <f t="shared" si="45"/>
        <v>-1127.4846990063352</v>
      </c>
      <c r="AC120">
        <f t="shared" si="46"/>
        <v>-11837.149190434373</v>
      </c>
      <c r="AW120">
        <v>113</v>
      </c>
      <c r="AX120">
        <f t="shared" si="36"/>
        <v>56.5</v>
      </c>
      <c r="AZ120">
        <f t="shared" si="37"/>
        <v>47533.82069221235</v>
      </c>
      <c r="BB120">
        <f t="shared" si="38"/>
        <v>-6686.0929623099219</v>
      </c>
      <c r="BD120">
        <f t="shared" si="39"/>
        <v>377.26513495581713</v>
      </c>
      <c r="BF120">
        <f t="shared" si="40"/>
        <v>-2589.5646140472859</v>
      </c>
      <c r="BH120">
        <f t="shared" si="25"/>
        <v>-627.13960192167985</v>
      </c>
      <c r="BJ120">
        <f t="shared" si="26"/>
        <v>196.73179643096128</v>
      </c>
      <c r="BN120" s="20">
        <f t="shared" si="27"/>
        <v>-418.12091213128855</v>
      </c>
      <c r="BP120">
        <f t="shared" si="28"/>
        <v>215.42604621733227</v>
      </c>
      <c r="BR120">
        <f t="shared" si="29"/>
        <v>-35.488278344061946</v>
      </c>
      <c r="BT120">
        <f t="shared" si="30"/>
        <v>8.7683579198064336</v>
      </c>
      <c r="BV120">
        <f t="shared" si="31"/>
        <v>-173.5304114463294</v>
      </c>
      <c r="BX120">
        <f t="shared" si="32"/>
        <v>-27.462607706177405</v>
      </c>
      <c r="CB120">
        <f t="shared" si="33"/>
        <v>30973.480841619981</v>
      </c>
      <c r="CD120">
        <f t="shared" si="34"/>
        <v>69564.665137084769</v>
      </c>
      <c r="CF120">
        <f t="shared" si="35"/>
        <v>53187.624187896108</v>
      </c>
    </row>
    <row r="121" spans="12:84" x14ac:dyDescent="0.25">
      <c r="L121">
        <v>110</v>
      </c>
      <c r="M121">
        <f t="shared" si="47"/>
        <v>0.69115038378975602</v>
      </c>
      <c r="P121">
        <f t="shared" si="41"/>
        <v>23852.566213878941</v>
      </c>
      <c r="Q121">
        <f t="shared" si="42"/>
        <v>10687.119948743453</v>
      </c>
      <c r="V121">
        <f t="shared" si="43"/>
        <v>-17303.20365028474</v>
      </c>
      <c r="W121">
        <f t="shared" si="44"/>
        <v>12230.983964120418</v>
      </c>
      <c r="AB121">
        <f t="shared" si="45"/>
        <v>-1147.4337861210588</v>
      </c>
      <c r="AC121">
        <f t="shared" si="46"/>
        <v>-11812.880051256547</v>
      </c>
      <c r="AW121">
        <v>114</v>
      </c>
      <c r="AX121">
        <f t="shared" si="36"/>
        <v>57</v>
      </c>
      <c r="AZ121">
        <f t="shared" si="37"/>
        <v>47644.060809450049</v>
      </c>
      <c r="BB121">
        <f t="shared" si="38"/>
        <v>-7956.2837947796943</v>
      </c>
      <c r="BD121">
        <f t="shared" si="39"/>
        <v>63.695333994977204</v>
      </c>
      <c r="BF121">
        <f t="shared" si="40"/>
        <v>-2491.1987158318052</v>
      </c>
      <c r="BH121">
        <f t="shared" si="25"/>
        <v>-604.59348659633929</v>
      </c>
      <c r="BJ121">
        <f t="shared" si="26"/>
        <v>206.80177891759877</v>
      </c>
      <c r="BN121" s="20">
        <f t="shared" si="27"/>
        <v>-395.0786528082844</v>
      </c>
      <c r="BP121">
        <f t="shared" si="28"/>
        <v>220.89546905411981</v>
      </c>
      <c r="BR121">
        <f t="shared" si="29"/>
        <v>-34.913242012225034</v>
      </c>
      <c r="BT121">
        <f t="shared" si="30"/>
        <v>9.2678067263483506</v>
      </c>
      <c r="BV121">
        <f t="shared" si="31"/>
        <v>-174.60159177582989</v>
      </c>
      <c r="BX121">
        <f t="shared" si="32"/>
        <v>-23.361496862869402</v>
      </c>
      <c r="CB121">
        <f t="shared" si="33"/>
        <v>31671.608844221057</v>
      </c>
      <c r="CD121">
        <f t="shared" si="34"/>
        <v>69986.763680793549</v>
      </c>
      <c r="CF121">
        <f t="shared" si="35"/>
        <v>53113.191172144398</v>
      </c>
    </row>
    <row r="122" spans="12:84" x14ac:dyDescent="0.25">
      <c r="L122">
        <v>111</v>
      </c>
      <c r="M122">
        <f t="shared" si="47"/>
        <v>0.69743356909693566</v>
      </c>
      <c r="P122">
        <f t="shared" si="41"/>
        <v>23832.465034046745</v>
      </c>
      <c r="Q122">
        <f t="shared" si="42"/>
        <v>10711.263265882928</v>
      </c>
      <c r="V122">
        <f t="shared" si="43"/>
        <v>-17317.27447616728</v>
      </c>
      <c r="W122">
        <f t="shared" si="44"/>
        <v>12247.884286118049</v>
      </c>
      <c r="AB122">
        <f t="shared" si="45"/>
        <v>-1167.5349659532558</v>
      </c>
      <c r="AC122">
        <f t="shared" si="46"/>
        <v>-11788.736734117072</v>
      </c>
      <c r="AW122">
        <v>115</v>
      </c>
      <c r="AX122">
        <f t="shared" si="36"/>
        <v>57.5</v>
      </c>
      <c r="AZ122">
        <f t="shared" si="37"/>
        <v>47600.334290622995</v>
      </c>
      <c r="BB122">
        <f t="shared" si="38"/>
        <v>-9176.0329303308972</v>
      </c>
      <c r="BD122">
        <f t="shared" si="39"/>
        <v>-238.60140930319244</v>
      </c>
      <c r="BF122">
        <f t="shared" si="40"/>
        <v>-2387.7978263730056</v>
      </c>
      <c r="BH122">
        <f t="shared" si="25"/>
        <v>-586.28711572889142</v>
      </c>
      <c r="BJ122">
        <f t="shared" si="26"/>
        <v>217.1480279819136</v>
      </c>
      <c r="BN122" s="20">
        <f t="shared" si="27"/>
        <v>-375.51805310981467</v>
      </c>
      <c r="BP122">
        <f t="shared" si="28"/>
        <v>226.8867961400212</v>
      </c>
      <c r="BR122">
        <f t="shared" si="29"/>
        <v>-34.478195508554236</v>
      </c>
      <c r="BT122">
        <f t="shared" si="30"/>
        <v>9.7803512273774835</v>
      </c>
      <c r="BV122">
        <f t="shared" si="31"/>
        <v>-176.29086711052256</v>
      </c>
      <c r="BX122">
        <f t="shared" si="32"/>
        <v>-19.519119385485087</v>
      </c>
      <c r="CB122">
        <f t="shared" si="33"/>
        <v>32246.992530275133</v>
      </c>
      <c r="CD122">
        <f t="shared" si="34"/>
        <v>70267.527600941772</v>
      </c>
      <c r="CF122">
        <f t="shared" si="35"/>
        <v>52921.770188778457</v>
      </c>
    </row>
    <row r="123" spans="12:84" x14ac:dyDescent="0.25">
      <c r="L123">
        <v>112</v>
      </c>
      <c r="M123">
        <f t="shared" si="47"/>
        <v>0.7037167544041153</v>
      </c>
      <c r="P123">
        <f t="shared" si="41"/>
        <v>23812.212555057235</v>
      </c>
      <c r="Q123">
        <f t="shared" si="42"/>
        <v>10735.279807847228</v>
      </c>
      <c r="V123">
        <f t="shared" si="43"/>
        <v>-17331.451211459935</v>
      </c>
      <c r="W123">
        <f t="shared" si="44"/>
        <v>12264.69586549306</v>
      </c>
      <c r="AB123">
        <f t="shared" si="45"/>
        <v>-1187.7874449427659</v>
      </c>
      <c r="AC123">
        <f t="shared" si="46"/>
        <v>-11764.720192152772</v>
      </c>
      <c r="AW123">
        <v>116</v>
      </c>
      <c r="AX123">
        <f t="shared" si="36"/>
        <v>58</v>
      </c>
      <c r="AZ123">
        <f t="shared" si="37"/>
        <v>47407.747696505285</v>
      </c>
      <c r="BB123">
        <f t="shared" si="38"/>
        <v>-10342.788340019661</v>
      </c>
      <c r="BD123">
        <f t="shared" si="39"/>
        <v>-531.74496716763815</v>
      </c>
      <c r="BF123">
        <f t="shared" si="40"/>
        <v>-2279.2238123820489</v>
      </c>
      <c r="BH123">
        <f t="shared" si="25"/>
        <v>-571.60079395654589</v>
      </c>
      <c r="BJ123">
        <f t="shared" si="26"/>
        <v>228.01735747655232</v>
      </c>
      <c r="BN123" s="20">
        <f t="shared" si="27"/>
        <v>-358.79297466080567</v>
      </c>
      <c r="BP123">
        <f t="shared" si="28"/>
        <v>233.57873750330398</v>
      </c>
      <c r="BR123">
        <f t="shared" si="29"/>
        <v>-34.173059194422962</v>
      </c>
      <c r="BT123">
        <f t="shared" si="30"/>
        <v>10.312988252523235</v>
      </c>
      <c r="BV123">
        <f t="shared" si="31"/>
        <v>-178.63476010131731</v>
      </c>
      <c r="BX123">
        <f t="shared" si="32"/>
        <v>-15.874368279274901</v>
      </c>
      <c r="CB123">
        <f t="shared" si="33"/>
        <v>32703.971158592227</v>
      </c>
      <c r="CD123">
        <f t="shared" si="34"/>
        <v>70410.464328553848</v>
      </c>
      <c r="CF123">
        <f t="shared" si="35"/>
        <v>52614.272199341613</v>
      </c>
    </row>
    <row r="124" spans="12:84" x14ac:dyDescent="0.25">
      <c r="L124">
        <v>113</v>
      </c>
      <c r="M124">
        <f t="shared" si="47"/>
        <v>0.70999993971129494</v>
      </c>
      <c r="P124">
        <f t="shared" si="41"/>
        <v>23791.809576443604</v>
      </c>
      <c r="Q124">
        <f t="shared" si="42"/>
        <v>10759.168626504401</v>
      </c>
      <c r="V124">
        <f t="shared" si="43"/>
        <v>-17345.733296489478</v>
      </c>
      <c r="W124">
        <f t="shared" si="44"/>
        <v>12281.41803855308</v>
      </c>
      <c r="AB124">
        <f t="shared" si="45"/>
        <v>-1208.1904235563961</v>
      </c>
      <c r="AC124">
        <f t="shared" si="46"/>
        <v>-11740.831373495599</v>
      </c>
      <c r="AW124">
        <v>117</v>
      </c>
      <c r="AX124">
        <f t="shared" si="36"/>
        <v>58.5</v>
      </c>
      <c r="AZ124">
        <f t="shared" si="37"/>
        <v>47070.425113676894</v>
      </c>
      <c r="BB124">
        <f t="shared" si="38"/>
        <v>-11453.898076526117</v>
      </c>
      <c r="BD124">
        <f t="shared" si="39"/>
        <v>-817.54536414591109</v>
      </c>
      <c r="BF124">
        <f t="shared" si="40"/>
        <v>-2165.2151336437728</v>
      </c>
      <c r="BH124">
        <f t="shared" si="25"/>
        <v>-560.061919112802</v>
      </c>
      <c r="BJ124">
        <f t="shared" si="26"/>
        <v>239.62962508985743</v>
      </c>
      <c r="BN124" s="20">
        <f t="shared" si="27"/>
        <v>-344.38761627656913</v>
      </c>
      <c r="BP124">
        <f t="shared" si="28"/>
        <v>241.12985851950918</v>
      </c>
      <c r="BR124">
        <f t="shared" si="29"/>
        <v>-33.991069422666911</v>
      </c>
      <c r="BT124">
        <f t="shared" si="30"/>
        <v>10.87276452579564</v>
      </c>
      <c r="BV124">
        <f t="shared" si="31"/>
        <v>-181.68323341356597</v>
      </c>
      <c r="BX124">
        <f t="shared" si="32"/>
        <v>-12.372997955447394</v>
      </c>
      <c r="CB124">
        <f t="shared" si="33"/>
        <v>33046.303395849427</v>
      </c>
      <c r="CD124">
        <f t="shared" si="34"/>
        <v>70418.120307256933</v>
      </c>
      <c r="CF124">
        <f t="shared" si="35"/>
        <v>52191.033812051457</v>
      </c>
    </row>
    <row r="125" spans="12:84" x14ac:dyDescent="0.25">
      <c r="L125">
        <v>114</v>
      </c>
      <c r="M125">
        <f t="shared" si="47"/>
        <v>0.71628312501847458</v>
      </c>
      <c r="P125">
        <f t="shared" si="41"/>
        <v>23771.256903680514</v>
      </c>
      <c r="Q125">
        <f t="shared" si="42"/>
        <v>10782.928778764788</v>
      </c>
      <c r="V125">
        <f t="shared" si="43"/>
        <v>-17360.12016742364</v>
      </c>
      <c r="W125">
        <f t="shared" si="44"/>
        <v>12298.050145135352</v>
      </c>
      <c r="AB125">
        <f t="shared" si="45"/>
        <v>-1228.7430963194865</v>
      </c>
      <c r="AC125">
        <f t="shared" si="46"/>
        <v>-11717.071221235212</v>
      </c>
      <c r="AW125">
        <v>118</v>
      </c>
      <c r="AX125">
        <f t="shared" si="36"/>
        <v>59</v>
      </c>
      <c r="AZ125">
        <f t="shared" si="37"/>
        <v>46591.644691714835</v>
      </c>
      <c r="BB125">
        <f t="shared" si="38"/>
        <v>-12506.55194021177</v>
      </c>
      <c r="BD125">
        <f t="shared" si="39"/>
        <v>-1097.576323702312</v>
      </c>
      <c r="BF125">
        <f t="shared" si="40"/>
        <v>-2045.400321098844</v>
      </c>
      <c r="BH125">
        <f t="shared" si="25"/>
        <v>-551.3089442384528</v>
      </c>
      <c r="BJ125">
        <f t="shared" si="26"/>
        <v>252.19452784010991</v>
      </c>
      <c r="BN125" s="20">
        <f t="shared" si="27"/>
        <v>-331.87848787352789</v>
      </c>
      <c r="BP125">
        <f t="shared" si="28"/>
        <v>249.69287467763982</v>
      </c>
      <c r="BR125">
        <f t="shared" si="29"/>
        <v>-33.928347423746679</v>
      </c>
      <c r="BT125">
        <f t="shared" si="30"/>
        <v>11.467055920802498</v>
      </c>
      <c r="BV125">
        <f t="shared" si="31"/>
        <v>-185.50210894117825</v>
      </c>
      <c r="BX125">
        <f t="shared" si="32"/>
        <v>-8.9654027583324112</v>
      </c>
      <c r="CB125">
        <f t="shared" si="33"/>
        <v>33277.284864405585</v>
      </c>
      <c r="CD125">
        <f t="shared" si="34"/>
        <v>70292.190341353315</v>
      </c>
      <c r="CF125">
        <f t="shared" si="35"/>
        <v>51651.864295715495</v>
      </c>
    </row>
    <row r="126" spans="12:84" x14ac:dyDescent="0.25">
      <c r="L126">
        <v>115</v>
      </c>
      <c r="M126">
        <f t="shared" si="47"/>
        <v>0.72256631032565422</v>
      </c>
      <c r="P126">
        <f t="shared" si="41"/>
        <v>23750.555348152291</v>
      </c>
      <c r="Q126">
        <f t="shared" si="42"/>
        <v>10806.559326618266</v>
      </c>
      <c r="V126">
        <f t="shared" si="43"/>
        <v>-17374.611256293396</v>
      </c>
      <c r="W126">
        <f t="shared" si="44"/>
        <v>12314.591528632785</v>
      </c>
      <c r="AB126">
        <f t="shared" si="45"/>
        <v>-1249.444651847708</v>
      </c>
      <c r="AC126">
        <f t="shared" si="46"/>
        <v>-11693.440673381734</v>
      </c>
      <c r="AW126">
        <v>119</v>
      </c>
      <c r="AX126">
        <f t="shared" si="36"/>
        <v>59.5</v>
      </c>
      <c r="AZ126">
        <f t="shared" si="37"/>
        <v>45973.942911833874</v>
      </c>
      <c r="BB126">
        <f t="shared" si="38"/>
        <v>-13497.727784781178</v>
      </c>
      <c r="BD126">
        <f t="shared" si="39"/>
        <v>-1373.2307958215383</v>
      </c>
      <c r="BF126">
        <f t="shared" si="40"/>
        <v>-1919.303057178789</v>
      </c>
      <c r="BH126">
        <f t="shared" si="25"/>
        <v>-545.06547733143202</v>
      </c>
      <c r="BJ126">
        <f t="shared" si="26"/>
        <v>265.92391362585926</v>
      </c>
      <c r="BN126" s="20">
        <f t="shared" si="27"/>
        <v>-320.90546345548182</v>
      </c>
      <c r="BP126">
        <f t="shared" si="28"/>
        <v>259.4248239152497</v>
      </c>
      <c r="BR126">
        <f t="shared" si="29"/>
        <v>-33.98365274292734</v>
      </c>
      <c r="BT126">
        <f t="shared" si="30"/>
        <v>12.103848671785288</v>
      </c>
      <c r="BV126">
        <f t="shared" si="31"/>
        <v>-190.17636113302291</v>
      </c>
      <c r="BX126">
        <f t="shared" si="32"/>
        <v>-5.6047589611757296</v>
      </c>
      <c r="CB126">
        <f t="shared" si="33"/>
        <v>33399.854528290634</v>
      </c>
      <c r="CD126">
        <f t="shared" si="34"/>
        <v>70033.594469951291</v>
      </c>
      <c r="CF126">
        <f t="shared" si="35"/>
        <v>50996.075121400449</v>
      </c>
    </row>
    <row r="127" spans="12:84" x14ac:dyDescent="0.25">
      <c r="L127">
        <v>116</v>
      </c>
      <c r="M127">
        <f t="shared" si="47"/>
        <v>0.72884949563283385</v>
      </c>
      <c r="P127">
        <f t="shared" si="41"/>
        <v>23729.705727120905</v>
      </c>
      <c r="Q127">
        <f t="shared" si="42"/>
        <v>10830.059337171264</v>
      </c>
      <c r="V127">
        <f t="shared" si="43"/>
        <v>-17389.205991015366</v>
      </c>
      <c r="W127">
        <f t="shared" si="44"/>
        <v>12331.041536019886</v>
      </c>
      <c r="AB127">
        <f t="shared" si="45"/>
        <v>-1270.2942728790954</v>
      </c>
      <c r="AC127">
        <f t="shared" si="46"/>
        <v>-11669.940662828736</v>
      </c>
      <c r="AW127">
        <v>120</v>
      </c>
      <c r="AX127">
        <f t="shared" si="36"/>
        <v>60</v>
      </c>
      <c r="AZ127">
        <f t="shared" si="37"/>
        <v>45219.194329256672</v>
      </c>
      <c r="BB127">
        <f t="shared" si="38"/>
        <v>-14424.138824167341</v>
      </c>
      <c r="BD127">
        <f t="shared" si="39"/>
        <v>-1645.7635344872542</v>
      </c>
      <c r="BF127">
        <f t="shared" si="40"/>
        <v>-1786.3411003658593</v>
      </c>
      <c r="BH127">
        <f t="shared" si="25"/>
        <v>-541.12130405684331</v>
      </c>
      <c r="BJ127">
        <f t="shared" si="26"/>
        <v>281.0414684822058</v>
      </c>
      <c r="BN127" s="20">
        <f t="shared" si="27"/>
        <v>-311.14843353881201</v>
      </c>
      <c r="BP127">
        <f t="shared" si="28"/>
        <v>270.49482084022571</v>
      </c>
      <c r="BR127">
        <f t="shared" si="29"/>
        <v>-34.158290421756533</v>
      </c>
      <c r="BT127">
        <f t="shared" si="30"/>
        <v>12.792044364199613</v>
      </c>
      <c r="BV127">
        <f t="shared" si="31"/>
        <v>-195.81458009627474</v>
      </c>
      <c r="BX127">
        <f t="shared" si="32"/>
        <v>-2.2453967222195415</v>
      </c>
      <c r="CB127">
        <f t="shared" si="33"/>
        <v>33416.696811596652</v>
      </c>
      <c r="CD127">
        <f t="shared" si="34"/>
        <v>69642.529148929854</v>
      </c>
      <c r="CF127">
        <f t="shared" si="35"/>
        <v>50222.495907446464</v>
      </c>
    </row>
    <row r="128" spans="12:84" x14ac:dyDescent="0.25">
      <c r="L128">
        <v>117</v>
      </c>
      <c r="M128">
        <f t="shared" si="47"/>
        <v>0.73513268094001349</v>
      </c>
      <c r="P128">
        <f t="shared" si="41"/>
        <v>23708.70886369369</v>
      </c>
      <c r="Q128">
        <f t="shared" si="42"/>
        <v>10853.427882683607</v>
      </c>
      <c r="V128">
        <f t="shared" si="43"/>
        <v>-17403.903795414415</v>
      </c>
      <c r="W128">
        <f t="shared" si="44"/>
        <v>12347.399517878524</v>
      </c>
      <c r="AB128">
        <f t="shared" si="45"/>
        <v>-1291.2911363063099</v>
      </c>
      <c r="AC128">
        <f t="shared" si="46"/>
        <v>-11646.572117316393</v>
      </c>
      <c r="AW128">
        <v>121</v>
      </c>
      <c r="AX128">
        <f t="shared" si="36"/>
        <v>60.5</v>
      </c>
      <c r="AZ128">
        <f t="shared" si="37"/>
        <v>44328.67239900594</v>
      </c>
      <c r="BB128">
        <f t="shared" si="38"/>
        <v>-15282.179190789995</v>
      </c>
      <c r="BD128">
        <f t="shared" si="39"/>
        <v>-1916.3241865156758</v>
      </c>
      <c r="BF128">
        <f t="shared" si="40"/>
        <v>-1645.8203661247564</v>
      </c>
      <c r="BH128">
        <f t="shared" si="25"/>
        <v>-539.31816074135054</v>
      </c>
      <c r="BJ128">
        <f t="shared" si="26"/>
        <v>297.79082386103585</v>
      </c>
      <c r="BN128" s="20">
        <f t="shared" si="27"/>
        <v>-302.30697241824544</v>
      </c>
      <c r="BP128">
        <f t="shared" si="28"/>
        <v>283.09031842358502</v>
      </c>
      <c r="BR128">
        <f t="shared" si="29"/>
        <v>-34.456158794883812</v>
      </c>
      <c r="BT128">
        <f t="shared" si="30"/>
        <v>13.541811891831124</v>
      </c>
      <c r="BV128">
        <f t="shared" si="31"/>
        <v>-202.55502952822133</v>
      </c>
      <c r="BX128">
        <f t="shared" si="32"/>
        <v>1.1586935456197049</v>
      </c>
      <c r="CB128">
        <f t="shared" si="33"/>
        <v>33330.346373529006</v>
      </c>
      <c r="CD128">
        <f t="shared" si="34"/>
        <v>69118.497359634799</v>
      </c>
      <c r="CF128">
        <f t="shared" si="35"/>
        <v>49329.479479761038</v>
      </c>
    </row>
    <row r="129" spans="12:84" x14ac:dyDescent="0.25">
      <c r="L129">
        <v>118</v>
      </c>
      <c r="M129">
        <f t="shared" si="47"/>
        <v>0.74141586624719313</v>
      </c>
      <c r="P129">
        <f t="shared" si="41"/>
        <v>23687.565586790864</v>
      </c>
      <c r="Q129">
        <f t="shared" si="42"/>
        <v>10876.66404060513</v>
      </c>
      <c r="V129">
        <f t="shared" si="43"/>
        <v>-17418.704089246396</v>
      </c>
      <c r="W129">
        <f t="shared" si="44"/>
        <v>12363.664828423591</v>
      </c>
      <c r="AB129">
        <f t="shared" si="45"/>
        <v>-1312.4344132091369</v>
      </c>
      <c r="AC129">
        <f t="shared" si="46"/>
        <v>-11623.33595939487</v>
      </c>
      <c r="AW129">
        <v>122</v>
      </c>
      <c r="AX129">
        <f t="shared" si="36"/>
        <v>61</v>
      </c>
      <c r="AZ129">
        <f t="shared" si="37"/>
        <v>43303.095535655433</v>
      </c>
      <c r="BB129">
        <f t="shared" si="38"/>
        <v>-16067.865520869744</v>
      </c>
      <c r="BD129">
        <f t="shared" si="39"/>
        <v>-2185.983266886351</v>
      </c>
      <c r="BF129">
        <f t="shared" si="40"/>
        <v>-1496.9249541942386</v>
      </c>
      <c r="BH129">
        <f t="shared" si="25"/>
        <v>-539.5387721578079</v>
      </c>
      <c r="BJ129">
        <f t="shared" si="26"/>
        <v>316.4425631700858</v>
      </c>
      <c r="BN129" s="20">
        <f t="shared" si="27"/>
        <v>-294.08091527312376</v>
      </c>
      <c r="BP129">
        <f t="shared" si="28"/>
        <v>297.42226532979498</v>
      </c>
      <c r="BR129">
        <f t="shared" si="29"/>
        <v>-34.883939588148849</v>
      </c>
      <c r="BT129">
        <f t="shared" si="30"/>
        <v>14.365013880084549</v>
      </c>
      <c r="BV129">
        <f t="shared" si="31"/>
        <v>-210.57391729653534</v>
      </c>
      <c r="BX129">
        <f t="shared" si="32"/>
        <v>4.6552839602062539</v>
      </c>
      <c r="CB129">
        <f t="shared" si="33"/>
        <v>33143.303196176523</v>
      </c>
      <c r="CD129">
        <f t="shared" si="34"/>
        <v>68460.320750128449</v>
      </c>
      <c r="CF129">
        <f t="shared" si="35"/>
        <v>48314.898065682784</v>
      </c>
    </row>
    <row r="130" spans="12:84" x14ac:dyDescent="0.25">
      <c r="L130">
        <v>119</v>
      </c>
      <c r="M130">
        <f t="shared" si="47"/>
        <v>0.74769905155437277</v>
      </c>
      <c r="P130">
        <f t="shared" si="41"/>
        <v>23666.276731112794</v>
      </c>
      <c r="Q130">
        <f t="shared" si="42"/>
        <v>10899.766893612104</v>
      </c>
      <c r="V130">
        <f t="shared" si="43"/>
        <v>-17433.606288221046</v>
      </c>
      <c r="W130">
        <f t="shared" si="44"/>
        <v>12379.836825528473</v>
      </c>
      <c r="AB130">
        <f t="shared" si="45"/>
        <v>-1333.7232688872064</v>
      </c>
      <c r="AC130">
        <f t="shared" si="46"/>
        <v>-11600.233106387896</v>
      </c>
      <c r="AW130">
        <v>123</v>
      </c>
      <c r="AX130">
        <f t="shared" si="36"/>
        <v>61.5</v>
      </c>
      <c r="AZ130">
        <f t="shared" si="37"/>
        <v>42142.661555692532</v>
      </c>
      <c r="BB130">
        <f t="shared" si="38"/>
        <v>-16776.772677570603</v>
      </c>
      <c r="BD130">
        <f t="shared" si="39"/>
        <v>-2455.752652965255</v>
      </c>
      <c r="BF130">
        <f t="shared" si="40"/>
        <v>-1338.7036726091956</v>
      </c>
      <c r="BH130">
        <f t="shared" si="25"/>
        <v>-541.69815679569979</v>
      </c>
      <c r="BJ130">
        <f t="shared" si="26"/>
        <v>337.30010078145921</v>
      </c>
      <c r="BN130" s="20">
        <f t="shared" si="27"/>
        <v>-286.14992211668317</v>
      </c>
      <c r="BP130">
        <f t="shared" si="28"/>
        <v>313.7290697172462</v>
      </c>
      <c r="BR130">
        <f t="shared" si="29"/>
        <v>-35.451446527942416</v>
      </c>
      <c r="BT130">
        <f t="shared" si="30"/>
        <v>15.275742959915213</v>
      </c>
      <c r="BV130">
        <f t="shared" si="31"/>
        <v>-220.09678815107421</v>
      </c>
      <c r="BX130">
        <f t="shared" si="32"/>
        <v>8.2952881042978088</v>
      </c>
      <c r="CB130">
        <f t="shared" si="33"/>
        <v>32858.167210122701</v>
      </c>
      <c r="CD130">
        <f t="shared" si="34"/>
        <v>67666.135845425946</v>
      </c>
      <c r="CF130">
        <f t="shared" si="35"/>
        <v>47176.132309700122</v>
      </c>
    </row>
    <row r="131" spans="12:84" x14ac:dyDescent="0.25">
      <c r="L131">
        <v>120</v>
      </c>
      <c r="M131">
        <f t="shared" si="47"/>
        <v>0.75398223686155241</v>
      </c>
      <c r="P131">
        <f t="shared" si="41"/>
        <v>23644.843137107051</v>
      </c>
      <c r="Q131">
        <f t="shared" si="42"/>
        <v>10922.735529643451</v>
      </c>
      <c r="V131">
        <f t="shared" si="43"/>
        <v>-17448.609804025065</v>
      </c>
      <c r="W131">
        <f t="shared" si="44"/>
        <v>12395.914870750416</v>
      </c>
      <c r="AB131">
        <f t="shared" si="45"/>
        <v>-1355.1568628929494</v>
      </c>
      <c r="AC131">
        <f t="shared" si="46"/>
        <v>-11577.264470356549</v>
      </c>
      <c r="AW131">
        <v>124</v>
      </c>
      <c r="AX131">
        <f t="shared" si="36"/>
        <v>62</v>
      </c>
      <c r="AZ131">
        <f t="shared" si="37"/>
        <v>40847.072959610443</v>
      </c>
      <c r="BB131">
        <f t="shared" si="38"/>
        <v>-17403.962001277519</v>
      </c>
      <c r="BD131">
        <f t="shared" si="39"/>
        <v>-2726.601731363105</v>
      </c>
      <c r="BF131">
        <f t="shared" si="40"/>
        <v>-1170.053622218466</v>
      </c>
      <c r="BH131">
        <f t="shared" si="25"/>
        <v>-545.73662321246286</v>
      </c>
      <c r="BJ131">
        <f t="shared" si="26"/>
        <v>360.70379461433737</v>
      </c>
      <c r="BN131" s="20">
        <f t="shared" si="27"/>
        <v>-278.15006143638374</v>
      </c>
      <c r="BP131">
        <f t="shared" si="28"/>
        <v>332.27871241614099</v>
      </c>
      <c r="BR131">
        <f t="shared" si="29"/>
        <v>-36.172165267573355</v>
      </c>
      <c r="BT131">
        <f t="shared" si="30"/>
        <v>16.291016055192951</v>
      </c>
      <c r="BV131">
        <f t="shared" si="31"/>
        <v>-231.4143965085058</v>
      </c>
      <c r="BX131">
        <f t="shared" si="32"/>
        <v>12.134066143003427</v>
      </c>
      <c r="CB131">
        <f t="shared" si="33"/>
        <v>32477.804333796881</v>
      </c>
      <c r="CD131">
        <f t="shared" si="34"/>
        <v>66733.375616100966</v>
      </c>
      <c r="CF131">
        <f t="shared" si="35"/>
        <v>45910.054805755019</v>
      </c>
    </row>
    <row r="132" spans="12:84" x14ac:dyDescent="0.25">
      <c r="L132">
        <v>121</v>
      </c>
      <c r="M132">
        <f t="shared" si="47"/>
        <v>0.76026542216873205</v>
      </c>
      <c r="P132">
        <f t="shared" si="41"/>
        <v>23623.265650935227</v>
      </c>
      <c r="Q132">
        <f t="shared" si="42"/>
        <v>10945.569041936749</v>
      </c>
      <c r="V132">
        <f t="shared" si="43"/>
        <v>-17463.714044345343</v>
      </c>
      <c r="W132">
        <f t="shared" si="44"/>
        <v>12411.898329355725</v>
      </c>
      <c r="AB132">
        <f t="shared" si="45"/>
        <v>-1376.7343490647736</v>
      </c>
      <c r="AC132">
        <f t="shared" si="46"/>
        <v>-11554.430958063251</v>
      </c>
      <c r="AW132">
        <v>125</v>
      </c>
      <c r="AX132">
        <f t="shared" si="36"/>
        <v>62.5</v>
      </c>
      <c r="AZ132">
        <f t="shared" si="37"/>
        <v>39415.555016027334</v>
      </c>
      <c r="BB132">
        <f t="shared" si="38"/>
        <v>-17943.900838059963</v>
      </c>
      <c r="BD132">
        <f t="shared" si="39"/>
        <v>-2999.4700429693366</v>
      </c>
      <c r="BF132">
        <f t="shared" si="40"/>
        <v>-989.70172491129733</v>
      </c>
      <c r="BH132">
        <f t="shared" si="25"/>
        <v>-551.6143901282054</v>
      </c>
      <c r="BJ132">
        <f t="shared" si="26"/>
        <v>387.03173708785232</v>
      </c>
      <c r="BN132" s="20">
        <f t="shared" si="27"/>
        <v>-269.6452329821168</v>
      </c>
      <c r="BP132">
        <f t="shared" si="28"/>
        <v>353.36752226701816</v>
      </c>
      <c r="BR132">
        <f t="shared" si="29"/>
        <v>-37.064038816357154</v>
      </c>
      <c r="BT132">
        <f t="shared" si="30"/>
        <v>17.431694866149211</v>
      </c>
      <c r="BV132">
        <f t="shared" si="31"/>
        <v>-244.90511832973144</v>
      </c>
      <c r="BX132">
        <f t="shared" si="32"/>
        <v>16.232519954684946</v>
      </c>
      <c r="CB132">
        <f t="shared" si="33"/>
        <v>32005.559930071722</v>
      </c>
      <c r="CD132">
        <f t="shared" si="34"/>
        <v>65658.73720922372</v>
      </c>
      <c r="CF132">
        <f t="shared" si="35"/>
        <v>44513.010227641098</v>
      </c>
    </row>
    <row r="133" spans="12:84" x14ac:dyDescent="0.25">
      <c r="L133">
        <v>122</v>
      </c>
      <c r="M133">
        <f t="shared" si="47"/>
        <v>0.76654860747591169</v>
      </c>
      <c r="P133">
        <f t="shared" si="41"/>
        <v>23601.545124439526</v>
      </c>
      <c r="Q133">
        <f t="shared" si="42"/>
        <v>10968.266529064033</v>
      </c>
      <c r="V133">
        <f t="shared" si="43"/>
        <v>-17478.91841289233</v>
      </c>
      <c r="W133">
        <f t="shared" si="44"/>
        <v>12427.786570344822</v>
      </c>
      <c r="AB133">
        <f t="shared" si="45"/>
        <v>-1398.4548755604733</v>
      </c>
      <c r="AC133">
        <f t="shared" si="46"/>
        <v>-11531.733470935967</v>
      </c>
      <c r="AW133">
        <v>126</v>
      </c>
      <c r="AX133">
        <f t="shared" si="36"/>
        <v>63</v>
      </c>
      <c r="AZ133">
        <f t="shared" si="37"/>
        <v>37846.868195776638</v>
      </c>
      <c r="BB133">
        <f t="shared" si="38"/>
        <v>-18390.372733379631</v>
      </c>
      <c r="BD133">
        <f t="shared" si="39"/>
        <v>-3275.2772380334395</v>
      </c>
      <c r="BF133">
        <f t="shared" si="40"/>
        <v>-796.18585636737112</v>
      </c>
      <c r="BH133">
        <f t="shared" si="25"/>
        <v>-559.30861059801418</v>
      </c>
      <c r="BJ133">
        <f t="shared" si="26"/>
        <v>416.69415465425084</v>
      </c>
      <c r="BN133" s="20">
        <f t="shared" si="27"/>
        <v>-260.09095238426909</v>
      </c>
      <c r="BP133">
        <f t="shared" si="28"/>
        <v>377.31279392772956</v>
      </c>
      <c r="BR133">
        <f t="shared" si="29"/>
        <v>-38.15058250990414</v>
      </c>
      <c r="BT133">
        <f t="shared" si="30"/>
        <v>18.723732005440002</v>
      </c>
      <c r="BV133">
        <f t="shared" si="31"/>
        <v>-261.06707570384094</v>
      </c>
      <c r="BX133">
        <f t="shared" si="32"/>
        <v>20.657628721081249</v>
      </c>
      <c r="CB133">
        <f t="shared" si="33"/>
        <v>31445.541888648557</v>
      </c>
      <c r="CD133">
        <f t="shared" si="34"/>
        <v>64438.136410046653</v>
      </c>
      <c r="CF133">
        <f t="shared" si="35"/>
        <v>42980.795030542416</v>
      </c>
    </row>
    <row r="134" spans="12:84" x14ac:dyDescent="0.25">
      <c r="L134">
        <v>123</v>
      </c>
      <c r="M134">
        <f t="shared" si="47"/>
        <v>0.77283179278309133</v>
      </c>
      <c r="P134">
        <f t="shared" si="41"/>
        <v>23579.68241510915</v>
      </c>
      <c r="Q134">
        <f t="shared" si="42"/>
        <v>10990.827094967372</v>
      </c>
      <c r="V134">
        <f t="shared" si="43"/>
        <v>-17494.222309423596</v>
      </c>
      <c r="W134">
        <f t="shared" si="44"/>
        <v>12443.57896647716</v>
      </c>
      <c r="AB134">
        <f t="shared" si="45"/>
        <v>-1420.3175848908518</v>
      </c>
      <c r="AC134">
        <f t="shared" si="46"/>
        <v>-11509.172905032628</v>
      </c>
      <c r="AW134">
        <v>127</v>
      </c>
      <c r="AX134">
        <f t="shared" si="36"/>
        <v>63.5</v>
      </c>
      <c r="AZ134">
        <f t="shared" si="37"/>
        <v>36139.316000435167</v>
      </c>
      <c r="BB134">
        <f t="shared" si="38"/>
        <v>-18736.378892231536</v>
      </c>
      <c r="BD134">
        <f t="shared" si="39"/>
        <v>-3554.9315433324464</v>
      </c>
      <c r="BF134">
        <f t="shared" si="40"/>
        <v>-587.83877904024575</v>
      </c>
      <c r="BH134">
        <f t="shared" si="25"/>
        <v>-568.81524046418701</v>
      </c>
      <c r="BJ134">
        <f t="shared" si="26"/>
        <v>450.11575798048739</v>
      </c>
      <c r="BN134" s="20">
        <f t="shared" si="27"/>
        <v>-248.78783459226591</v>
      </c>
      <c r="BP134">
        <f t="shared" si="28"/>
        <v>404.43423327014102</v>
      </c>
      <c r="BR134">
        <f t="shared" si="29"/>
        <v>-39.462456433773127</v>
      </c>
      <c r="BT134">
        <f t="shared" si="30"/>
        <v>20.199891642610936</v>
      </c>
      <c r="BV134">
        <f t="shared" si="31"/>
        <v>-280.56494943814801</v>
      </c>
      <c r="BX134">
        <f t="shared" si="32"/>
        <v>25.481633067735391</v>
      </c>
      <c r="CB134">
        <f t="shared" si="33"/>
        <v>30803.004696597945</v>
      </c>
      <c r="CD134">
        <f t="shared" si="34"/>
        <v>63066.649449884411</v>
      </c>
      <c r="CF134">
        <f t="shared" si="35"/>
        <v>41308.641326119337</v>
      </c>
    </row>
    <row r="135" spans="12:84" x14ac:dyDescent="0.25">
      <c r="L135">
        <v>124</v>
      </c>
      <c r="M135">
        <f t="shared" si="47"/>
        <v>0.77911497809027097</v>
      </c>
      <c r="P135">
        <f t="shared" si="41"/>
        <v>23557.67838604642</v>
      </c>
      <c r="Q135">
        <f t="shared" si="42"/>
        <v>11013.249848994254</v>
      </c>
      <c r="V135">
        <f t="shared" si="43"/>
        <v>-17509.625129767508</v>
      </c>
      <c r="W135">
        <f t="shared" si="44"/>
        <v>12459.274894295977</v>
      </c>
      <c r="AB135">
        <f t="shared" si="45"/>
        <v>-1442.3216139535812</v>
      </c>
      <c r="AC135">
        <f t="shared" si="46"/>
        <v>-11486.750151005746</v>
      </c>
      <c r="AW135">
        <v>128</v>
      </c>
      <c r="AX135">
        <f t="shared" si="36"/>
        <v>64</v>
      </c>
      <c r="AZ135">
        <f t="shared" si="37"/>
        <v>34290.748323710919</v>
      </c>
      <c r="BB135">
        <f t="shared" si="38"/>
        <v>-18974.033812004098</v>
      </c>
      <c r="BD135">
        <f t="shared" si="39"/>
        <v>-3839.3391635645398</v>
      </c>
      <c r="BF135">
        <f t="shared" si="40"/>
        <v>-362.78090005000206</v>
      </c>
      <c r="BH135">
        <f t="shared" si="25"/>
        <v>-580.1616061350453</v>
      </c>
      <c r="BJ135">
        <f t="shared" si="26"/>
        <v>487.69594366448155</v>
      </c>
      <c r="BN135" s="20">
        <f t="shared" si="27"/>
        <v>-234.8225033380302</v>
      </c>
      <c r="BP135">
        <f t="shared" si="28"/>
        <v>435.01563055839671</v>
      </c>
      <c r="BR135">
        <f t="shared" si="29"/>
        <v>-41.039689925862156</v>
      </c>
      <c r="BT135">
        <f t="shared" si="30"/>
        <v>21.902173026905455</v>
      </c>
      <c r="BV135">
        <f t="shared" si="31"/>
        <v>-304.29941287115298</v>
      </c>
      <c r="BX135">
        <f t="shared" si="32"/>
        <v>30.778140079179376</v>
      </c>
      <c r="CB135">
        <f t="shared" si="33"/>
        <v>30084.879157656302</v>
      </c>
      <c r="CD135">
        <f t="shared" si="34"/>
        <v>61538.443178940404</v>
      </c>
      <c r="CF135">
        <f t="shared" si="35"/>
        <v>39491.212295599944</v>
      </c>
    </row>
    <row r="136" spans="12:84" x14ac:dyDescent="0.25">
      <c r="L136">
        <v>125</v>
      </c>
      <c r="M136">
        <f t="shared" si="47"/>
        <v>0.78539816339745061</v>
      </c>
      <c r="P136">
        <f t="shared" si="41"/>
        <v>23535.533905932731</v>
      </c>
      <c r="Q136">
        <f t="shared" si="42"/>
        <v>11035.533905932745</v>
      </c>
      <c r="V136">
        <f t="shared" si="43"/>
        <v>-17525.126265847088</v>
      </c>
      <c r="W136">
        <f t="shared" si="44"/>
        <v>12474.873734152921</v>
      </c>
      <c r="AB136">
        <f t="shared" si="45"/>
        <v>-1464.4660940672707</v>
      </c>
      <c r="AC136">
        <f t="shared" si="46"/>
        <v>-11464.466094067255</v>
      </c>
      <c r="AW136">
        <v>129</v>
      </c>
      <c r="AX136">
        <f t="shared" si="36"/>
        <v>64.5</v>
      </c>
      <c r="AZ136">
        <f t="shared" si="37"/>
        <v>32298.558541161769</v>
      </c>
      <c r="BB136">
        <f t="shared" si="38"/>
        <v>-19094.462269071042</v>
      </c>
      <c r="BD136">
        <f t="shared" si="39"/>
        <v>-4129.4199666320628</v>
      </c>
      <c r="BF136">
        <f t="shared" si="40"/>
        <v>-118.93292821776129</v>
      </c>
      <c r="BH136">
        <f t="shared" ref="BH136:BH199" si="48">BN136+BR136+BV136</f>
        <v>-593.44257632567815</v>
      </c>
      <c r="BJ136">
        <f t="shared" ref="BJ136:BJ199" si="49">SUM(BP136,BT136,BX136)</f>
        <v>529.72920313112979</v>
      </c>
      <c r="BN136" s="20">
        <f t="shared" ref="BN136:BN199" si="50">$F$36*($F$32-AZ136)/(CB136^2+$F$37^2)^(3/2)</f>
        <v>-216.99568095130789</v>
      </c>
      <c r="BP136">
        <f t="shared" ref="BP136:BP199" si="51">$F$36*($G$32-BB136)/(CB136^2+($F$37)^2)^(3/2)</f>
        <v>469.23250641906498</v>
      </c>
      <c r="BR136">
        <f t="shared" ref="BR136:BR199" si="52">$F$47*($F$43-AZ136)/(CD136^2+($F$48)^2)^(3/2)</f>
        <v>-42.934856811885815</v>
      </c>
      <c r="BT136">
        <f t="shared" ref="BT136:BT199" si="53">$F$47*($G$43-BB136)/(CD136^2+($F$48)^2)^(3/2)</f>
        <v>23.885296390305271</v>
      </c>
      <c r="BV136">
        <f t="shared" ref="BV136:BV199" si="54">$F$58*($F$54-AZ136)/(CF136^2+($F$59)^2)^(3/2)</f>
        <v>-333.51203856248446</v>
      </c>
      <c r="BX136">
        <f t="shared" ref="BX136:BX199" si="55">$F$58*($G$54-BB136)/(CF136^2+($F$59)^2)^(3/2)</f>
        <v>36.611400321759596</v>
      </c>
      <c r="CB136">
        <f t="shared" ref="CB136:CB199" si="56">SQRT(($F$32-AZ136)^2+($G$32-BB136)^2)</f>
        <v>29300.511353412014</v>
      </c>
      <c r="CD136">
        <f t="shared" ref="CD136:CD199" si="57">SQRT(($F$43-AZ136)^2+($G$43-BB136)^2)</f>
        <v>59846.695482789379</v>
      </c>
      <c r="CF136">
        <f t="shared" ref="CF136:CF199" si="58">SQRT(($F$54-AZ136)^2+($G$54-BB136)^2)</f>
        <v>37522.62105079172</v>
      </c>
    </row>
    <row r="137" spans="12:84" x14ac:dyDescent="0.25">
      <c r="L137">
        <v>126</v>
      </c>
      <c r="M137">
        <f t="shared" si="47"/>
        <v>0.79168134870463025</v>
      </c>
      <c r="P137">
        <f t="shared" si="41"/>
        <v>23513.249848994237</v>
      </c>
      <c r="Q137">
        <f t="shared" si="42"/>
        <v>11057.678386046435</v>
      </c>
      <c r="V137">
        <f t="shared" si="43"/>
        <v>-17540.725105704034</v>
      </c>
      <c r="W137">
        <f t="shared" si="44"/>
        <v>12490.374870232505</v>
      </c>
      <c r="AB137">
        <f t="shared" si="45"/>
        <v>-1486.7501510057623</v>
      </c>
      <c r="AC137">
        <f t="shared" si="46"/>
        <v>-11442.321613953565</v>
      </c>
      <c r="AW137">
        <v>130</v>
      </c>
      <c r="AX137">
        <f t="shared" ref="AX137:AX200" si="59">$F$17*AW137</f>
        <v>65</v>
      </c>
      <c r="AZ137">
        <f t="shared" ref="AZ137:AZ200" si="60">AZ136+BD136*$F$17+(BH136*0.5)*$F$17^2</f>
        <v>30159.668235805028</v>
      </c>
      <c r="BB137">
        <f t="shared" ref="BB137:BB200" si="61">BB136+(BF136*$F$17)+(BJ136*0.5)*$F$17^2</f>
        <v>-19087.712582788532</v>
      </c>
      <c r="BD137">
        <f t="shared" ref="BD137:BD200" si="62">BD136+BH136*$F$17</f>
        <v>-4426.1412547949021</v>
      </c>
      <c r="BF137">
        <f t="shared" ref="BF137:BF200" si="63">BF136+BJ136*$F$17</f>
        <v>145.93167334780361</v>
      </c>
      <c r="BH137">
        <f t="shared" si="48"/>
        <v>-608.90757528623567</v>
      </c>
      <c r="BJ137">
        <f t="shared" si="49"/>
        <v>576.25553162363474</v>
      </c>
      <c r="BN137" s="20">
        <f t="shared" si="50"/>
        <v>-193.7431489491139</v>
      </c>
      <c r="BP137">
        <f t="shared" si="51"/>
        <v>507.02316646418137</v>
      </c>
      <c r="BR137">
        <f t="shared" si="52"/>
        <v>-45.217665646180862</v>
      </c>
      <c r="BT137">
        <f t="shared" si="53"/>
        <v>26.221833362164588</v>
      </c>
      <c r="BV137">
        <f t="shared" si="54"/>
        <v>-369.94676069094089</v>
      </c>
      <c r="BX137">
        <f t="shared" si="55"/>
        <v>43.010531797288792</v>
      </c>
      <c r="CB137">
        <f t="shared" si="56"/>
        <v>28462.700487595994</v>
      </c>
      <c r="CD137">
        <f t="shared" si="57"/>
        <v>57983.509214473583</v>
      </c>
      <c r="CF137">
        <f t="shared" si="58"/>
        <v>35396.492264225351</v>
      </c>
    </row>
    <row r="138" spans="12:84" x14ac:dyDescent="0.25">
      <c r="L138">
        <v>127</v>
      </c>
      <c r="M138">
        <f t="shared" si="47"/>
        <v>0.79796453401180989</v>
      </c>
      <c r="P138">
        <f t="shared" si="41"/>
        <v>23490.827094967353</v>
      </c>
      <c r="Q138">
        <f t="shared" si="42"/>
        <v>11079.682415109164</v>
      </c>
      <c r="V138">
        <f t="shared" si="43"/>
        <v>-17556.421033522853</v>
      </c>
      <c r="W138">
        <f t="shared" si="44"/>
        <v>12505.777690576415</v>
      </c>
      <c r="AB138">
        <f t="shared" si="45"/>
        <v>-1509.1729050326453</v>
      </c>
      <c r="AC138">
        <f t="shared" si="46"/>
        <v>-11420.317584890836</v>
      </c>
      <c r="AW138">
        <v>131</v>
      </c>
      <c r="AX138">
        <f t="shared" si="59"/>
        <v>65.5</v>
      </c>
      <c r="AZ138">
        <f t="shared" si="60"/>
        <v>27870.484161496799</v>
      </c>
      <c r="BB138">
        <f t="shared" si="61"/>
        <v>-18942.714804661675</v>
      </c>
      <c r="BD138">
        <f t="shared" si="62"/>
        <v>-4730.5950424380198</v>
      </c>
      <c r="BF138">
        <f t="shared" si="63"/>
        <v>434.05943915962098</v>
      </c>
      <c r="BH138">
        <f t="shared" si="48"/>
        <v>-627.15394813065075</v>
      </c>
      <c r="BJ138">
        <f t="shared" si="49"/>
        <v>626.7903218000846</v>
      </c>
      <c r="BN138" s="20">
        <f t="shared" si="50"/>
        <v>-163.06960591918397</v>
      </c>
      <c r="BP138">
        <f t="shared" si="51"/>
        <v>547.87011753664456</v>
      </c>
      <c r="BR138">
        <f t="shared" si="52"/>
        <v>-47.981697727287084</v>
      </c>
      <c r="BT138">
        <f t="shared" si="53"/>
        <v>29.009955037833716</v>
      </c>
      <c r="BV138">
        <f t="shared" si="54"/>
        <v>-416.10264448417968</v>
      </c>
      <c r="BX138">
        <f t="shared" si="55"/>
        <v>49.910249225606272</v>
      </c>
      <c r="CB138">
        <f t="shared" si="56"/>
        <v>27589.158870415849</v>
      </c>
      <c r="CD138">
        <f t="shared" si="57"/>
        <v>55939.824759468975</v>
      </c>
      <c r="CF138">
        <f t="shared" si="58"/>
        <v>33106.098064285834</v>
      </c>
    </row>
    <row r="139" spans="12:84" x14ac:dyDescent="0.25">
      <c r="L139">
        <v>128</v>
      </c>
      <c r="M139">
        <f t="shared" si="47"/>
        <v>0.80424771931898953</v>
      </c>
      <c r="P139">
        <f t="shared" ref="P139:P202" si="64">COS(M139)*$F$33+$F$32</f>
        <v>23468.266529064014</v>
      </c>
      <c r="Q139">
        <f t="shared" ref="Q139:Q202" si="65">SIN(M139)*$F$33+$G$32</f>
        <v>11101.545124439543</v>
      </c>
      <c r="V139">
        <f t="shared" si="43"/>
        <v>-17572.213429655189</v>
      </c>
      <c r="W139">
        <f t="shared" si="44"/>
        <v>12521.081587107681</v>
      </c>
      <c r="AB139">
        <f t="shared" si="45"/>
        <v>-1531.7334709359843</v>
      </c>
      <c r="AC139">
        <f t="shared" si="46"/>
        <v>-11398.454875560457</v>
      </c>
      <c r="AW139">
        <v>132</v>
      </c>
      <c r="AX139">
        <f t="shared" si="59"/>
        <v>66</v>
      </c>
      <c r="AZ139">
        <f t="shared" si="60"/>
        <v>25426.792396761459</v>
      </c>
      <c r="BB139">
        <f t="shared" si="61"/>
        <v>-18647.336294856854</v>
      </c>
      <c r="BD139">
        <f t="shared" si="62"/>
        <v>-5044.1720165033448</v>
      </c>
      <c r="BF139">
        <f t="shared" si="63"/>
        <v>747.45460005966333</v>
      </c>
      <c r="BH139">
        <f t="shared" si="48"/>
        <v>-649.53495922258367</v>
      </c>
      <c r="BJ139">
        <f t="shared" si="49"/>
        <v>679.85146411556946</v>
      </c>
      <c r="BN139" s="20">
        <f t="shared" si="50"/>
        <v>-122.54602619673318</v>
      </c>
      <c r="BP139">
        <f t="shared" si="51"/>
        <v>590.45047687405884</v>
      </c>
      <c r="BR139">
        <f t="shared" si="52"/>
        <v>-51.35446768941074</v>
      </c>
      <c r="BT139">
        <f t="shared" si="53"/>
        <v>32.385485052358476</v>
      </c>
      <c r="BV139">
        <f t="shared" si="54"/>
        <v>-475.63446533643975</v>
      </c>
      <c r="BX139">
        <f t="shared" si="55"/>
        <v>57.015502189152151</v>
      </c>
      <c r="CB139">
        <f t="shared" si="56"/>
        <v>26704.555248756467</v>
      </c>
      <c r="CD139">
        <f t="shared" si="57"/>
        <v>53705.338135506492</v>
      </c>
      <c r="CF139">
        <f t="shared" si="58"/>
        <v>30644.620369706019</v>
      </c>
    </row>
    <row r="140" spans="12:84" x14ac:dyDescent="0.25">
      <c r="L140">
        <v>129</v>
      </c>
      <c r="M140">
        <f t="shared" si="47"/>
        <v>0.81053090462616917</v>
      </c>
      <c r="P140">
        <f t="shared" si="64"/>
        <v>23445.569041936731</v>
      </c>
      <c r="Q140">
        <f t="shared" si="65"/>
        <v>11123.265650935242</v>
      </c>
      <c r="V140">
        <f t="shared" ref="V140:V203" si="66">COS(M140)*$F$44+$F$43</f>
        <v>-17588.101670644286</v>
      </c>
      <c r="W140">
        <f t="shared" ref="W140:W203" si="67">SIN(M140)*$F$44+$G$43</f>
        <v>12536.285955654668</v>
      </c>
      <c r="AB140">
        <f t="shared" ref="AB140:AB203" si="68">COS(M140)*$F$55+$F$54</f>
        <v>-1554.4309580632671</v>
      </c>
      <c r="AC140">
        <f t="shared" ref="AC140:AC203" si="69">SIN(M140)*$F$55+$G$54</f>
        <v>-11376.734349064758</v>
      </c>
      <c r="AW140">
        <v>133</v>
      </c>
      <c r="AX140">
        <f t="shared" si="59"/>
        <v>66.5</v>
      </c>
      <c r="AZ140">
        <f t="shared" si="60"/>
        <v>22823.51451860696</v>
      </c>
      <c r="BB140">
        <f t="shared" si="61"/>
        <v>-18188.627561812576</v>
      </c>
      <c r="BD140">
        <f t="shared" si="62"/>
        <v>-5368.9394961146363</v>
      </c>
      <c r="BF140">
        <f t="shared" si="63"/>
        <v>1087.380332117448</v>
      </c>
      <c r="BH140">
        <f t="shared" si="48"/>
        <v>-678.9786327130131</v>
      </c>
      <c r="BJ140">
        <f t="shared" si="49"/>
        <v>732.15194961346606</v>
      </c>
      <c r="BN140" s="20">
        <f t="shared" si="50"/>
        <v>-69.478504596954295</v>
      </c>
      <c r="BP140">
        <f t="shared" si="51"/>
        <v>632.12263169923915</v>
      </c>
      <c r="BR140">
        <f t="shared" si="52"/>
        <v>-55.51271644664233</v>
      </c>
      <c r="BT140">
        <f t="shared" si="53"/>
        <v>36.54130928882509</v>
      </c>
      <c r="BV140">
        <f t="shared" si="54"/>
        <v>-553.98741166941647</v>
      </c>
      <c r="BX140">
        <f t="shared" si="55"/>
        <v>63.488008625401818</v>
      </c>
      <c r="CB140">
        <f t="shared" si="56"/>
        <v>25843.332220251727</v>
      </c>
      <c r="CD140">
        <f t="shared" si="57"/>
        <v>51268.431998101136</v>
      </c>
      <c r="CF140">
        <f t="shared" si="58"/>
        <v>28005.629896416955</v>
      </c>
    </row>
    <row r="141" spans="12:84" x14ac:dyDescent="0.25">
      <c r="L141">
        <v>130</v>
      </c>
      <c r="M141">
        <f t="shared" ref="M141:M204" si="70">M140+$O$5</f>
        <v>0.81681408993334881</v>
      </c>
      <c r="P141">
        <f t="shared" si="64"/>
        <v>23422.735529643433</v>
      </c>
      <c r="Q141">
        <f t="shared" si="65"/>
        <v>11144.843137107066</v>
      </c>
      <c r="V141">
        <f t="shared" si="66"/>
        <v>-17604.085129249597</v>
      </c>
      <c r="W141">
        <f t="shared" si="67"/>
        <v>12551.390195974946</v>
      </c>
      <c r="AB141">
        <f t="shared" si="68"/>
        <v>-1577.2644703565657</v>
      </c>
      <c r="AC141">
        <f t="shared" si="69"/>
        <v>-11355.156862892934</v>
      </c>
      <c r="AW141">
        <v>134</v>
      </c>
      <c r="AX141">
        <f t="shared" si="59"/>
        <v>67</v>
      </c>
      <c r="AZ141">
        <f t="shared" si="60"/>
        <v>20054.172441460516</v>
      </c>
      <c r="BB141">
        <f t="shared" si="61"/>
        <v>-17553.418402052168</v>
      </c>
      <c r="BD141">
        <f t="shared" si="62"/>
        <v>-5708.4288124711429</v>
      </c>
      <c r="BF141">
        <f t="shared" si="63"/>
        <v>1453.456306924181</v>
      </c>
      <c r="BH141">
        <f t="shared" si="48"/>
        <v>-721.52103761043259</v>
      </c>
      <c r="BJ141">
        <f t="shared" si="49"/>
        <v>777.23934966437491</v>
      </c>
      <c r="BN141" s="20">
        <f t="shared" si="50"/>
        <v>-1.4450049010701174</v>
      </c>
      <c r="BP141">
        <f t="shared" si="51"/>
        <v>668.27913609749339</v>
      </c>
      <c r="BR141">
        <f t="shared" si="52"/>
        <v>-60.706063382370672</v>
      </c>
      <c r="BT141">
        <f t="shared" si="53"/>
        <v>41.759933159536928</v>
      </c>
      <c r="BV141">
        <f t="shared" si="54"/>
        <v>-659.36996932699185</v>
      </c>
      <c r="BX141">
        <f t="shared" si="55"/>
        <v>67.200280407344678</v>
      </c>
      <c r="CB141">
        <f t="shared" si="56"/>
        <v>25053.476969907791</v>
      </c>
      <c r="CD141">
        <f t="shared" si="57"/>
        <v>48616.124851830813</v>
      </c>
      <c r="CF141">
        <f t="shared" si="58"/>
        <v>25183.953269142996</v>
      </c>
    </row>
    <row r="142" spans="12:84" x14ac:dyDescent="0.25">
      <c r="L142">
        <v>131</v>
      </c>
      <c r="M142">
        <f t="shared" si="70"/>
        <v>0.82309727524052845</v>
      </c>
      <c r="P142">
        <f t="shared" si="64"/>
        <v>23399.766893612086</v>
      </c>
      <c r="Q142">
        <f t="shared" si="65"/>
        <v>11166.276731112808</v>
      </c>
      <c r="V142">
        <f t="shared" si="66"/>
        <v>-17620.163174471541</v>
      </c>
      <c r="W142">
        <f t="shared" si="67"/>
        <v>12566.393711778966</v>
      </c>
      <c r="AB142">
        <f t="shared" si="68"/>
        <v>-1600.2331063879137</v>
      </c>
      <c r="AC142">
        <f t="shared" si="69"/>
        <v>-11333.723268887192</v>
      </c>
      <c r="AW142">
        <v>135</v>
      </c>
      <c r="AX142">
        <f t="shared" si="59"/>
        <v>67.5</v>
      </c>
      <c r="AZ142">
        <f t="shared" si="60"/>
        <v>17109.76790552364</v>
      </c>
      <c r="BB142">
        <f t="shared" si="61"/>
        <v>-16729.535329882034</v>
      </c>
      <c r="BD142">
        <f t="shared" si="62"/>
        <v>-6069.1893312763596</v>
      </c>
      <c r="BF142">
        <f t="shared" si="63"/>
        <v>1842.0759817563685</v>
      </c>
      <c r="BH142">
        <f t="shared" si="48"/>
        <v>-788.82605214188561</v>
      </c>
      <c r="BJ142">
        <f t="shared" si="49"/>
        <v>803.14982782096251</v>
      </c>
      <c r="BN142" s="20">
        <f t="shared" si="50"/>
        <v>82.519577290609092</v>
      </c>
      <c r="BP142">
        <f t="shared" si="51"/>
        <v>691.78216420435581</v>
      </c>
      <c r="BR142">
        <f t="shared" si="52"/>
        <v>-67.294071661820595</v>
      </c>
      <c r="BT142">
        <f t="shared" si="53"/>
        <v>48.470776496247282</v>
      </c>
      <c r="BV142">
        <f t="shared" si="54"/>
        <v>-804.05155777067409</v>
      </c>
      <c r="BX142">
        <f t="shared" si="55"/>
        <v>62.896887120359423</v>
      </c>
      <c r="CB142">
        <f t="shared" si="56"/>
        <v>24401.30783097379</v>
      </c>
      <c r="CD142">
        <f t="shared" si="57"/>
        <v>45734.045665709964</v>
      </c>
      <c r="CF142">
        <f t="shared" si="58"/>
        <v>22177.311137589095</v>
      </c>
    </row>
    <row r="143" spans="12:84" x14ac:dyDescent="0.25">
      <c r="L143">
        <v>132</v>
      </c>
      <c r="M143">
        <f t="shared" si="70"/>
        <v>0.82938046054770809</v>
      </c>
      <c r="P143">
        <f t="shared" si="64"/>
        <v>23376.664040605112</v>
      </c>
      <c r="Q143">
        <f t="shared" si="65"/>
        <v>11187.565586790879</v>
      </c>
      <c r="V143">
        <f t="shared" si="66"/>
        <v>-17636.335171576422</v>
      </c>
      <c r="W143">
        <f t="shared" si="67"/>
        <v>12581.295910753615</v>
      </c>
      <c r="AB143">
        <f t="shared" si="68"/>
        <v>-1623.3359593948876</v>
      </c>
      <c r="AC143">
        <f t="shared" si="69"/>
        <v>-11312.434413209121</v>
      </c>
      <c r="AW143">
        <v>136</v>
      </c>
      <c r="AX143">
        <f t="shared" si="59"/>
        <v>68</v>
      </c>
      <c r="AZ143">
        <f t="shared" si="60"/>
        <v>13976.569983367724</v>
      </c>
      <c r="BB143">
        <f t="shared" si="61"/>
        <v>-15708.10361052623</v>
      </c>
      <c r="BD143">
        <f t="shared" si="62"/>
        <v>-6463.6023573473021</v>
      </c>
      <c r="BF143">
        <f t="shared" si="63"/>
        <v>2243.6508956668499</v>
      </c>
      <c r="BH143">
        <f t="shared" si="48"/>
        <v>-901.03414959861175</v>
      </c>
      <c r="BJ143">
        <f t="shared" si="49"/>
        <v>787.93871104061247</v>
      </c>
      <c r="BN143" s="20">
        <f t="shared" si="50"/>
        <v>179.88108128880475</v>
      </c>
      <c r="BP143">
        <f t="shared" si="51"/>
        <v>693.07666239943535</v>
      </c>
      <c r="BR143">
        <f t="shared" si="52"/>
        <v>-75.804278746811974</v>
      </c>
      <c r="BT143">
        <f t="shared" si="53"/>
        <v>57.356709435302818</v>
      </c>
      <c r="BV143">
        <f t="shared" si="54"/>
        <v>-1005.1109521406046</v>
      </c>
      <c r="BX143">
        <f t="shared" si="55"/>
        <v>37.505339205874307</v>
      </c>
      <c r="CB143">
        <f t="shared" si="56"/>
        <v>23977.026136745721</v>
      </c>
      <c r="CD143">
        <f t="shared" si="57"/>
        <v>42606.500666966727</v>
      </c>
      <c r="CF143">
        <f t="shared" si="58"/>
        <v>18989.776698447331</v>
      </c>
    </row>
    <row r="144" spans="12:84" x14ac:dyDescent="0.25">
      <c r="L144">
        <v>133</v>
      </c>
      <c r="M144">
        <f t="shared" si="70"/>
        <v>0.83566364585488773</v>
      </c>
      <c r="P144">
        <f t="shared" si="64"/>
        <v>23353.427882683591</v>
      </c>
      <c r="Q144">
        <f t="shared" si="65"/>
        <v>11208.708863693706</v>
      </c>
      <c r="V144">
        <f t="shared" si="66"/>
        <v>-17652.600482121488</v>
      </c>
      <c r="W144">
        <f t="shared" si="67"/>
        <v>12596.096204585594</v>
      </c>
      <c r="AB144">
        <f t="shared" si="68"/>
        <v>-1646.5721173164097</v>
      </c>
      <c r="AC144">
        <f t="shared" si="69"/>
        <v>-11291.291136306294</v>
      </c>
      <c r="AW144">
        <v>137</v>
      </c>
      <c r="AX144">
        <f t="shared" si="59"/>
        <v>68.5</v>
      </c>
      <c r="AZ144">
        <f t="shared" si="60"/>
        <v>10632.139535994247</v>
      </c>
      <c r="BB144">
        <f t="shared" si="61"/>
        <v>-14487.785823812728</v>
      </c>
      <c r="BD144">
        <f t="shared" si="62"/>
        <v>-6914.1194321466082</v>
      </c>
      <c r="BF144">
        <f t="shared" si="63"/>
        <v>2637.6202511871561</v>
      </c>
      <c r="BH144">
        <f t="shared" si="48"/>
        <v>-1084.3240678387897</v>
      </c>
      <c r="BJ144">
        <f t="shared" si="49"/>
        <v>689.68196193277709</v>
      </c>
      <c r="BN144" s="20">
        <f t="shared" si="50"/>
        <v>282.06042374714372</v>
      </c>
      <c r="BP144">
        <f t="shared" si="51"/>
        <v>662.03848899710181</v>
      </c>
      <c r="BR144">
        <f t="shared" si="52"/>
        <v>-87.018791322833678</v>
      </c>
      <c r="BT144">
        <f t="shared" si="53"/>
        <v>69.564110011208882</v>
      </c>
      <c r="BV144">
        <f t="shared" si="54"/>
        <v>-1279.3657002630998</v>
      </c>
      <c r="BX144">
        <f t="shared" si="55"/>
        <v>-41.920637075533634</v>
      </c>
      <c r="CB144">
        <f t="shared" si="56"/>
        <v>23900.199478392271</v>
      </c>
      <c r="CD144">
        <f t="shared" si="57"/>
        <v>39217.083357964621</v>
      </c>
      <c r="CF144">
        <f t="shared" si="58"/>
        <v>15640.529077850328</v>
      </c>
    </row>
    <row r="145" spans="12:84" x14ac:dyDescent="0.25">
      <c r="L145">
        <v>134</v>
      </c>
      <c r="M145">
        <f t="shared" si="70"/>
        <v>0.84194683116206737</v>
      </c>
      <c r="P145">
        <f t="shared" si="64"/>
        <v>23330.059337171249</v>
      </c>
      <c r="Q145">
        <f t="shared" si="65"/>
        <v>11229.70572712092</v>
      </c>
      <c r="V145">
        <f t="shared" si="66"/>
        <v>-17668.958463980125</v>
      </c>
      <c r="W145">
        <f t="shared" si="67"/>
        <v>12610.794008984643</v>
      </c>
      <c r="AB145">
        <f t="shared" si="68"/>
        <v>-1669.940662828752</v>
      </c>
      <c r="AC145">
        <f t="shared" si="69"/>
        <v>-11270.29427287908</v>
      </c>
      <c r="AW145">
        <v>138</v>
      </c>
      <c r="AX145">
        <f t="shared" si="59"/>
        <v>69</v>
      </c>
      <c r="AZ145">
        <f t="shared" si="60"/>
        <v>7039.5393114410945</v>
      </c>
      <c r="BB145">
        <f t="shared" si="61"/>
        <v>-13082.765452977554</v>
      </c>
      <c r="BD145">
        <f t="shared" si="62"/>
        <v>-7456.2814660660033</v>
      </c>
      <c r="BF145">
        <f t="shared" si="63"/>
        <v>2982.4612321535446</v>
      </c>
      <c r="BH145">
        <f t="shared" si="48"/>
        <v>-1336.9913821378539</v>
      </c>
      <c r="BJ145">
        <f t="shared" si="49"/>
        <v>423.58370956731522</v>
      </c>
      <c r="BN145" s="20">
        <f t="shared" si="50"/>
        <v>373.09049975373688</v>
      </c>
      <c r="BP145">
        <f t="shared" si="51"/>
        <v>592.51244486581697</v>
      </c>
      <c r="BR145">
        <f t="shared" si="52"/>
        <v>-102.07499759637746</v>
      </c>
      <c r="BT145">
        <f t="shared" si="53"/>
        <v>87.138068477870604</v>
      </c>
      <c r="BV145">
        <f t="shared" si="54"/>
        <v>-1608.0068842952132</v>
      </c>
      <c r="BX145">
        <f t="shared" si="55"/>
        <v>-256.06680377637241</v>
      </c>
      <c r="CB145">
        <f t="shared" si="56"/>
        <v>24323.317515338385</v>
      </c>
      <c r="CD145">
        <f t="shared" si="57"/>
        <v>35552.084989943171</v>
      </c>
      <c r="CF145">
        <f t="shared" si="58"/>
        <v>12191.238458008762</v>
      </c>
    </row>
    <row r="146" spans="12:84" x14ac:dyDescent="0.25">
      <c r="L146">
        <v>135</v>
      </c>
      <c r="M146">
        <f t="shared" si="70"/>
        <v>0.84823001646924701</v>
      </c>
      <c r="P146">
        <f t="shared" si="64"/>
        <v>23306.559326618248</v>
      </c>
      <c r="Q146">
        <f t="shared" si="65"/>
        <v>11250.555348152307</v>
      </c>
      <c r="V146">
        <f t="shared" si="66"/>
        <v>-17685.408471367227</v>
      </c>
      <c r="W146">
        <f t="shared" si="67"/>
        <v>12625.388743706615</v>
      </c>
      <c r="AB146">
        <f t="shared" si="68"/>
        <v>-1693.4406733817514</v>
      </c>
      <c r="AC146">
        <f t="shared" si="69"/>
        <v>-11249.444651847693</v>
      </c>
      <c r="AW146">
        <v>139</v>
      </c>
      <c r="AX146">
        <f t="shared" si="59"/>
        <v>69.5</v>
      </c>
      <c r="AZ146">
        <f t="shared" si="60"/>
        <v>3144.2746556408611</v>
      </c>
      <c r="BB146">
        <f t="shared" si="61"/>
        <v>-11538.586873204866</v>
      </c>
      <c r="BD146">
        <f t="shared" si="62"/>
        <v>-8124.7771571349303</v>
      </c>
      <c r="BF146">
        <f t="shared" si="63"/>
        <v>3194.2530869372022</v>
      </c>
      <c r="BH146">
        <f t="shared" si="48"/>
        <v>-1480.7325585034778</v>
      </c>
      <c r="BJ146">
        <f t="shared" si="49"/>
        <v>-158.5839804537344</v>
      </c>
      <c r="BN146" s="20">
        <f t="shared" si="50"/>
        <v>432.64201279198795</v>
      </c>
      <c r="BP146">
        <f t="shared" si="51"/>
        <v>488.67031096321193</v>
      </c>
      <c r="BR146">
        <f t="shared" si="52"/>
        <v>-122.41688069763183</v>
      </c>
      <c r="BT146">
        <f t="shared" si="53"/>
        <v>113.92392541496521</v>
      </c>
      <c r="BV146">
        <f t="shared" si="54"/>
        <v>-1790.9576905978338</v>
      </c>
      <c r="BX146">
        <f t="shared" si="55"/>
        <v>-761.17821683191153</v>
      </c>
      <c r="CB146">
        <f t="shared" si="56"/>
        <v>25428.0016323155</v>
      </c>
      <c r="CD146">
        <f t="shared" si="57"/>
        <v>31615.948093174949</v>
      </c>
      <c r="CF146">
        <f t="shared" si="58"/>
        <v>8849.3271213614735</v>
      </c>
    </row>
    <row r="147" spans="12:84" x14ac:dyDescent="0.25">
      <c r="L147">
        <v>136</v>
      </c>
      <c r="M147">
        <f t="shared" si="70"/>
        <v>0.85451320177642665</v>
      </c>
      <c r="P147">
        <f t="shared" si="64"/>
        <v>23282.92877876477</v>
      </c>
      <c r="Q147">
        <f t="shared" si="65"/>
        <v>11271.256903680529</v>
      </c>
      <c r="V147">
        <f t="shared" si="66"/>
        <v>-17701.949854864659</v>
      </c>
      <c r="W147">
        <f t="shared" si="67"/>
        <v>12639.879832576371</v>
      </c>
      <c r="AB147">
        <f t="shared" si="68"/>
        <v>-1717.0712212352287</v>
      </c>
      <c r="AC147">
        <f t="shared" si="69"/>
        <v>-11228.743096319471</v>
      </c>
      <c r="AW147">
        <v>140</v>
      </c>
      <c r="AX147">
        <f t="shared" si="59"/>
        <v>70</v>
      </c>
      <c r="AZ147">
        <f t="shared" si="60"/>
        <v>-1103.2054927395388</v>
      </c>
      <c r="BB147">
        <f t="shared" si="61"/>
        <v>-9961.283327292982</v>
      </c>
      <c r="BD147">
        <f t="shared" si="62"/>
        <v>-8865.1434363866683</v>
      </c>
      <c r="BF147">
        <f t="shared" si="63"/>
        <v>3114.9610967103349</v>
      </c>
      <c r="BH147">
        <f t="shared" si="48"/>
        <v>-927.21924295603685</v>
      </c>
      <c r="BJ147">
        <f t="shared" si="49"/>
        <v>-1057.0648255303799</v>
      </c>
      <c r="BN147" s="20">
        <f t="shared" si="50"/>
        <v>445.69057535351021</v>
      </c>
      <c r="BP147">
        <f t="shared" si="51"/>
        <v>368.77475392206827</v>
      </c>
      <c r="BR147">
        <f t="shared" si="52"/>
        <v>-148.7161264278522</v>
      </c>
      <c r="BT147">
        <f t="shared" si="53"/>
        <v>157.0935607001129</v>
      </c>
      <c r="BV147">
        <f t="shared" si="54"/>
        <v>-1224.1936918816948</v>
      </c>
      <c r="BX147">
        <f t="shared" si="55"/>
        <v>-1582.933140152561</v>
      </c>
      <c r="CB147">
        <f t="shared" si="56"/>
        <v>27390.540292312457</v>
      </c>
      <c r="CD147">
        <f t="shared" si="57"/>
        <v>27487.118341544894</v>
      </c>
      <c r="CF147">
        <f t="shared" si="58"/>
        <v>6369.746709220939</v>
      </c>
    </row>
    <row r="148" spans="12:84" x14ac:dyDescent="0.25">
      <c r="L148">
        <v>137</v>
      </c>
      <c r="M148">
        <f t="shared" si="70"/>
        <v>0.86079638708360628</v>
      </c>
      <c r="P148">
        <f t="shared" si="64"/>
        <v>23259.168626504383</v>
      </c>
      <c r="Q148">
        <f t="shared" si="65"/>
        <v>11291.809576443618</v>
      </c>
      <c r="V148">
        <f t="shared" si="66"/>
        <v>-17718.581961446933</v>
      </c>
      <c r="W148">
        <f t="shared" si="67"/>
        <v>12654.266703510533</v>
      </c>
      <c r="AB148">
        <f t="shared" si="68"/>
        <v>-1740.8313734956173</v>
      </c>
      <c r="AC148">
        <f t="shared" si="69"/>
        <v>-11208.190423556382</v>
      </c>
      <c r="AW148">
        <v>141</v>
      </c>
      <c r="AX148">
        <f t="shared" si="59"/>
        <v>70.5</v>
      </c>
      <c r="AZ148">
        <f t="shared" si="60"/>
        <v>-5651.6796163023773</v>
      </c>
      <c r="BB148">
        <f t="shared" si="61"/>
        <v>-8535.9358821291116</v>
      </c>
      <c r="BD148">
        <f t="shared" si="62"/>
        <v>-9328.7530578646874</v>
      </c>
      <c r="BF148">
        <f t="shared" si="63"/>
        <v>2586.4286839451452</v>
      </c>
      <c r="BH148">
        <f t="shared" si="48"/>
        <v>440.44628771738383</v>
      </c>
      <c r="BJ148">
        <f t="shared" si="49"/>
        <v>-1508.8126141298917</v>
      </c>
      <c r="BN148" s="20">
        <f t="shared" si="50"/>
        <v>415.25296642479628</v>
      </c>
      <c r="BP148">
        <f t="shared" si="51"/>
        <v>259.59196606447478</v>
      </c>
      <c r="BR148">
        <f t="shared" si="52"/>
        <v>-176.01363908588007</v>
      </c>
      <c r="BT148">
        <f t="shared" si="53"/>
        <v>227.38393353573187</v>
      </c>
      <c r="BV148">
        <f t="shared" si="54"/>
        <v>201.20696037846764</v>
      </c>
      <c r="BX148">
        <f t="shared" si="55"/>
        <v>-1995.7885137300982</v>
      </c>
      <c r="CB148">
        <f t="shared" si="56"/>
        <v>30251.609986134274</v>
      </c>
      <c r="CD148">
        <f t="shared" si="57"/>
        <v>23440.461105951694</v>
      </c>
      <c r="CF148">
        <f t="shared" si="58"/>
        <v>6496.8308614469843</v>
      </c>
    </row>
    <row r="149" spans="12:84" x14ac:dyDescent="0.25">
      <c r="L149">
        <v>138</v>
      </c>
      <c r="M149">
        <f t="shared" si="70"/>
        <v>0.86707957239078592</v>
      </c>
      <c r="P149">
        <f t="shared" si="64"/>
        <v>23235.279807847211</v>
      </c>
      <c r="Q149">
        <f t="shared" si="65"/>
        <v>11312.212555057249</v>
      </c>
      <c r="V149">
        <f t="shared" si="66"/>
        <v>-17735.304134506954</v>
      </c>
      <c r="W149">
        <f t="shared" si="67"/>
        <v>12668.548788540074</v>
      </c>
      <c r="AB149">
        <f t="shared" si="68"/>
        <v>-1764.7201921527899</v>
      </c>
      <c r="AC149">
        <f t="shared" si="69"/>
        <v>-11187.787444942751</v>
      </c>
      <c r="AW149">
        <v>142</v>
      </c>
      <c r="AX149">
        <f t="shared" si="59"/>
        <v>71</v>
      </c>
      <c r="AZ149">
        <f t="shared" si="60"/>
        <v>-10261.000359270049</v>
      </c>
      <c r="BB149">
        <f t="shared" si="61"/>
        <v>-7431.3231169227756</v>
      </c>
      <c r="BD149">
        <f t="shared" si="62"/>
        <v>-9108.529914005996</v>
      </c>
      <c r="BF149">
        <f t="shared" si="63"/>
        <v>1832.0223768801993</v>
      </c>
      <c r="BH149">
        <f t="shared" si="48"/>
        <v>1273.8756984391521</v>
      </c>
      <c r="BJ149">
        <f t="shared" si="49"/>
        <v>-1065.5890459709817</v>
      </c>
      <c r="BN149" s="20">
        <f t="shared" si="50"/>
        <v>363.45205729315086</v>
      </c>
      <c r="BP149">
        <f t="shared" si="51"/>
        <v>179.3337973142032</v>
      </c>
      <c r="BR149">
        <f t="shared" si="52"/>
        <v>-184.64081248723375</v>
      </c>
      <c r="BT149">
        <f t="shared" si="53"/>
        <v>330.47887686284872</v>
      </c>
      <c r="BV149">
        <f t="shared" si="54"/>
        <v>1095.064453633235</v>
      </c>
      <c r="BX149">
        <f t="shared" si="55"/>
        <v>-1575.4017201480335</v>
      </c>
      <c r="CB149">
        <f t="shared" si="56"/>
        <v>33744.222509426625</v>
      </c>
      <c r="CD149">
        <f t="shared" si="57"/>
        <v>19967.452005919647</v>
      </c>
      <c r="CF149">
        <f t="shared" si="58"/>
        <v>9217.5373360061385</v>
      </c>
    </row>
    <row r="150" spans="12:84" x14ac:dyDescent="0.25">
      <c r="L150">
        <v>139</v>
      </c>
      <c r="M150">
        <f t="shared" si="70"/>
        <v>0.87336275769796556</v>
      </c>
      <c r="P150">
        <f t="shared" si="64"/>
        <v>23211.26326588291</v>
      </c>
      <c r="Q150">
        <f t="shared" si="65"/>
        <v>11332.46503404676</v>
      </c>
      <c r="V150">
        <f t="shared" si="66"/>
        <v>-17752.115713881962</v>
      </c>
      <c r="W150">
        <f t="shared" si="67"/>
        <v>12682.725523832731</v>
      </c>
      <c r="AB150">
        <f t="shared" si="68"/>
        <v>-1788.7367341170898</v>
      </c>
      <c r="AC150">
        <f t="shared" si="69"/>
        <v>-11167.53496595324</v>
      </c>
      <c r="AW150">
        <v>143</v>
      </c>
      <c r="AX150">
        <f t="shared" si="59"/>
        <v>71.5</v>
      </c>
      <c r="AZ150">
        <f t="shared" si="60"/>
        <v>-14656.030853968152</v>
      </c>
      <c r="BB150">
        <f t="shared" si="61"/>
        <v>-6648.5105592290492</v>
      </c>
      <c r="BD150">
        <f t="shared" si="62"/>
        <v>-8471.5920647864205</v>
      </c>
      <c r="BF150">
        <f t="shared" si="63"/>
        <v>1299.2278538947085</v>
      </c>
      <c r="BH150">
        <f t="shared" si="48"/>
        <v>1353.8066355519527</v>
      </c>
      <c r="BJ150">
        <f t="shared" si="49"/>
        <v>-450.43797131172278</v>
      </c>
      <c r="BN150" s="20">
        <f t="shared" si="50"/>
        <v>311.96837671830195</v>
      </c>
      <c r="BP150">
        <f t="shared" si="51"/>
        <v>127.36276380706902</v>
      </c>
      <c r="BR150">
        <f t="shared" si="52"/>
        <v>-143.65082837485818</v>
      </c>
      <c r="BT150">
        <f t="shared" si="53"/>
        <v>447.52734675062317</v>
      </c>
      <c r="BV150">
        <f t="shared" si="54"/>
        <v>1185.4890872085089</v>
      </c>
      <c r="BX150">
        <f t="shared" si="55"/>
        <v>-1025.328081869415</v>
      </c>
      <c r="CB150">
        <f t="shared" si="56"/>
        <v>37432.884281014311</v>
      </c>
      <c r="CD150">
        <f t="shared" si="57"/>
        <v>17485.162569290042</v>
      </c>
      <c r="CF150">
        <f t="shared" si="58"/>
        <v>12766.609092946082</v>
      </c>
    </row>
    <row r="151" spans="12:84" x14ac:dyDescent="0.25">
      <c r="L151">
        <v>140</v>
      </c>
      <c r="M151">
        <f t="shared" si="70"/>
        <v>0.8796459430051452</v>
      </c>
      <c r="P151">
        <f t="shared" si="64"/>
        <v>23187.119948743435</v>
      </c>
      <c r="Q151">
        <f t="shared" si="65"/>
        <v>11352.566213878956</v>
      </c>
      <c r="V151">
        <f t="shared" si="66"/>
        <v>-17769.016035879595</v>
      </c>
      <c r="W151">
        <f t="shared" si="67"/>
        <v>12696.79634971527</v>
      </c>
      <c r="AB151">
        <f t="shared" si="68"/>
        <v>-1812.8800512565635</v>
      </c>
      <c r="AC151">
        <f t="shared" si="69"/>
        <v>-11147.433786121044</v>
      </c>
      <c r="AW151">
        <v>144</v>
      </c>
      <c r="AX151">
        <f t="shared" si="59"/>
        <v>72</v>
      </c>
      <c r="AZ151">
        <f t="shared" si="60"/>
        <v>-18722.60105691737</v>
      </c>
      <c r="BB151">
        <f t="shared" si="61"/>
        <v>-6055.2013786956604</v>
      </c>
      <c r="BD151">
        <f t="shared" si="62"/>
        <v>-7794.6887470104439</v>
      </c>
      <c r="BF151">
        <f t="shared" si="63"/>
        <v>1074.0088682388471</v>
      </c>
      <c r="BH151">
        <f t="shared" si="48"/>
        <v>1243.3786426763315</v>
      </c>
      <c r="BJ151">
        <f t="shared" si="49"/>
        <v>-35.919554409701504</v>
      </c>
      <c r="BN151" s="20">
        <f t="shared" si="50"/>
        <v>269.25833480851264</v>
      </c>
      <c r="BP151">
        <f t="shared" si="51"/>
        <v>94.256347755586603</v>
      </c>
      <c r="BR151">
        <f t="shared" si="52"/>
        <v>-42.358943817262478</v>
      </c>
      <c r="BT151">
        <f t="shared" si="53"/>
        <v>532.39544063957544</v>
      </c>
      <c r="BV151">
        <f t="shared" si="54"/>
        <v>1016.4792516850813</v>
      </c>
      <c r="BX151">
        <f t="shared" si="55"/>
        <v>-662.57134280486355</v>
      </c>
      <c r="CB151">
        <f t="shared" si="56"/>
        <v>41026.617177512584</v>
      </c>
      <c r="CD151">
        <f t="shared" si="57"/>
        <v>16105.938015845571</v>
      </c>
      <c r="CF151">
        <f t="shared" si="58"/>
        <v>16380.451829635156</v>
      </c>
    </row>
    <row r="152" spans="12:84" x14ac:dyDescent="0.25">
      <c r="L152">
        <v>141</v>
      </c>
      <c r="M152">
        <f t="shared" si="70"/>
        <v>0.88592912831232484</v>
      </c>
      <c r="P152">
        <f t="shared" si="64"/>
        <v>23162.850809565611</v>
      </c>
      <c r="Q152">
        <f t="shared" si="65"/>
        <v>11372.515300993678</v>
      </c>
      <c r="V152">
        <f t="shared" si="66"/>
        <v>-17786.004433304071</v>
      </c>
      <c r="W152">
        <f t="shared" si="67"/>
        <v>12710.760710695575</v>
      </c>
      <c r="AB152">
        <f t="shared" si="68"/>
        <v>-1837.1491904343902</v>
      </c>
      <c r="AC152">
        <f t="shared" si="69"/>
        <v>-11127.484699006322</v>
      </c>
      <c r="AW152">
        <v>145</v>
      </c>
      <c r="AX152">
        <f t="shared" si="59"/>
        <v>72.5</v>
      </c>
      <c r="AZ152">
        <f t="shared" si="60"/>
        <v>-22464.523100088049</v>
      </c>
      <c r="BB152">
        <f t="shared" si="61"/>
        <v>-5522.6868888774497</v>
      </c>
      <c r="BD152">
        <f t="shared" si="62"/>
        <v>-7172.9994256722784</v>
      </c>
      <c r="BF152">
        <f t="shared" si="63"/>
        <v>1056.0490910339963</v>
      </c>
      <c r="BH152">
        <f t="shared" si="48"/>
        <v>1153.2586400325338</v>
      </c>
      <c r="BJ152">
        <f t="shared" si="49"/>
        <v>168.77999492395509</v>
      </c>
      <c r="BN152" s="20">
        <f t="shared" si="50"/>
        <v>235.60286756532818</v>
      </c>
      <c r="BP152">
        <f t="shared" si="51"/>
        <v>72.252839557229549</v>
      </c>
      <c r="BR152">
        <f t="shared" si="52"/>
        <v>86.901475017453649</v>
      </c>
      <c r="BT152">
        <f t="shared" si="53"/>
        <v>547.34499621015766</v>
      </c>
      <c r="BV152">
        <f t="shared" si="54"/>
        <v>830.7542974497519</v>
      </c>
      <c r="BX152">
        <f t="shared" si="55"/>
        <v>-450.81784084343212</v>
      </c>
      <c r="CB152">
        <f t="shared" si="56"/>
        <v>44416.50702074232</v>
      </c>
      <c r="CD152">
        <f t="shared" si="57"/>
        <v>15717.114314052547</v>
      </c>
      <c r="CF152">
        <f t="shared" si="58"/>
        <v>19870.305254820934</v>
      </c>
    </row>
    <row r="153" spans="12:84" x14ac:dyDescent="0.25">
      <c r="L153">
        <v>142</v>
      </c>
      <c r="M153">
        <f t="shared" si="70"/>
        <v>0.89221231361950448</v>
      </c>
      <c r="P153">
        <f t="shared" si="64"/>
        <v>23138.456806453491</v>
      </c>
      <c r="Q153">
        <f t="shared" si="65"/>
        <v>11392.311507835127</v>
      </c>
      <c r="V153">
        <f t="shared" si="66"/>
        <v>-17803.080235482557</v>
      </c>
      <c r="W153">
        <f t="shared" si="67"/>
        <v>12724.618055484589</v>
      </c>
      <c r="AB153">
        <f t="shared" si="68"/>
        <v>-1861.5431935465099</v>
      </c>
      <c r="AC153">
        <f t="shared" si="69"/>
        <v>-11107.688492164873</v>
      </c>
      <c r="AW153">
        <v>146</v>
      </c>
      <c r="AX153">
        <f t="shared" si="59"/>
        <v>73</v>
      </c>
      <c r="AZ153">
        <f t="shared" si="60"/>
        <v>-25906.865482920122</v>
      </c>
      <c r="BB153">
        <f t="shared" si="61"/>
        <v>-4973.5648439949573</v>
      </c>
      <c r="BD153">
        <f t="shared" si="62"/>
        <v>-6596.3701056560112</v>
      </c>
      <c r="BF153">
        <f t="shared" si="63"/>
        <v>1140.4390884959739</v>
      </c>
      <c r="BH153">
        <f t="shared" si="48"/>
        <v>1085.3045010259302</v>
      </c>
      <c r="BJ153">
        <f t="shared" si="49"/>
        <v>228.05810528505441</v>
      </c>
      <c r="BN153" s="20">
        <f t="shared" si="50"/>
        <v>209.25332950634447</v>
      </c>
      <c r="BP153">
        <f t="shared" si="51"/>
        <v>56.857181316165985</v>
      </c>
      <c r="BR153">
        <f t="shared" si="52"/>
        <v>196.16206106248629</v>
      </c>
      <c r="BT153">
        <f t="shared" si="53"/>
        <v>497.25956173269384</v>
      </c>
      <c r="BV153">
        <f t="shared" si="54"/>
        <v>679.8891104570996</v>
      </c>
      <c r="BX153">
        <f t="shared" si="55"/>
        <v>-326.05863776380539</v>
      </c>
      <c r="CB153">
        <f t="shared" si="56"/>
        <v>47571.31613046112</v>
      </c>
      <c r="CD153">
        <f t="shared" si="57"/>
        <v>16096.54323047762</v>
      </c>
      <c r="CF153">
        <f t="shared" si="58"/>
        <v>23186.7726572391</v>
      </c>
    </row>
    <row r="154" spans="12:84" x14ac:dyDescent="0.25">
      <c r="L154">
        <v>143</v>
      </c>
      <c r="M154">
        <f t="shared" si="70"/>
        <v>0.89849549892668412</v>
      </c>
      <c r="P154">
        <f t="shared" si="64"/>
        <v>23113.93890244055</v>
      </c>
      <c r="Q154">
        <f t="shared" si="65"/>
        <v>11411.954052882951</v>
      </c>
      <c r="V154">
        <f t="shared" si="66"/>
        <v>-17820.242768291617</v>
      </c>
      <c r="W154">
        <f t="shared" si="67"/>
        <v>12738.367837018066</v>
      </c>
      <c r="AB154">
        <f t="shared" si="68"/>
        <v>-1886.06109755945</v>
      </c>
      <c r="AC154">
        <f t="shared" si="69"/>
        <v>-11088.045947117049</v>
      </c>
      <c r="AW154">
        <v>147</v>
      </c>
      <c r="AX154">
        <f t="shared" si="59"/>
        <v>73.5</v>
      </c>
      <c r="AZ154">
        <f t="shared" si="60"/>
        <v>-29069.387473119885</v>
      </c>
      <c r="BB154">
        <f t="shared" si="61"/>
        <v>-4374.8380365863386</v>
      </c>
      <c r="BD154">
        <f t="shared" si="62"/>
        <v>-6053.7178551430461</v>
      </c>
      <c r="BF154">
        <f t="shared" si="63"/>
        <v>1254.4681411385011</v>
      </c>
      <c r="BH154">
        <f t="shared" si="48"/>
        <v>1015.8913732738389</v>
      </c>
      <c r="BJ154">
        <f t="shared" si="49"/>
        <v>211.77132171242911</v>
      </c>
      <c r="BN154" s="20">
        <f t="shared" si="50"/>
        <v>188.46531444247182</v>
      </c>
      <c r="BP154">
        <f t="shared" si="51"/>
        <v>45.60878380119658</v>
      </c>
      <c r="BR154">
        <f t="shared" si="52"/>
        <v>262.24556841666924</v>
      </c>
      <c r="BT154">
        <f t="shared" si="53"/>
        <v>415.65514572786753</v>
      </c>
      <c r="BV154">
        <f t="shared" si="54"/>
        <v>565.18049041469783</v>
      </c>
      <c r="BX154">
        <f t="shared" si="55"/>
        <v>-249.492607816635</v>
      </c>
      <c r="CB154">
        <f t="shared" si="56"/>
        <v>50485.805583176872</v>
      </c>
      <c r="CD154">
        <f t="shared" si="57"/>
        <v>16996.757270599392</v>
      </c>
      <c r="CF154">
        <f t="shared" si="58"/>
        <v>26310.254276231404</v>
      </c>
    </row>
    <row r="155" spans="12:84" x14ac:dyDescent="0.25">
      <c r="L155">
        <v>144</v>
      </c>
      <c r="M155">
        <f t="shared" si="70"/>
        <v>0.90477868423386376</v>
      </c>
      <c r="P155">
        <f t="shared" si="64"/>
        <v>23089.298065451658</v>
      </c>
      <c r="Q155">
        <f t="shared" si="65"/>
        <v>11431.442160683106</v>
      </c>
      <c r="V155">
        <f t="shared" si="66"/>
        <v>-17837.49135418384</v>
      </c>
      <c r="W155">
        <f t="shared" si="67"/>
        <v>12752.009512478173</v>
      </c>
      <c r="AB155">
        <f t="shared" si="68"/>
        <v>-1910.7019345483413</v>
      </c>
      <c r="AC155">
        <f t="shared" si="69"/>
        <v>-11068.557839316894</v>
      </c>
      <c r="AW155">
        <v>148</v>
      </c>
      <c r="AX155">
        <f t="shared" si="59"/>
        <v>74</v>
      </c>
      <c r="AZ155">
        <f t="shared" si="60"/>
        <v>-31969.25997903218</v>
      </c>
      <c r="BB155">
        <f t="shared" si="61"/>
        <v>-3721.1325508030345</v>
      </c>
      <c r="BD155">
        <f t="shared" si="62"/>
        <v>-5545.7721685061269</v>
      </c>
      <c r="BF155">
        <f t="shared" si="63"/>
        <v>1360.3538019947157</v>
      </c>
      <c r="BH155">
        <f t="shared" si="48"/>
        <v>940.25620263279779</v>
      </c>
      <c r="BJ155">
        <f t="shared" si="49"/>
        <v>168.82877987536114</v>
      </c>
      <c r="BN155" s="20">
        <f t="shared" si="50"/>
        <v>171.85963376733568</v>
      </c>
      <c r="BP155">
        <f t="shared" si="51"/>
        <v>37.107700425478569</v>
      </c>
      <c r="BR155">
        <f t="shared" si="52"/>
        <v>289.58237934793999</v>
      </c>
      <c r="BT155">
        <f t="shared" si="53"/>
        <v>331.96690675702871</v>
      </c>
      <c r="BV155">
        <f t="shared" si="54"/>
        <v>478.81418951752204</v>
      </c>
      <c r="BX155">
        <f t="shared" si="55"/>
        <v>-200.24582730714616</v>
      </c>
      <c r="CB155">
        <f t="shared" si="56"/>
        <v>53166.886296744211</v>
      </c>
      <c r="CD155">
        <f t="shared" si="57"/>
        <v>18208.038415006929</v>
      </c>
      <c r="CF155">
        <f t="shared" si="58"/>
        <v>29232.752774126177</v>
      </c>
    </row>
    <row r="156" spans="12:84" x14ac:dyDescent="0.25">
      <c r="L156">
        <v>145</v>
      </c>
      <c r="M156">
        <f t="shared" si="70"/>
        <v>0.9110618695410434</v>
      </c>
      <c r="P156">
        <f t="shared" si="64"/>
        <v>23064.53526826487</v>
      </c>
      <c r="Q156">
        <f t="shared" si="65"/>
        <v>11450.775061878463</v>
      </c>
      <c r="V156">
        <f t="shared" si="66"/>
        <v>-17854.825312214591</v>
      </c>
      <c r="W156">
        <f t="shared" si="67"/>
        <v>12765.542543314923</v>
      </c>
      <c r="AB156">
        <f t="shared" si="68"/>
        <v>-1935.464731735131</v>
      </c>
      <c r="AC156">
        <f t="shared" si="69"/>
        <v>-11049.224938121537</v>
      </c>
      <c r="AW156">
        <v>149</v>
      </c>
      <c r="AX156">
        <f t="shared" si="59"/>
        <v>74.5</v>
      </c>
      <c r="AZ156">
        <f t="shared" si="60"/>
        <v>-34624.614037956148</v>
      </c>
      <c r="BB156">
        <f t="shared" si="61"/>
        <v>-3019.8520523212565</v>
      </c>
      <c r="BD156">
        <f t="shared" si="62"/>
        <v>-5075.644067189728</v>
      </c>
      <c r="BF156">
        <f t="shared" si="63"/>
        <v>1444.7681919323963</v>
      </c>
      <c r="BH156">
        <f t="shared" si="48"/>
        <v>863.7247462052087</v>
      </c>
      <c r="BJ156">
        <f t="shared" si="49"/>
        <v>123.47129059258373</v>
      </c>
      <c r="BN156" s="20">
        <f t="shared" si="50"/>
        <v>158.4088546870077</v>
      </c>
      <c r="BP156">
        <f t="shared" si="51"/>
        <v>30.507084478931905</v>
      </c>
      <c r="BR156">
        <f t="shared" si="52"/>
        <v>292.11565351459149</v>
      </c>
      <c r="BT156">
        <f t="shared" si="53"/>
        <v>260.06174118894199</v>
      </c>
      <c r="BV156">
        <f t="shared" si="54"/>
        <v>413.20023800360957</v>
      </c>
      <c r="BX156">
        <f t="shared" si="55"/>
        <v>-167.09753507529018</v>
      </c>
      <c r="CB156">
        <f t="shared" si="56"/>
        <v>55628.371771951075</v>
      </c>
      <c r="CD156">
        <f t="shared" si="57"/>
        <v>19580.4975223695</v>
      </c>
      <c r="CF156">
        <f t="shared" si="58"/>
        <v>31955.307880634471</v>
      </c>
    </row>
    <row r="157" spans="12:84" x14ac:dyDescent="0.25">
      <c r="L157">
        <v>146</v>
      </c>
      <c r="M157">
        <f t="shared" si="70"/>
        <v>0.91734505484822304</v>
      </c>
      <c r="P157">
        <f t="shared" si="64"/>
        <v>23039.651488473013</v>
      </c>
      <c r="Q157">
        <f t="shared" si="65"/>
        <v>11469.951993239187</v>
      </c>
      <c r="V157">
        <f t="shared" si="66"/>
        <v>-17872.243958068892</v>
      </c>
      <c r="W157">
        <f t="shared" si="67"/>
        <v>12778.966395267431</v>
      </c>
      <c r="AB157">
        <f t="shared" si="68"/>
        <v>-1960.3485115269864</v>
      </c>
      <c r="AC157">
        <f t="shared" si="69"/>
        <v>-11030.048006760813</v>
      </c>
      <c r="AW157">
        <v>150</v>
      </c>
      <c r="AX157">
        <f t="shared" si="59"/>
        <v>75</v>
      </c>
      <c r="AZ157">
        <f t="shared" si="60"/>
        <v>-37054.470478275362</v>
      </c>
      <c r="BB157">
        <f t="shared" si="61"/>
        <v>-2282.034045030985</v>
      </c>
      <c r="BD157">
        <f t="shared" si="62"/>
        <v>-4643.7816940871235</v>
      </c>
      <c r="BF157">
        <f t="shared" si="63"/>
        <v>1506.5038372286881</v>
      </c>
      <c r="BH157">
        <f t="shared" si="48"/>
        <v>791.7057799281481</v>
      </c>
      <c r="BJ157">
        <f t="shared" si="49"/>
        <v>84.33747418864138</v>
      </c>
      <c r="BN157" s="20">
        <f t="shared" si="50"/>
        <v>147.36338542520795</v>
      </c>
      <c r="BP157">
        <f t="shared" si="51"/>
        <v>25.265568870178058</v>
      </c>
      <c r="BR157">
        <f t="shared" si="52"/>
        <v>281.7750157313119</v>
      </c>
      <c r="BT157">
        <f t="shared" si="53"/>
        <v>202.92452589833124</v>
      </c>
      <c r="BV157">
        <f t="shared" si="54"/>
        <v>362.56737877162823</v>
      </c>
      <c r="BX157">
        <f t="shared" si="55"/>
        <v>-143.85262057986793</v>
      </c>
      <c r="CB157">
        <f t="shared" si="56"/>
        <v>57886.965645251606</v>
      </c>
      <c r="CD157">
        <f t="shared" si="57"/>
        <v>21016.739128077552</v>
      </c>
      <c r="CF157">
        <f t="shared" si="58"/>
        <v>34485.297384166159</v>
      </c>
    </row>
    <row r="158" spans="12:84" x14ac:dyDescent="0.25">
      <c r="L158">
        <v>147</v>
      </c>
      <c r="M158">
        <f t="shared" si="70"/>
        <v>0.92362824015540268</v>
      </c>
      <c r="P158">
        <f t="shared" si="64"/>
        <v>23014.647708445111</v>
      </c>
      <c r="Q158">
        <f t="shared" si="65"/>
        <v>11488.972197692865</v>
      </c>
      <c r="V158">
        <f t="shared" si="66"/>
        <v>-17889.746604088425</v>
      </c>
      <c r="W158">
        <f t="shared" si="67"/>
        <v>12792.280538385006</v>
      </c>
      <c r="AB158">
        <f t="shared" si="68"/>
        <v>-1985.3522915548906</v>
      </c>
      <c r="AC158">
        <f t="shared" si="69"/>
        <v>-11011.027802307135</v>
      </c>
      <c r="AW158">
        <v>151</v>
      </c>
      <c r="AX158">
        <f t="shared" si="59"/>
        <v>75.5</v>
      </c>
      <c r="AZ158">
        <f t="shared" si="60"/>
        <v>-39277.398102827909</v>
      </c>
      <c r="BB158">
        <f t="shared" si="61"/>
        <v>-1518.2399421430607</v>
      </c>
      <c r="BD158">
        <f t="shared" si="62"/>
        <v>-4247.9288041230493</v>
      </c>
      <c r="BF158">
        <f t="shared" si="63"/>
        <v>1548.6725743230088</v>
      </c>
      <c r="BH158">
        <f t="shared" si="48"/>
        <v>727.01283452439679</v>
      </c>
      <c r="BJ158">
        <f t="shared" si="49"/>
        <v>53.00187938989643</v>
      </c>
      <c r="BN158" s="20">
        <f t="shared" si="50"/>
        <v>138.17887726316874</v>
      </c>
      <c r="BP158">
        <f t="shared" si="51"/>
        <v>21.022013616952993</v>
      </c>
      <c r="BR158">
        <f t="shared" si="52"/>
        <v>266.02004678347834</v>
      </c>
      <c r="BT158">
        <f t="shared" si="53"/>
        <v>158.94690310009929</v>
      </c>
      <c r="BV158">
        <f t="shared" si="54"/>
        <v>322.81391047774974</v>
      </c>
      <c r="BX158">
        <f t="shared" si="55"/>
        <v>-126.96703732715585</v>
      </c>
      <c r="CB158">
        <f t="shared" si="56"/>
        <v>59959.474459798344</v>
      </c>
      <c r="CD158">
        <f t="shared" si="57"/>
        <v>22456.356093090722</v>
      </c>
      <c r="CF158">
        <f t="shared" si="58"/>
        <v>36833.379901352753</v>
      </c>
    </row>
    <row r="159" spans="12:84" x14ac:dyDescent="0.25">
      <c r="L159">
        <v>148</v>
      </c>
      <c r="M159">
        <f t="shared" si="70"/>
        <v>0.92991142546258232</v>
      </c>
      <c r="P159">
        <f t="shared" si="64"/>
        <v>22989.52491528758</v>
      </c>
      <c r="Q159">
        <f t="shared" si="65"/>
        <v>11507.834924354393</v>
      </c>
      <c r="V159">
        <f t="shared" si="66"/>
        <v>-17907.332559298695</v>
      </c>
      <c r="W159">
        <f t="shared" si="67"/>
        <v>12805.484447048075</v>
      </c>
      <c r="AB159">
        <f t="shared" si="68"/>
        <v>-2010.4750847124196</v>
      </c>
      <c r="AC159">
        <f t="shared" si="69"/>
        <v>-10992.165075645607</v>
      </c>
      <c r="AW159">
        <v>152</v>
      </c>
      <c r="AX159">
        <f t="shared" si="59"/>
        <v>76</v>
      </c>
      <c r="AZ159">
        <f t="shared" si="60"/>
        <v>-41310.485900573884</v>
      </c>
      <c r="BB159">
        <f t="shared" si="61"/>
        <v>-737.27842005781929</v>
      </c>
      <c r="BD159">
        <f t="shared" si="62"/>
        <v>-3884.422386860851</v>
      </c>
      <c r="BF159">
        <f t="shared" si="63"/>
        <v>1575.1735140179571</v>
      </c>
      <c r="BH159">
        <f t="shared" si="48"/>
        <v>670.39197650154892</v>
      </c>
      <c r="BJ159">
        <f t="shared" si="49"/>
        <v>28.581597938308747</v>
      </c>
      <c r="BN159" s="20">
        <f t="shared" si="50"/>
        <v>130.45793181663228</v>
      </c>
      <c r="BP159">
        <f t="shared" si="51"/>
        <v>17.527479854281513</v>
      </c>
      <c r="BR159">
        <f t="shared" si="52"/>
        <v>248.85967500905369</v>
      </c>
      <c r="BT159">
        <f t="shared" si="53"/>
        <v>125.38783163200218</v>
      </c>
      <c r="BV159">
        <f t="shared" si="54"/>
        <v>291.0743696758629</v>
      </c>
      <c r="BX159">
        <f t="shared" si="55"/>
        <v>-114.33371354797494</v>
      </c>
      <c r="CB159">
        <f t="shared" si="56"/>
        <v>61861.3646562539</v>
      </c>
      <c r="CD159">
        <f t="shared" si="57"/>
        <v>23862.64774052531</v>
      </c>
      <c r="CF159">
        <f t="shared" si="58"/>
        <v>39011.237011952377</v>
      </c>
    </row>
    <row r="160" spans="12:84" x14ac:dyDescent="0.25">
      <c r="L160">
        <v>149</v>
      </c>
      <c r="M160">
        <f t="shared" si="70"/>
        <v>0.93619461076976196</v>
      </c>
      <c r="P160">
        <f t="shared" si="64"/>
        <v>22964.284100805282</v>
      </c>
      <c r="Q160">
        <f t="shared" si="65"/>
        <v>11526.539428555621</v>
      </c>
      <c r="V160">
        <f t="shared" si="66"/>
        <v>-17925.001129436303</v>
      </c>
      <c r="W160">
        <f t="shared" si="67"/>
        <v>12818.577599988934</v>
      </c>
      <c r="AB160">
        <f t="shared" si="68"/>
        <v>-2035.7158991947181</v>
      </c>
      <c r="AC160">
        <f t="shared" si="69"/>
        <v>-10973.460571444379</v>
      </c>
      <c r="AW160">
        <v>153</v>
      </c>
      <c r="AX160">
        <f t="shared" si="59"/>
        <v>76.5</v>
      </c>
      <c r="AZ160">
        <f t="shared" si="60"/>
        <v>-43168.898096941615</v>
      </c>
      <c r="BB160">
        <f t="shared" si="61"/>
        <v>53.881036693447868</v>
      </c>
      <c r="BD160">
        <f t="shared" si="62"/>
        <v>-3549.2263986100766</v>
      </c>
      <c r="BF160">
        <f t="shared" si="63"/>
        <v>1589.4643129871115</v>
      </c>
      <c r="BH160">
        <f t="shared" si="48"/>
        <v>621.48212587161925</v>
      </c>
      <c r="BJ160">
        <f t="shared" si="49"/>
        <v>9.6498854478878116</v>
      </c>
      <c r="BN160" s="20">
        <f t="shared" si="50"/>
        <v>123.90720826377726</v>
      </c>
      <c r="BP160">
        <f t="shared" si="51"/>
        <v>14.605729099902666</v>
      </c>
      <c r="BR160">
        <f t="shared" si="52"/>
        <v>232.23390879575496</v>
      </c>
      <c r="BT160">
        <f t="shared" si="53"/>
        <v>99.695120351932857</v>
      </c>
      <c r="BV160">
        <f t="shared" si="54"/>
        <v>265.34100881208695</v>
      </c>
      <c r="BX160">
        <f t="shared" si="55"/>
        <v>-104.65096400394771</v>
      </c>
      <c r="CB160">
        <f t="shared" si="56"/>
        <v>63606.244775159517</v>
      </c>
      <c r="CD160">
        <f t="shared" si="57"/>
        <v>25213.550354099501</v>
      </c>
      <c r="CF160">
        <f t="shared" si="58"/>
        <v>41030.282916422009</v>
      </c>
    </row>
    <row r="161" spans="12:84" x14ac:dyDescent="0.25">
      <c r="L161">
        <v>150</v>
      </c>
      <c r="M161">
        <f t="shared" si="70"/>
        <v>0.9424777960769416</v>
      </c>
      <c r="P161">
        <f t="shared" si="64"/>
        <v>22938.926261462351</v>
      </c>
      <c r="Q161">
        <f t="shared" si="65"/>
        <v>11545.084971874749</v>
      </c>
      <c r="V161">
        <f t="shared" si="66"/>
        <v>-17942.751616976355</v>
      </c>
      <c r="W161">
        <f t="shared" si="67"/>
        <v>12831.559480312324</v>
      </c>
      <c r="AB161">
        <f t="shared" si="68"/>
        <v>-2061.0737385376492</v>
      </c>
      <c r="AC161">
        <f t="shared" si="69"/>
        <v>-10954.915028125251</v>
      </c>
      <c r="AW161">
        <v>154</v>
      </c>
      <c r="AX161">
        <f t="shared" si="59"/>
        <v>77</v>
      </c>
      <c r="AZ161">
        <f t="shared" si="60"/>
        <v>-44865.826030512697</v>
      </c>
      <c r="BB161">
        <f t="shared" si="61"/>
        <v>849.81942886798959</v>
      </c>
      <c r="BD161">
        <f t="shared" si="62"/>
        <v>-3238.4853356742669</v>
      </c>
      <c r="BF161">
        <f t="shared" si="63"/>
        <v>1594.2892557110554</v>
      </c>
      <c r="BH161">
        <f t="shared" si="48"/>
        <v>579.47040507147256</v>
      </c>
      <c r="BJ161">
        <f t="shared" si="49"/>
        <v>-5.1137912947286566</v>
      </c>
      <c r="BN161" s="20">
        <f t="shared" si="50"/>
        <v>118.30719030350271</v>
      </c>
      <c r="BP161">
        <f t="shared" si="51"/>
        <v>12.129101354717651</v>
      </c>
      <c r="BR161">
        <f t="shared" si="52"/>
        <v>216.97279025736566</v>
      </c>
      <c r="BT161">
        <f t="shared" si="53"/>
        <v>79.842117749921101</v>
      </c>
      <c r="BV161">
        <f t="shared" si="54"/>
        <v>244.19042451060423</v>
      </c>
      <c r="BX161">
        <f t="shared" si="55"/>
        <v>-97.085010399367405</v>
      </c>
      <c r="CB161">
        <f t="shared" si="56"/>
        <v>65205.830170694091</v>
      </c>
      <c r="CD161">
        <f t="shared" si="57"/>
        <v>26495.945136266502</v>
      </c>
      <c r="CF161">
        <f t="shared" si="58"/>
        <v>42901.058973209801</v>
      </c>
    </row>
    <row r="162" spans="12:84" x14ac:dyDescent="0.25">
      <c r="L162">
        <v>151</v>
      </c>
      <c r="M162">
        <f t="shared" si="70"/>
        <v>0.94876098138412124</v>
      </c>
      <c r="P162">
        <f t="shared" si="64"/>
        <v>22913.452398342866</v>
      </c>
      <c r="Q162">
        <f t="shared" si="65"/>
        <v>11563.47082216548</v>
      </c>
      <c r="V162">
        <f t="shared" si="66"/>
        <v>-17960.583321159993</v>
      </c>
      <c r="W162">
        <f t="shared" si="67"/>
        <v>12844.429575515836</v>
      </c>
      <c r="AB162">
        <f t="shared" si="68"/>
        <v>-2086.5476016571342</v>
      </c>
      <c r="AC162">
        <f t="shared" si="69"/>
        <v>-10936.52917783452</v>
      </c>
      <c r="AW162">
        <v>155</v>
      </c>
      <c r="AX162">
        <f t="shared" si="59"/>
        <v>77.5</v>
      </c>
      <c r="AZ162">
        <f t="shared" si="60"/>
        <v>-46412.6348977159</v>
      </c>
      <c r="BB162">
        <f t="shared" si="61"/>
        <v>1646.3248328116763</v>
      </c>
      <c r="BD162">
        <f t="shared" si="62"/>
        <v>-2948.7501331385306</v>
      </c>
      <c r="BF162">
        <f t="shared" si="63"/>
        <v>1591.732360063691</v>
      </c>
      <c r="BH162">
        <f t="shared" si="48"/>
        <v>543.43764252635015</v>
      </c>
      <c r="BJ162">
        <f t="shared" si="49"/>
        <v>-16.766400593867246</v>
      </c>
      <c r="BN162" s="20">
        <f t="shared" si="50"/>
        <v>113.49123479411031</v>
      </c>
      <c r="BP162">
        <f t="shared" si="51"/>
        <v>10.003229413062654</v>
      </c>
      <c r="BR162">
        <f t="shared" si="52"/>
        <v>203.34854188184048</v>
      </c>
      <c r="BT162">
        <f t="shared" si="53"/>
        <v>64.314206862761168</v>
      </c>
      <c r="BV162">
        <f t="shared" si="54"/>
        <v>226.5978658503993</v>
      </c>
      <c r="BX162">
        <f t="shared" si="55"/>
        <v>-91.083836869691069</v>
      </c>
      <c r="CB162">
        <f t="shared" si="56"/>
        <v>66670.110147053681</v>
      </c>
      <c r="CD162">
        <f t="shared" si="57"/>
        <v>27702.187116524547</v>
      </c>
      <c r="CF162">
        <f t="shared" si="58"/>
        <v>44633.019835218402</v>
      </c>
    </row>
    <row r="163" spans="12:84" x14ac:dyDescent="0.25">
      <c r="L163">
        <v>152</v>
      </c>
      <c r="M163">
        <f t="shared" si="70"/>
        <v>0.95504416669130088</v>
      </c>
      <c r="P163">
        <f t="shared" si="64"/>
        <v>22887.863517111324</v>
      </c>
      <c r="Q163">
        <f t="shared" si="65"/>
        <v>11581.696253585931</v>
      </c>
      <c r="V163">
        <f t="shared" si="66"/>
        <v>-17978.495538022074</v>
      </c>
      <c r="W163">
        <f t="shared" si="67"/>
        <v>12857.187377510152</v>
      </c>
      <c r="AB163">
        <f t="shared" si="68"/>
        <v>-2112.1364828886772</v>
      </c>
      <c r="AC163">
        <f t="shared" si="69"/>
        <v>-10918.303746414069</v>
      </c>
      <c r="AW163">
        <v>156</v>
      </c>
      <c r="AX163">
        <f t="shared" si="59"/>
        <v>78</v>
      </c>
      <c r="AZ163">
        <f t="shared" si="60"/>
        <v>-47819.08025896937</v>
      </c>
      <c r="BB163">
        <f t="shared" si="61"/>
        <v>2440.0952127692885</v>
      </c>
      <c r="BD163">
        <f t="shared" si="62"/>
        <v>-2677.0313118753556</v>
      </c>
      <c r="BF163">
        <f t="shared" si="63"/>
        <v>1583.3491597667573</v>
      </c>
      <c r="BH163">
        <f t="shared" si="48"/>
        <v>512.5136255495031</v>
      </c>
      <c r="BJ163">
        <f t="shared" si="49"/>
        <v>-26.108892691982092</v>
      </c>
      <c r="BN163" s="20">
        <f t="shared" si="50"/>
        <v>109.33107630798615</v>
      </c>
      <c r="BP163">
        <f t="shared" si="51"/>
        <v>8.1570678088147854</v>
      </c>
      <c r="BR163">
        <f t="shared" si="52"/>
        <v>191.36917378391288</v>
      </c>
      <c r="BT163">
        <f t="shared" si="53"/>
        <v>52.005052631132045</v>
      </c>
      <c r="BV163">
        <f t="shared" si="54"/>
        <v>211.81337545760411</v>
      </c>
      <c r="BX163">
        <f t="shared" si="55"/>
        <v>-86.271013131928925</v>
      </c>
      <c r="CB163">
        <f t="shared" si="56"/>
        <v>68007.575192976612</v>
      </c>
      <c r="CD163">
        <f t="shared" si="57"/>
        <v>28827.996580528677</v>
      </c>
      <c r="CF163">
        <f t="shared" si="58"/>
        <v>46234.516924636715</v>
      </c>
    </row>
    <row r="164" spans="12:84" x14ac:dyDescent="0.25">
      <c r="L164">
        <v>153</v>
      </c>
      <c r="M164">
        <f t="shared" si="70"/>
        <v>0.96132735199848052</v>
      </c>
      <c r="P164">
        <f t="shared" si="64"/>
        <v>22862.160627972939</v>
      </c>
      <c r="Q164">
        <f t="shared" si="65"/>
        <v>11599.760546627273</v>
      </c>
      <c r="V164">
        <f t="shared" si="66"/>
        <v>-17996.487560418944</v>
      </c>
      <c r="W164">
        <f t="shared" si="67"/>
        <v>12869.832382639092</v>
      </c>
      <c r="AB164">
        <f t="shared" si="68"/>
        <v>-2137.839372027061</v>
      </c>
      <c r="AC164">
        <f t="shared" si="69"/>
        <v>-10900.239453372727</v>
      </c>
      <c r="AW164">
        <v>157</v>
      </c>
      <c r="AX164">
        <f t="shared" si="59"/>
        <v>78.5</v>
      </c>
      <c r="AZ164">
        <f t="shared" si="60"/>
        <v>-49093.53171171336</v>
      </c>
      <c r="BB164">
        <f t="shared" si="61"/>
        <v>3228.5061810661691</v>
      </c>
      <c r="BD164">
        <f t="shared" si="62"/>
        <v>-2420.7744991006039</v>
      </c>
      <c r="BF164">
        <f t="shared" si="63"/>
        <v>1570.2947134207664</v>
      </c>
      <c r="BH164">
        <f t="shared" si="48"/>
        <v>485.93408725079985</v>
      </c>
      <c r="BJ164">
        <f t="shared" si="49"/>
        <v>-33.735974579901267</v>
      </c>
      <c r="BN164" s="20">
        <f t="shared" si="50"/>
        <v>105.72672956170771</v>
      </c>
      <c r="BP164">
        <f t="shared" si="51"/>
        <v>6.5362279309043068</v>
      </c>
      <c r="BR164">
        <f t="shared" si="52"/>
        <v>180.92821225328396</v>
      </c>
      <c r="BT164">
        <f t="shared" si="53"/>
        <v>42.110881658640324</v>
      </c>
      <c r="BV164">
        <f t="shared" si="54"/>
        <v>199.2791454358082</v>
      </c>
      <c r="BX164">
        <f t="shared" si="55"/>
        <v>-82.383084169445894</v>
      </c>
      <c r="CB164">
        <f t="shared" si="56"/>
        <v>69225.441738155263</v>
      </c>
      <c r="CD164">
        <f t="shared" si="57"/>
        <v>29871.168641355998</v>
      </c>
      <c r="CF164">
        <f t="shared" si="58"/>
        <v>47712.870133801836</v>
      </c>
    </row>
    <row r="165" spans="12:84" x14ac:dyDescent="0.25">
      <c r="L165">
        <v>154</v>
      </c>
      <c r="M165">
        <f t="shared" si="70"/>
        <v>0.96761053730566016</v>
      </c>
      <c r="P165">
        <f t="shared" si="64"/>
        <v>22836.344745633767</v>
      </c>
      <c r="Q165">
        <f t="shared" si="65"/>
        <v>11617.662988142147</v>
      </c>
      <c r="V165">
        <f t="shared" si="66"/>
        <v>-18014.558678056364</v>
      </c>
      <c r="W165">
        <f t="shared" si="67"/>
        <v>12882.364091699503</v>
      </c>
      <c r="AB165">
        <f t="shared" si="68"/>
        <v>-2163.6552543662333</v>
      </c>
      <c r="AC165">
        <f t="shared" si="69"/>
        <v>-10882.337011857853</v>
      </c>
      <c r="AW165">
        <v>158</v>
      </c>
      <c r="AX165">
        <f t="shared" si="59"/>
        <v>79</v>
      </c>
      <c r="AZ165">
        <f t="shared" si="60"/>
        <v>-50243.177200357313</v>
      </c>
      <c r="BB165">
        <f t="shared" si="61"/>
        <v>4009.4365409540646</v>
      </c>
      <c r="BD165">
        <f t="shared" si="62"/>
        <v>-2177.8074554752038</v>
      </c>
      <c r="BF165">
        <f t="shared" si="63"/>
        <v>1553.4267261308157</v>
      </c>
      <c r="BH165">
        <f t="shared" si="48"/>
        <v>463.05196419924437</v>
      </c>
      <c r="BJ165">
        <f t="shared" si="49"/>
        <v>-40.08732999146261</v>
      </c>
      <c r="BN165" s="20">
        <f t="shared" si="50"/>
        <v>102.59937690336322</v>
      </c>
      <c r="BP165">
        <f t="shared" si="51"/>
        <v>5.0984259285176448</v>
      </c>
      <c r="BR165">
        <f t="shared" si="52"/>
        <v>171.8787129380878</v>
      </c>
      <c r="BT165">
        <f t="shared" si="53"/>
        <v>34.045706583453466</v>
      </c>
      <c r="BV165">
        <f t="shared" si="54"/>
        <v>188.57387435779336</v>
      </c>
      <c r="BX165">
        <f t="shared" si="55"/>
        <v>-79.231462503433718</v>
      </c>
      <c r="CB165">
        <f t="shared" si="56"/>
        <v>70329.851247265018</v>
      </c>
      <c r="CD165">
        <f t="shared" si="57"/>
        <v>30830.773874962477</v>
      </c>
      <c r="CF165">
        <f t="shared" si="58"/>
        <v>49074.471579299679</v>
      </c>
    </row>
    <row r="166" spans="12:84" x14ac:dyDescent="0.25">
      <c r="L166">
        <v>155</v>
      </c>
      <c r="M166">
        <f t="shared" si="70"/>
        <v>0.9738937226128398</v>
      </c>
      <c r="P166">
        <f t="shared" si="64"/>
        <v>22810.416889260636</v>
      </c>
      <c r="Q166">
        <f t="shared" si="65"/>
        <v>11635.40287137282</v>
      </c>
      <c r="V166">
        <f t="shared" si="66"/>
        <v>-18032.708177517554</v>
      </c>
      <c r="W166">
        <f t="shared" si="67"/>
        <v>12894.782009960974</v>
      </c>
      <c r="AB166">
        <f t="shared" si="68"/>
        <v>-2189.5831107393633</v>
      </c>
      <c r="AC166">
        <f t="shared" si="69"/>
        <v>-10864.59712862718</v>
      </c>
      <c r="AW166">
        <v>159</v>
      </c>
      <c r="AX166">
        <f t="shared" si="59"/>
        <v>79.5</v>
      </c>
      <c r="AZ166">
        <f t="shared" si="60"/>
        <v>-51274.199432570014</v>
      </c>
      <c r="BB166">
        <f t="shared" si="61"/>
        <v>4781.1389877705396</v>
      </c>
      <c r="BD166">
        <f t="shared" si="62"/>
        <v>-1946.2814733755818</v>
      </c>
      <c r="BF166">
        <f t="shared" si="63"/>
        <v>1533.3830611350845</v>
      </c>
      <c r="BH166">
        <f t="shared" si="48"/>
        <v>443.32959616637663</v>
      </c>
      <c r="BJ166">
        <f t="shared" si="49"/>
        <v>-45.489409711343335</v>
      </c>
      <c r="BN166" s="20">
        <f t="shared" si="50"/>
        <v>99.886293454336524</v>
      </c>
      <c r="BP166">
        <f t="shared" si="51"/>
        <v>3.8103121619210265</v>
      </c>
      <c r="BR166">
        <f t="shared" si="52"/>
        <v>164.06849030376154</v>
      </c>
      <c r="BT166">
        <f t="shared" si="53"/>
        <v>27.37881905587389</v>
      </c>
      <c r="BV166">
        <f t="shared" si="54"/>
        <v>179.37481240827853</v>
      </c>
      <c r="BX166">
        <f t="shared" si="55"/>
        <v>-76.678540929138251</v>
      </c>
      <c r="CB166">
        <f t="shared" si="56"/>
        <v>71326.038092393617</v>
      </c>
      <c r="CD166">
        <f t="shared" si="57"/>
        <v>31706.656405447917</v>
      </c>
      <c r="CF166">
        <f t="shared" si="58"/>
        <v>50324.894364307991</v>
      </c>
    </row>
    <row r="167" spans="12:84" x14ac:dyDescent="0.25">
      <c r="L167">
        <v>156</v>
      </c>
      <c r="M167">
        <f t="shared" si="70"/>
        <v>0.98017690792001944</v>
      </c>
      <c r="P167">
        <f t="shared" si="64"/>
        <v>22784.378082440922</v>
      </c>
      <c r="Q167">
        <f t="shared" si="65"/>
        <v>11652.979495979074</v>
      </c>
      <c r="V167">
        <f t="shared" si="66"/>
        <v>-18050.935342291352</v>
      </c>
      <c r="W167">
        <f t="shared" si="67"/>
        <v>12907.085647185351</v>
      </c>
      <c r="AB167">
        <f t="shared" si="68"/>
        <v>-2215.6219175590763</v>
      </c>
      <c r="AC167">
        <f t="shared" si="69"/>
        <v>-10847.020504020926</v>
      </c>
      <c r="AW167">
        <v>160</v>
      </c>
      <c r="AX167">
        <f t="shared" si="59"/>
        <v>80</v>
      </c>
      <c r="AZ167">
        <f t="shared" si="60"/>
        <v>-52191.923969737007</v>
      </c>
      <c r="BB167">
        <f t="shared" si="61"/>
        <v>5542.1443421241638</v>
      </c>
      <c r="BD167">
        <f t="shared" si="62"/>
        <v>-1724.6166752923934</v>
      </c>
      <c r="BF167">
        <f t="shared" si="63"/>
        <v>1510.6383562794128</v>
      </c>
      <c r="BH167">
        <f t="shared" si="48"/>
        <v>426.3244886408703</v>
      </c>
      <c r="BJ167">
        <f t="shared" si="49"/>
        <v>-50.186854249493315</v>
      </c>
      <c r="BN167" s="20">
        <f t="shared" si="50"/>
        <v>97.537178069464673</v>
      </c>
      <c r="BP167">
        <f t="shared" si="51"/>
        <v>2.645222698547232</v>
      </c>
      <c r="BR167">
        <f t="shared" si="52"/>
        <v>157.35582126216187</v>
      </c>
      <c r="BT167">
        <f t="shared" si="53"/>
        <v>21.79023343782325</v>
      </c>
      <c r="BV167">
        <f t="shared" si="54"/>
        <v>171.43148930924374</v>
      </c>
      <c r="BX167">
        <f t="shared" si="55"/>
        <v>-74.622310385863798</v>
      </c>
      <c r="CB167">
        <f t="shared" si="56"/>
        <v>72218.467757418985</v>
      </c>
      <c r="CD167">
        <f t="shared" si="57"/>
        <v>32499.114540857627</v>
      </c>
      <c r="CF167">
        <f t="shared" si="58"/>
        <v>51468.994376596303</v>
      </c>
    </row>
    <row r="168" spans="12:84" x14ac:dyDescent="0.25">
      <c r="L168">
        <v>157</v>
      </c>
      <c r="M168">
        <f t="shared" si="70"/>
        <v>0.98646009322719908</v>
      </c>
      <c r="P168">
        <f t="shared" si="64"/>
        <v>22758.229353142135</v>
      </c>
      <c r="Q168">
        <f t="shared" si="65"/>
        <v>11670.392168065868</v>
      </c>
      <c r="V168">
        <f t="shared" si="66"/>
        <v>-18069.239452800506</v>
      </c>
      <c r="W168">
        <f t="shared" si="67"/>
        <v>12919.274517646107</v>
      </c>
      <c r="AB168">
        <f t="shared" si="68"/>
        <v>-2241.7706468578658</v>
      </c>
      <c r="AC168">
        <f t="shared" si="69"/>
        <v>-10829.607831934132</v>
      </c>
      <c r="AW168">
        <v>161</v>
      </c>
      <c r="AX168">
        <f t="shared" si="59"/>
        <v>80.5</v>
      </c>
      <c r="AZ168">
        <f t="shared" si="60"/>
        <v>-53000.941746303091</v>
      </c>
      <c r="BB168">
        <f t="shared" si="61"/>
        <v>6291.1901634826836</v>
      </c>
      <c r="BD168">
        <f t="shared" si="62"/>
        <v>-1511.4544309719583</v>
      </c>
      <c r="BF168">
        <f t="shared" si="63"/>
        <v>1485.5449291546661</v>
      </c>
      <c r="BH168">
        <f t="shared" si="48"/>
        <v>411.67422243825268</v>
      </c>
      <c r="BJ168">
        <f t="shared" si="49"/>
        <v>-54.365349663316579</v>
      </c>
      <c r="BN168" s="20">
        <f t="shared" si="50"/>
        <v>95.511467093449824</v>
      </c>
      <c r="BP168">
        <f t="shared" si="51"/>
        <v>1.5815576917349703</v>
      </c>
      <c r="BR168">
        <f t="shared" si="52"/>
        <v>151.61550207361259</v>
      </c>
      <c r="BT168">
        <f t="shared" si="53"/>
        <v>17.039303598725898</v>
      </c>
      <c r="BV168">
        <f t="shared" si="54"/>
        <v>164.54725327119027</v>
      </c>
      <c r="BX168">
        <f t="shared" si="55"/>
        <v>-72.986210953777444</v>
      </c>
      <c r="CB168">
        <f t="shared" si="56"/>
        <v>73010.949295759725</v>
      </c>
      <c r="CD168">
        <f t="shared" si="57"/>
        <v>33208.695044315391</v>
      </c>
      <c r="CF168">
        <f t="shared" si="58"/>
        <v>52511.000629483009</v>
      </c>
    </row>
    <row r="169" spans="12:84" x14ac:dyDescent="0.25">
      <c r="L169">
        <v>158</v>
      </c>
      <c r="M169">
        <f t="shared" si="70"/>
        <v>0.99274327853437871</v>
      </c>
      <c r="P169">
        <f t="shared" si="64"/>
        <v>22731.971733671329</v>
      </c>
      <c r="Q169">
        <f t="shared" si="65"/>
        <v>11687.640200210721</v>
      </c>
      <c r="V169">
        <f t="shared" si="66"/>
        <v>-18087.61978643007</v>
      </c>
      <c r="W169">
        <f t="shared" si="67"/>
        <v>12931.348140147504</v>
      </c>
      <c r="AB169">
        <f t="shared" si="68"/>
        <v>-2268.0282663286716</v>
      </c>
      <c r="AC169">
        <f t="shared" si="69"/>
        <v>-10812.359799789279</v>
      </c>
      <c r="AW169">
        <v>162</v>
      </c>
      <c r="AX169">
        <f t="shared" si="59"/>
        <v>81</v>
      </c>
      <c r="AZ169">
        <f t="shared" si="60"/>
        <v>-53705.209683984292</v>
      </c>
      <c r="BB169">
        <f t="shared" si="61"/>
        <v>7027.1669593521019</v>
      </c>
      <c r="BD169">
        <f t="shared" si="62"/>
        <v>-1305.6173197528319</v>
      </c>
      <c r="BF169">
        <f t="shared" si="63"/>
        <v>1458.3622543230078</v>
      </c>
      <c r="BH169">
        <f t="shared" si="48"/>
        <v>399.08273769004302</v>
      </c>
      <c r="BJ169">
        <f t="shared" si="49"/>
        <v>-58.168056832535498</v>
      </c>
      <c r="BN169" s="20">
        <f t="shared" si="50"/>
        <v>93.776345230048989</v>
      </c>
      <c r="BP169">
        <f t="shared" si="51"/>
        <v>0.60159322042612717</v>
      </c>
      <c r="BR169">
        <f t="shared" si="52"/>
        <v>146.74028647375772</v>
      </c>
      <c r="BT169">
        <f t="shared" si="53"/>
        <v>12.942639316396548</v>
      </c>
      <c r="BV169">
        <f t="shared" si="54"/>
        <v>158.56610598623629</v>
      </c>
      <c r="BX169">
        <f t="shared" si="55"/>
        <v>-71.712289369358174</v>
      </c>
      <c r="CB169">
        <f t="shared" si="56"/>
        <v>73706.726325651034</v>
      </c>
      <c r="CD169">
        <f t="shared" si="57"/>
        <v>33836.059110495073</v>
      </c>
      <c r="CF169">
        <f t="shared" si="58"/>
        <v>53454.59320410221</v>
      </c>
    </row>
    <row r="170" spans="12:84" x14ac:dyDescent="0.25">
      <c r="L170">
        <v>159</v>
      </c>
      <c r="M170">
        <f t="shared" si="70"/>
        <v>0.99902646384155835</v>
      </c>
      <c r="P170">
        <f t="shared" si="64"/>
        <v>22705.606260634362</v>
      </c>
      <c r="Q170">
        <f t="shared" si="65"/>
        <v>11704.722911490855</v>
      </c>
      <c r="V170">
        <f t="shared" si="66"/>
        <v>-18106.075617555947</v>
      </c>
      <c r="W170">
        <f t="shared" si="67"/>
        <v>12943.3060380436</v>
      </c>
      <c r="AB170">
        <f t="shared" si="68"/>
        <v>-2294.3937393656383</v>
      </c>
      <c r="AC170">
        <f t="shared" si="69"/>
        <v>-10795.277088509145</v>
      </c>
      <c r="AW170">
        <v>163</v>
      </c>
      <c r="AX170">
        <f t="shared" si="59"/>
        <v>81.5</v>
      </c>
      <c r="AZ170">
        <f t="shared" si="60"/>
        <v>-54308.133001649447</v>
      </c>
      <c r="BB170">
        <f t="shared" si="61"/>
        <v>7749.0770794095397</v>
      </c>
      <c r="BD170">
        <f t="shared" si="62"/>
        <v>-1106.0759509078105</v>
      </c>
      <c r="BF170">
        <f t="shared" si="63"/>
        <v>1429.2782259067401</v>
      </c>
      <c r="BH170">
        <f t="shared" si="48"/>
        <v>388.30868666848301</v>
      </c>
      <c r="BJ170">
        <f t="shared" si="49"/>
        <v>-61.707414412286418</v>
      </c>
      <c r="BN170" s="20">
        <f t="shared" si="50"/>
        <v>92.305258493220762</v>
      </c>
      <c r="BP170">
        <f t="shared" si="51"/>
        <v>-0.30940252797259343</v>
      </c>
      <c r="BR170">
        <f t="shared" si="52"/>
        <v>142.6402467690009</v>
      </c>
      <c r="BT170">
        <f t="shared" si="53"/>
        <v>9.3584865383256837</v>
      </c>
      <c r="BV170">
        <f t="shared" si="54"/>
        <v>153.36318140626136</v>
      </c>
      <c r="BX170">
        <f t="shared" si="55"/>
        <v>-70.75649842263951</v>
      </c>
      <c r="CB170">
        <f t="shared" si="56"/>
        <v>74308.550447322748</v>
      </c>
      <c r="CD170">
        <f t="shared" si="57"/>
        <v>34381.894131261986</v>
      </c>
      <c r="CF170">
        <f t="shared" si="58"/>
        <v>54302.969422244933</v>
      </c>
    </row>
    <row r="171" spans="12:84" x14ac:dyDescent="0.25">
      <c r="L171">
        <v>160</v>
      </c>
      <c r="M171">
        <f t="shared" si="70"/>
        <v>1.0053096491487379</v>
      </c>
      <c r="P171">
        <f t="shared" si="64"/>
        <v>22679.133974894965</v>
      </c>
      <c r="Q171">
        <f t="shared" si="65"/>
        <v>11721.639627510085</v>
      </c>
      <c r="V171">
        <f t="shared" si="66"/>
        <v>-18124.606217573524</v>
      </c>
      <c r="W171">
        <f t="shared" si="67"/>
        <v>12955.14773925706</v>
      </c>
      <c r="AB171">
        <f t="shared" si="68"/>
        <v>-2320.8660251050337</v>
      </c>
      <c r="AC171">
        <f t="shared" si="69"/>
        <v>-10778.360372489915</v>
      </c>
      <c r="AW171">
        <v>164</v>
      </c>
      <c r="AX171">
        <f t="shared" si="59"/>
        <v>82</v>
      </c>
      <c r="AZ171">
        <f t="shared" si="60"/>
        <v>-54812.632391269792</v>
      </c>
      <c r="BB171">
        <f t="shared" si="61"/>
        <v>8456.002765561374</v>
      </c>
      <c r="BD171">
        <f t="shared" si="62"/>
        <v>-911.92160757356896</v>
      </c>
      <c r="BF171">
        <f t="shared" si="63"/>
        <v>1398.424518700597</v>
      </c>
      <c r="BH171">
        <f t="shared" si="48"/>
        <v>379.15589212148205</v>
      </c>
      <c r="BJ171">
        <f t="shared" si="49"/>
        <v>-65.073672503798733</v>
      </c>
      <c r="BN171" s="20">
        <f t="shared" si="50"/>
        <v>91.0767945825787</v>
      </c>
      <c r="BP171">
        <f t="shared" si="51"/>
        <v>-1.1638364366600065</v>
      </c>
      <c r="BR171">
        <f t="shared" si="52"/>
        <v>139.24132900817307</v>
      </c>
      <c r="BT171">
        <f t="shared" si="53"/>
        <v>6.1755808779945118</v>
      </c>
      <c r="BV171">
        <f t="shared" si="54"/>
        <v>148.83776853073027</v>
      </c>
      <c r="BX171">
        <f t="shared" si="55"/>
        <v>-70.085416945133233</v>
      </c>
      <c r="CB171">
        <f t="shared" si="56"/>
        <v>74818.740343573212</v>
      </c>
      <c r="CD171">
        <f t="shared" si="57"/>
        <v>34846.854972431021</v>
      </c>
      <c r="CF171">
        <f t="shared" si="58"/>
        <v>55058.899475795944</v>
      </c>
    </row>
    <row r="172" spans="12:84" x14ac:dyDescent="0.25">
      <c r="L172">
        <v>161</v>
      </c>
      <c r="M172">
        <f t="shared" si="70"/>
        <v>1.0115928344559175</v>
      </c>
      <c r="P172">
        <f t="shared" si="64"/>
        <v>22652.555921533654</v>
      </c>
      <c r="Q172">
        <f t="shared" si="65"/>
        <v>11738.389680425427</v>
      </c>
      <c r="V172">
        <f t="shared" si="66"/>
        <v>-18143.210854926441</v>
      </c>
      <c r="W172">
        <f t="shared" si="67"/>
        <v>12966.8727762978</v>
      </c>
      <c r="AB172">
        <f t="shared" si="68"/>
        <v>-2347.444078466347</v>
      </c>
      <c r="AC172">
        <f t="shared" si="69"/>
        <v>-10761.610319574573</v>
      </c>
      <c r="AW172">
        <v>165</v>
      </c>
      <c r="AX172">
        <f t="shared" si="59"/>
        <v>82.5</v>
      </c>
      <c r="AZ172">
        <f t="shared" si="60"/>
        <v>-55221.198708541393</v>
      </c>
      <c r="BB172">
        <f t="shared" si="61"/>
        <v>9147.080815848698</v>
      </c>
      <c r="BD172">
        <f t="shared" si="62"/>
        <v>-722.34366151282791</v>
      </c>
      <c r="BF172">
        <f t="shared" si="63"/>
        <v>1365.8876824486977</v>
      </c>
      <c r="BH172">
        <f t="shared" si="48"/>
        <v>371.46569809071161</v>
      </c>
      <c r="BJ172">
        <f t="shared" si="49"/>
        <v>-68.341135223811435</v>
      </c>
      <c r="BN172" s="20">
        <f t="shared" si="50"/>
        <v>90.073836722665206</v>
      </c>
      <c r="BP172">
        <f t="shared" si="51"/>
        <v>-1.9723015722021937</v>
      </c>
      <c r="BR172">
        <f t="shared" si="52"/>
        <v>136.48372531554898</v>
      </c>
      <c r="BT172">
        <f t="shared" si="53"/>
        <v>3.3051001077325139</v>
      </c>
      <c r="BV172">
        <f t="shared" si="54"/>
        <v>144.90813605249741</v>
      </c>
      <c r="BX172">
        <f t="shared" si="55"/>
        <v>-69.67393375934175</v>
      </c>
      <c r="CB172">
        <f t="shared" si="56"/>
        <v>75239.229198363057</v>
      </c>
      <c r="CD172">
        <f t="shared" si="57"/>
        <v>35231.524372374966</v>
      </c>
      <c r="CF172">
        <f t="shared" si="58"/>
        <v>55724.77287212509</v>
      </c>
    </row>
    <row r="173" spans="12:84" x14ac:dyDescent="0.25">
      <c r="L173">
        <v>162</v>
      </c>
      <c r="M173">
        <f t="shared" si="70"/>
        <v>1.0178760197630972</v>
      </c>
      <c r="P173">
        <f t="shared" si="64"/>
        <v>22625.873149806459</v>
      </c>
      <c r="Q173">
        <f t="shared" si="65"/>
        <v>11754.97240897347</v>
      </c>
      <c r="V173">
        <f t="shared" si="66"/>
        <v>-18161.888795135477</v>
      </c>
      <c r="W173">
        <f t="shared" si="67"/>
        <v>12978.480686281429</v>
      </c>
      <c r="AB173">
        <f t="shared" si="68"/>
        <v>-2374.1268501935392</v>
      </c>
      <c r="AC173">
        <f t="shared" si="69"/>
        <v>-10745.02759102653</v>
      </c>
      <c r="AW173">
        <v>166</v>
      </c>
      <c r="AX173">
        <f t="shared" si="59"/>
        <v>83</v>
      </c>
      <c r="AZ173">
        <f t="shared" si="60"/>
        <v>-55535.937327036467</v>
      </c>
      <c r="BB173">
        <f t="shared" si="61"/>
        <v>9821.4820151700696</v>
      </c>
      <c r="BD173">
        <f t="shared" si="62"/>
        <v>-536.6108124674721</v>
      </c>
      <c r="BF173">
        <f t="shared" si="63"/>
        <v>1331.717114836792</v>
      </c>
      <c r="BH173">
        <f t="shared" si="48"/>
        <v>365.11093399896833</v>
      </c>
      <c r="BJ173">
        <f t="shared" si="49"/>
        <v>-71.57280518197399</v>
      </c>
      <c r="BN173" s="20">
        <f t="shared" si="50"/>
        <v>89.282924836230237</v>
      </c>
      <c r="BP173">
        <f t="shared" si="51"/>
        <v>-2.7439747437264179</v>
      </c>
      <c r="BR173">
        <f t="shared" si="52"/>
        <v>134.32035803891642</v>
      </c>
      <c r="BT173">
        <f t="shared" si="53"/>
        <v>0.67477042797738962</v>
      </c>
      <c r="BV173">
        <f t="shared" si="54"/>
        <v>141.50765112382172</v>
      </c>
      <c r="BX173">
        <f t="shared" si="55"/>
        <v>-69.503600866224957</v>
      </c>
      <c r="CB173">
        <f t="shared" si="56"/>
        <v>75571.602514573809</v>
      </c>
      <c r="CD173">
        <f t="shared" si="57"/>
        <v>35536.385724802843</v>
      </c>
      <c r="CF173">
        <f t="shared" si="58"/>
        <v>56302.636980443189</v>
      </c>
    </row>
    <row r="174" spans="12:84" x14ac:dyDescent="0.25">
      <c r="L174">
        <v>163</v>
      </c>
      <c r="M174">
        <f t="shared" si="70"/>
        <v>1.0241592050702768</v>
      </c>
      <c r="P174">
        <f t="shared" si="64"/>
        <v>22599.08671310353</v>
      </c>
      <c r="Q174">
        <f t="shared" si="65"/>
        <v>11771.387158496487</v>
      </c>
      <c r="V174">
        <f t="shared" si="66"/>
        <v>-18180.63930082753</v>
      </c>
      <c r="W174">
        <f t="shared" si="67"/>
        <v>12989.971010947542</v>
      </c>
      <c r="AB174">
        <f t="shared" si="68"/>
        <v>-2400.9132868964707</v>
      </c>
      <c r="AC174">
        <f t="shared" si="69"/>
        <v>-10728.612841503513</v>
      </c>
      <c r="AW174">
        <v>167</v>
      </c>
      <c r="AX174">
        <f t="shared" si="59"/>
        <v>83.5</v>
      </c>
      <c r="AZ174">
        <f t="shared" si="60"/>
        <v>-55758.603866520338</v>
      </c>
      <c r="BB174">
        <f t="shared" si="61"/>
        <v>10478.393971940719</v>
      </c>
      <c r="BD174">
        <f t="shared" si="62"/>
        <v>-354.05534546798793</v>
      </c>
      <c r="BF174">
        <f t="shared" si="63"/>
        <v>1295.9307122458049</v>
      </c>
      <c r="BH174">
        <f t="shared" si="48"/>
        <v>359.99122421003096</v>
      </c>
      <c r="BJ174">
        <f t="shared" si="49"/>
        <v>-74.823919820621427</v>
      </c>
      <c r="BN174" s="20">
        <f t="shared" si="50"/>
        <v>88.69377727252855</v>
      </c>
      <c r="BP174">
        <f t="shared" si="51"/>
        <v>-3.4869308315473462</v>
      </c>
      <c r="BR174">
        <f t="shared" si="52"/>
        <v>132.71560671867158</v>
      </c>
      <c r="BT174">
        <f t="shared" si="53"/>
        <v>-1.775526429210277</v>
      </c>
      <c r="BV174">
        <f t="shared" si="54"/>
        <v>138.58184021883085</v>
      </c>
      <c r="BX174">
        <f t="shared" si="55"/>
        <v>-69.561462559863799</v>
      </c>
      <c r="CB174">
        <f t="shared" si="56"/>
        <v>75817.12794914117</v>
      </c>
      <c r="CD174">
        <f t="shared" si="57"/>
        <v>35761.803803431285</v>
      </c>
      <c r="CF174">
        <f t="shared" si="58"/>
        <v>56794.228807756153</v>
      </c>
    </row>
    <row r="175" spans="12:84" x14ac:dyDescent="0.25">
      <c r="L175">
        <v>164</v>
      </c>
      <c r="M175">
        <f t="shared" si="70"/>
        <v>1.0304423903774564</v>
      </c>
      <c r="P175">
        <f t="shared" si="64"/>
        <v>22572.197668907513</v>
      </c>
      <c r="Q175">
        <f t="shared" si="65"/>
        <v>11787.633280968272</v>
      </c>
      <c r="V175">
        <f t="shared" si="66"/>
        <v>-18199.461631764741</v>
      </c>
      <c r="W175">
        <f t="shared" si="67"/>
        <v>13001.343296677791</v>
      </c>
      <c r="AB175">
        <f t="shared" si="68"/>
        <v>-2427.8023310924864</v>
      </c>
      <c r="AC175">
        <f t="shared" si="69"/>
        <v>-10712.366719031728</v>
      </c>
      <c r="AW175">
        <v>168</v>
      </c>
      <c r="AX175">
        <f t="shared" si="59"/>
        <v>84</v>
      </c>
      <c r="AZ175">
        <f t="shared" si="60"/>
        <v>-55890.632636228082</v>
      </c>
      <c r="BB175">
        <f t="shared" si="61"/>
        <v>11117.006338086043</v>
      </c>
      <c r="BD175">
        <f t="shared" si="62"/>
        <v>-174.05973336297245</v>
      </c>
      <c r="BF175">
        <f t="shared" si="63"/>
        <v>1258.5187523354941</v>
      </c>
      <c r="BH175">
        <f t="shared" si="48"/>
        <v>356.02941563846622</v>
      </c>
      <c r="BJ175">
        <f t="shared" si="49"/>
        <v>-78.144729211715969</v>
      </c>
      <c r="BN175" s="20">
        <f t="shared" si="50"/>
        <v>88.298940034863037</v>
      </c>
      <c r="BP175">
        <f t="shared" si="51"/>
        <v>-4.208395880467557</v>
      </c>
      <c r="BR175">
        <f t="shared" si="52"/>
        <v>131.64433069005074</v>
      </c>
      <c r="BT175">
        <f t="shared" si="53"/>
        <v>-4.0971011362293881</v>
      </c>
      <c r="BV175">
        <f t="shared" si="54"/>
        <v>136.08614491355246</v>
      </c>
      <c r="BX175">
        <f t="shared" si="55"/>
        <v>-69.839232195019022</v>
      </c>
      <c r="CB175">
        <f t="shared" si="56"/>
        <v>75976.778404830256</v>
      </c>
      <c r="CD175">
        <f t="shared" si="57"/>
        <v>35908.010445971588</v>
      </c>
      <c r="CF175">
        <f t="shared" si="58"/>
        <v>57201.000954346506</v>
      </c>
    </row>
    <row r="176" spans="12:84" x14ac:dyDescent="0.25">
      <c r="L176">
        <v>165</v>
      </c>
      <c r="M176">
        <f t="shared" si="70"/>
        <v>1.0367255756846361</v>
      </c>
      <c r="P176">
        <f t="shared" si="64"/>
        <v>22545.207078751839</v>
      </c>
      <c r="Q176">
        <f t="shared" si="65"/>
        <v>11803.71013501973</v>
      </c>
      <c r="V176">
        <f t="shared" si="66"/>
        <v>-18218.355044873715</v>
      </c>
      <c r="W176">
        <f t="shared" si="67"/>
        <v>13012.597094513811</v>
      </c>
      <c r="AB176">
        <f t="shared" si="68"/>
        <v>-2454.7929212481622</v>
      </c>
      <c r="AC176">
        <f t="shared" si="69"/>
        <v>-10696.28986498027</v>
      </c>
      <c r="AW176">
        <v>169</v>
      </c>
      <c r="AX176">
        <f t="shared" si="59"/>
        <v>84.5</v>
      </c>
      <c r="AZ176">
        <f t="shared" si="60"/>
        <v>-55933.158825954757</v>
      </c>
      <c r="BB176">
        <f t="shared" si="61"/>
        <v>11736.497623102325</v>
      </c>
      <c r="BD176">
        <f t="shared" si="62"/>
        <v>3.9549744562606577</v>
      </c>
      <c r="BF176">
        <f t="shared" si="63"/>
        <v>1219.4463877296362</v>
      </c>
      <c r="BH176">
        <f t="shared" si="48"/>
        <v>353.16894403587077</v>
      </c>
      <c r="BJ176">
        <f t="shared" si="49"/>
        <v>-81.582770001515371</v>
      </c>
      <c r="BN176" s="20">
        <f t="shared" si="50"/>
        <v>88.093540428045642</v>
      </c>
      <c r="BP176">
        <f t="shared" si="51"/>
        <v>-4.914955210667693</v>
      </c>
      <c r="BR176">
        <f t="shared" si="52"/>
        <v>131.09120665692083</v>
      </c>
      <c r="BT176">
        <f t="shared" si="53"/>
        <v>-6.3350837000429019</v>
      </c>
      <c r="BV176">
        <f t="shared" si="54"/>
        <v>133.98419695090428</v>
      </c>
      <c r="BX176">
        <f t="shared" si="55"/>
        <v>-70.332731090804771</v>
      </c>
      <c r="CB176">
        <f t="shared" si="56"/>
        <v>76051.249308596001</v>
      </c>
      <c r="CD176">
        <f t="shared" si="57"/>
        <v>35975.093150766552</v>
      </c>
      <c r="CF176">
        <f t="shared" si="58"/>
        <v>57524.142524161878</v>
      </c>
    </row>
    <row r="177" spans="12:84" x14ac:dyDescent="0.25">
      <c r="L177">
        <v>166</v>
      </c>
      <c r="M177">
        <f t="shared" si="70"/>
        <v>1.0430087609918157</v>
      </c>
      <c r="P177">
        <f t="shared" si="64"/>
        <v>22518.116008178786</v>
      </c>
      <c r="Q177">
        <f t="shared" si="65"/>
        <v>11819.617085964186</v>
      </c>
      <c r="V177">
        <f t="shared" si="66"/>
        <v>-18237.318794274852</v>
      </c>
      <c r="W177">
        <f t="shared" si="67"/>
        <v>13023.731960174931</v>
      </c>
      <c r="AB177">
        <f t="shared" si="68"/>
        <v>-2481.8839918212147</v>
      </c>
      <c r="AC177">
        <f t="shared" si="69"/>
        <v>-10680.382914035814</v>
      </c>
      <c r="AW177">
        <v>170</v>
      </c>
      <c r="AX177">
        <f t="shared" si="59"/>
        <v>85</v>
      </c>
      <c r="AZ177">
        <f t="shared" si="60"/>
        <v>-55887.035220722144</v>
      </c>
      <c r="BB177">
        <f t="shared" si="61"/>
        <v>12336.022970716953</v>
      </c>
      <c r="BD177">
        <f t="shared" si="62"/>
        <v>180.53944647419604</v>
      </c>
      <c r="BF177">
        <f t="shared" si="63"/>
        <v>1178.6550027288786</v>
      </c>
      <c r="BH177">
        <f t="shared" si="48"/>
        <v>351.37200697858884</v>
      </c>
      <c r="BJ177">
        <f t="shared" si="49"/>
        <v>-85.184827830066155</v>
      </c>
      <c r="BN177" s="20">
        <f t="shared" si="50"/>
        <v>88.075129542485357</v>
      </c>
      <c r="BP177">
        <f t="shared" si="51"/>
        <v>-5.6127288195865992</v>
      </c>
      <c r="BR177">
        <f t="shared" si="52"/>
        <v>131.05039101169808</v>
      </c>
      <c r="BT177">
        <f t="shared" si="53"/>
        <v>-8.5305660342761787</v>
      </c>
      <c r="BV177">
        <f t="shared" si="54"/>
        <v>132.24648642440545</v>
      </c>
      <c r="BX177">
        <f t="shared" si="55"/>
        <v>-71.041532976203371</v>
      </c>
      <c r="CB177">
        <f t="shared" si="56"/>
        <v>76040.970751065674</v>
      </c>
      <c r="CD177">
        <f t="shared" si="57"/>
        <v>35962.985141017823</v>
      </c>
      <c r="CF177">
        <f t="shared" si="58"/>
        <v>57764.59560501208</v>
      </c>
    </row>
    <row r="178" spans="12:84" x14ac:dyDescent="0.25">
      <c r="L178">
        <v>167</v>
      </c>
      <c r="M178">
        <f t="shared" si="70"/>
        <v>1.0492919462989954</v>
      </c>
      <c r="P178">
        <f t="shared" si="64"/>
        <v>22490.925526697436</v>
      </c>
      <c r="Q178">
        <f t="shared" si="65"/>
        <v>11835.353505822462</v>
      </c>
      <c r="V178">
        <f t="shared" si="66"/>
        <v>-18256.352131311796</v>
      </c>
      <c r="W178">
        <f t="shared" si="67"/>
        <v>13034.747454075723</v>
      </c>
      <c r="AB178">
        <f t="shared" si="68"/>
        <v>-2509.0744733025649</v>
      </c>
      <c r="AC178">
        <f t="shared" si="69"/>
        <v>-10664.646494177538</v>
      </c>
      <c r="AW178">
        <v>171</v>
      </c>
      <c r="AX178">
        <f t="shared" si="59"/>
        <v>85.5</v>
      </c>
      <c r="AZ178">
        <f t="shared" si="60"/>
        <v>-55752.843996612719</v>
      </c>
      <c r="BB178">
        <f t="shared" si="61"/>
        <v>12914.702368602635</v>
      </c>
      <c r="BD178">
        <f t="shared" si="62"/>
        <v>356.22544996349046</v>
      </c>
      <c r="BF178">
        <f t="shared" si="63"/>
        <v>1136.0625888138454</v>
      </c>
      <c r="BH178">
        <f t="shared" si="48"/>
        <v>350.6184560978088</v>
      </c>
      <c r="BJ178">
        <f t="shared" si="49"/>
        <v>-88.99874187422688</v>
      </c>
      <c r="BN178" s="20">
        <f t="shared" si="50"/>
        <v>88.243603885850646</v>
      </c>
      <c r="BP178">
        <f t="shared" si="51"/>
        <v>-6.3075235960264875</v>
      </c>
      <c r="BR178">
        <f t="shared" si="52"/>
        <v>131.52552066321553</v>
      </c>
      <c r="BT178">
        <f t="shared" si="53"/>
        <v>-10.7224406160553</v>
      </c>
      <c r="BV178">
        <f t="shared" si="54"/>
        <v>130.84933154874261</v>
      </c>
      <c r="BX178">
        <f t="shared" si="55"/>
        <v>-71.968777662145101</v>
      </c>
      <c r="CB178">
        <f t="shared" si="56"/>
        <v>75946.114945503927</v>
      </c>
      <c r="CD178">
        <f t="shared" si="57"/>
        <v>35871.455835297005</v>
      </c>
      <c r="CF178">
        <f t="shared" si="58"/>
        <v>57923.067788854016</v>
      </c>
    </row>
    <row r="179" spans="12:84" x14ac:dyDescent="0.25">
      <c r="L179">
        <v>168</v>
      </c>
      <c r="M179">
        <f t="shared" si="70"/>
        <v>1.055575131606175</v>
      </c>
      <c r="P179">
        <f t="shared" si="64"/>
        <v>22463.63670774144</v>
      </c>
      <c r="Q179">
        <f t="shared" si="65"/>
        <v>11850.918773347639</v>
      </c>
      <c r="V179">
        <f t="shared" si="66"/>
        <v>-18275.454304580991</v>
      </c>
      <c r="W179">
        <f t="shared" si="67"/>
        <v>13045.643141343347</v>
      </c>
      <c r="AB179">
        <f t="shared" si="68"/>
        <v>-2536.3632922585616</v>
      </c>
      <c r="AC179">
        <f t="shared" si="69"/>
        <v>-10649.081226652361</v>
      </c>
      <c r="AW179">
        <v>172</v>
      </c>
      <c r="AX179">
        <f t="shared" si="59"/>
        <v>86</v>
      </c>
      <c r="AZ179">
        <f t="shared" si="60"/>
        <v>-55530.903964618752</v>
      </c>
      <c r="BB179">
        <f t="shared" si="61"/>
        <v>13471.60882027528</v>
      </c>
      <c r="BD179">
        <f t="shared" si="62"/>
        <v>531.53467801239481</v>
      </c>
      <c r="BF179">
        <f t="shared" si="63"/>
        <v>1091.5632178767319</v>
      </c>
      <c r="BH179">
        <f t="shared" si="48"/>
        <v>350.9053633997753</v>
      </c>
      <c r="BJ179">
        <f t="shared" si="49"/>
        <v>-93.075184607447866</v>
      </c>
      <c r="BN179" s="20">
        <f t="shared" si="50"/>
        <v>88.60120140493575</v>
      </c>
      <c r="BP179">
        <f t="shared" si="51"/>
        <v>-7.0049699927402633</v>
      </c>
      <c r="BR179">
        <f t="shared" si="52"/>
        <v>132.53007896946292</v>
      </c>
      <c r="BT179">
        <f t="shared" si="53"/>
        <v>-12.949082059953261</v>
      </c>
      <c r="BV179">
        <f t="shared" si="54"/>
        <v>129.77408302537663</v>
      </c>
      <c r="BX179">
        <f t="shared" si="55"/>
        <v>-73.12113255475434</v>
      </c>
      <c r="CB179">
        <f t="shared" si="56"/>
        <v>75766.599274448425</v>
      </c>
      <c r="CD179">
        <f t="shared" si="57"/>
        <v>35700.100901033511</v>
      </c>
      <c r="CF179">
        <f t="shared" si="58"/>
        <v>58000.041071505286</v>
      </c>
    </row>
    <row r="180" spans="12:84" x14ac:dyDescent="0.25">
      <c r="L180">
        <v>169</v>
      </c>
      <c r="M180">
        <f t="shared" si="70"/>
        <v>1.0618583169133546</v>
      </c>
      <c r="P180">
        <f t="shared" si="64"/>
        <v>22436.250628626643</v>
      </c>
      <c r="Q180">
        <f t="shared" si="65"/>
        <v>11866.312274049611</v>
      </c>
      <c r="V180">
        <f t="shared" si="66"/>
        <v>-18294.62455996135</v>
      </c>
      <c r="W180">
        <f t="shared" si="67"/>
        <v>13056.418591834728</v>
      </c>
      <c r="AB180">
        <f t="shared" si="68"/>
        <v>-2563.7493713733579</v>
      </c>
      <c r="AC180">
        <f t="shared" si="69"/>
        <v>-10633.687725950389</v>
      </c>
      <c r="AW180">
        <v>173</v>
      </c>
      <c r="AX180">
        <f t="shared" si="59"/>
        <v>86.5</v>
      </c>
      <c r="AZ180">
        <f t="shared" si="60"/>
        <v>-55221.273455187584</v>
      </c>
      <c r="BB180">
        <f t="shared" si="61"/>
        <v>14005.756031137716</v>
      </c>
      <c r="BD180">
        <f t="shared" si="62"/>
        <v>706.98735971228245</v>
      </c>
      <c r="BF180">
        <f t="shared" si="63"/>
        <v>1045.025625573008</v>
      </c>
      <c r="BH180">
        <f t="shared" si="48"/>
        <v>352.24725882739926</v>
      </c>
      <c r="BJ180">
        <f t="shared" si="49"/>
        <v>-97.469544523198465</v>
      </c>
      <c r="BN180" s="20">
        <f t="shared" si="50"/>
        <v>89.152571610156855</v>
      </c>
      <c r="BP180">
        <f t="shared" si="51"/>
        <v>-7.7106495782705391</v>
      </c>
      <c r="BR180">
        <f t="shared" si="52"/>
        <v>134.08817363169365</v>
      </c>
      <c r="BT180">
        <f t="shared" si="53"/>
        <v>-15.250002556346738</v>
      </c>
      <c r="BV180">
        <f t="shared" si="54"/>
        <v>129.00651358554876</v>
      </c>
      <c r="BX180">
        <f t="shared" si="55"/>
        <v>-74.508892388581188</v>
      </c>
      <c r="CB180">
        <f t="shared" si="56"/>
        <v>75502.085015956967</v>
      </c>
      <c r="CD180">
        <f t="shared" si="57"/>
        <v>35448.331204530601</v>
      </c>
      <c r="CF180">
        <f t="shared" si="58"/>
        <v>57995.777349722724</v>
      </c>
    </row>
    <row r="181" spans="12:84" x14ac:dyDescent="0.25">
      <c r="L181">
        <v>170</v>
      </c>
      <c r="M181">
        <f t="shared" si="70"/>
        <v>1.0681415022205343</v>
      </c>
      <c r="P181">
        <f t="shared" si="64"/>
        <v>22408.768370508558</v>
      </c>
      <c r="Q181">
        <f t="shared" si="65"/>
        <v>11881.53340021933</v>
      </c>
      <c r="V181">
        <f t="shared" si="66"/>
        <v>-18313.862140644011</v>
      </c>
      <c r="W181">
        <f t="shared" si="67"/>
        <v>13067.07338015353</v>
      </c>
      <c r="AB181">
        <f t="shared" si="68"/>
        <v>-2591.2316294914435</v>
      </c>
      <c r="AC181">
        <f t="shared" si="69"/>
        <v>-10618.46659978067</v>
      </c>
      <c r="AW181">
        <v>174</v>
      </c>
      <c r="AX181">
        <f t="shared" si="59"/>
        <v>87</v>
      </c>
      <c r="AZ181">
        <f t="shared" si="60"/>
        <v>-54823.748867978022</v>
      </c>
      <c r="BB181">
        <f t="shared" si="61"/>
        <v>14516.085150858822</v>
      </c>
      <c r="BD181">
        <f t="shared" si="62"/>
        <v>883.11098912598209</v>
      </c>
      <c r="BF181">
        <f t="shared" si="63"/>
        <v>996.2908533114088</v>
      </c>
      <c r="BH181">
        <f t="shared" si="48"/>
        <v>354.67708181444442</v>
      </c>
      <c r="BJ181">
        <f t="shared" si="49"/>
        <v>-102.24404882901274</v>
      </c>
      <c r="BN181" s="20">
        <f t="shared" si="50"/>
        <v>89.904923959314445</v>
      </c>
      <c r="BP181">
        <f t="shared" si="51"/>
        <v>-8.4302191686895007</v>
      </c>
      <c r="BR181">
        <f t="shared" si="52"/>
        <v>136.23580187321804</v>
      </c>
      <c r="BT181">
        <f t="shared" si="53"/>
        <v>-17.667611956067613</v>
      </c>
      <c r="BV181">
        <f t="shared" si="54"/>
        <v>128.53635598191192</v>
      </c>
      <c r="BX181">
        <f t="shared" si="55"/>
        <v>-76.146217704255633</v>
      </c>
      <c r="CB181">
        <f t="shared" si="56"/>
        <v>75151.971667430946</v>
      </c>
      <c r="CD181">
        <f t="shared" si="57"/>
        <v>35115.360033891266</v>
      </c>
      <c r="CF181">
        <f t="shared" si="58"/>
        <v>57910.32061638141</v>
      </c>
    </row>
    <row r="182" spans="12:84" x14ac:dyDescent="0.25">
      <c r="L182">
        <v>171</v>
      </c>
      <c r="M182">
        <f t="shared" si="70"/>
        <v>1.0744246875277139</v>
      </c>
      <c r="P182">
        <f t="shared" si="64"/>
        <v>22381.191018339676</v>
      </c>
      <c r="Q182">
        <f t="shared" si="65"/>
        <v>11896.581550952793</v>
      </c>
      <c r="V182">
        <f t="shared" si="66"/>
        <v>-18333.166287162228</v>
      </c>
      <c r="W182">
        <f t="shared" si="67"/>
        <v>13077.607085666954</v>
      </c>
      <c r="AB182">
        <f t="shared" si="68"/>
        <v>-2618.8089816603247</v>
      </c>
      <c r="AC182">
        <f t="shared" si="69"/>
        <v>-10603.418449047207</v>
      </c>
      <c r="AW182">
        <v>175</v>
      </c>
      <c r="AX182">
        <f t="shared" si="59"/>
        <v>87.5</v>
      </c>
      <c r="AZ182">
        <f t="shared" si="60"/>
        <v>-54337.858738188224</v>
      </c>
      <c r="BB182">
        <f t="shared" si="61"/>
        <v>15001.4500714109</v>
      </c>
      <c r="BD182">
        <f t="shared" si="62"/>
        <v>1060.4495300332044</v>
      </c>
      <c r="BF182">
        <f t="shared" si="63"/>
        <v>945.16882889690237</v>
      </c>
      <c r="BH182">
        <f t="shared" si="48"/>
        <v>358.24794298886422</v>
      </c>
      <c r="BJ182">
        <f t="shared" si="49"/>
        <v>-107.47028873950453</v>
      </c>
      <c r="BN182" s="20">
        <f t="shared" si="50"/>
        <v>90.868263510486486</v>
      </c>
      <c r="BP182">
        <f t="shared" si="51"/>
        <v>-9.1695369407991159</v>
      </c>
      <c r="BR182">
        <f t="shared" si="52"/>
        <v>139.02271759245252</v>
      </c>
      <c r="BT182">
        <f t="shared" si="53"/>
        <v>-20.249229462209506</v>
      </c>
      <c r="BV182">
        <f t="shared" si="54"/>
        <v>128.35696188592522</v>
      </c>
      <c r="BX182">
        <f t="shared" si="55"/>
        <v>-78.051522336495907</v>
      </c>
      <c r="CB182">
        <f t="shared" si="56"/>
        <v>74715.386601105783</v>
      </c>
      <c r="CD182">
        <f t="shared" si="57"/>
        <v>34700.187975579982</v>
      </c>
      <c r="CF182">
        <f t="shared" si="58"/>
        <v>57743.495835087582</v>
      </c>
    </row>
    <row r="183" spans="12:84" x14ac:dyDescent="0.25">
      <c r="L183">
        <v>172</v>
      </c>
      <c r="M183">
        <f t="shared" si="70"/>
        <v>1.0807078728348936</v>
      </c>
      <c r="P183">
        <f t="shared" si="64"/>
        <v>22353.519660826641</v>
      </c>
      <c r="Q183">
        <f t="shared" si="65"/>
        <v>11911.456132174779</v>
      </c>
      <c r="V183">
        <f t="shared" si="66"/>
        <v>-18352.536237421351</v>
      </c>
      <c r="W183">
        <f t="shared" si="67"/>
        <v>13088.019292522344</v>
      </c>
      <c r="AB183">
        <f t="shared" si="68"/>
        <v>-2646.4803391733581</v>
      </c>
      <c r="AC183">
        <f t="shared" si="69"/>
        <v>-10588.543867825221</v>
      </c>
      <c r="AW183">
        <v>176</v>
      </c>
      <c r="AX183">
        <f t="shared" si="59"/>
        <v>88</v>
      </c>
      <c r="AZ183">
        <f t="shared" si="60"/>
        <v>-53762.852980298012</v>
      </c>
      <c r="BB183">
        <f t="shared" si="61"/>
        <v>15460.600699766912</v>
      </c>
      <c r="BD183">
        <f t="shared" si="62"/>
        <v>1239.5735015276364</v>
      </c>
      <c r="BF183">
        <f t="shared" si="63"/>
        <v>891.43368452715015</v>
      </c>
      <c r="BH183">
        <f t="shared" si="48"/>
        <v>363.03585965792331</v>
      </c>
      <c r="BJ183">
        <f t="shared" si="49"/>
        <v>-113.23235662691617</v>
      </c>
      <c r="BN183" s="20">
        <f t="shared" si="50"/>
        <v>92.055728612126472</v>
      </c>
      <c r="BP183">
        <f t="shared" si="51"/>
        <v>-9.9347960117944751</v>
      </c>
      <c r="BR183">
        <f t="shared" si="52"/>
        <v>142.5150703149217</v>
      </c>
      <c r="BT183">
        <f t="shared" si="53"/>
        <v>-23.049530001007724</v>
      </c>
      <c r="BV183">
        <f t="shared" si="54"/>
        <v>128.46506073087514</v>
      </c>
      <c r="BX183">
        <f t="shared" si="55"/>
        <v>-80.248030614113972</v>
      </c>
      <c r="CB183">
        <f t="shared" si="56"/>
        <v>74191.169577613415</v>
      </c>
      <c r="CD183">
        <f t="shared" si="57"/>
        <v>34201.584778654818</v>
      </c>
      <c r="CF183">
        <f t="shared" si="58"/>
        <v>57494.904346114003</v>
      </c>
    </row>
    <row r="184" spans="12:84" x14ac:dyDescent="0.25">
      <c r="L184">
        <v>173</v>
      </c>
      <c r="M184">
        <f t="shared" si="70"/>
        <v>1.0869910581420732</v>
      </c>
      <c r="P184">
        <f t="shared" si="64"/>
        <v>22325.755390387272</v>
      </c>
      <c r="Q184">
        <f t="shared" si="65"/>
        <v>11926.156556662287</v>
      </c>
      <c r="V184">
        <f t="shared" si="66"/>
        <v>-18371.971226728911</v>
      </c>
      <c r="W184">
        <f t="shared" si="67"/>
        <v>13098.3095896636</v>
      </c>
      <c r="AB184">
        <f t="shared" si="68"/>
        <v>-2674.2446096127292</v>
      </c>
      <c r="AC184">
        <f t="shared" si="69"/>
        <v>-10573.843443337713</v>
      </c>
      <c r="AW184">
        <v>177</v>
      </c>
      <c r="AX184">
        <f t="shared" si="59"/>
        <v>88.5</v>
      </c>
      <c r="AZ184">
        <f t="shared" si="60"/>
        <v>-53097.686747076958</v>
      </c>
      <c r="BB184">
        <f t="shared" si="61"/>
        <v>15892.163497452122</v>
      </c>
      <c r="BD184">
        <f t="shared" si="62"/>
        <v>1421.0914313565982</v>
      </c>
      <c r="BF184">
        <f t="shared" si="63"/>
        <v>834.81750621369201</v>
      </c>
      <c r="BH184">
        <f t="shared" si="48"/>
        <v>369.14371931232063</v>
      </c>
      <c r="BJ184">
        <f t="shared" si="49"/>
        <v>-119.63088071186436</v>
      </c>
      <c r="BN184" s="20">
        <f t="shared" si="50"/>
        <v>93.484052695155981</v>
      </c>
      <c r="BP184">
        <f t="shared" si="51"/>
        <v>-10.732671436467184</v>
      </c>
      <c r="BR184">
        <f t="shared" si="52"/>
        <v>146.79906455372512</v>
      </c>
      <c r="BT184">
        <f t="shared" si="53"/>
        <v>-26.133672006547908</v>
      </c>
      <c r="BV184">
        <f t="shared" si="54"/>
        <v>128.8606020634395</v>
      </c>
      <c r="BX184">
        <f t="shared" si="55"/>
        <v>-82.764537268849281</v>
      </c>
      <c r="CB184">
        <f t="shared" si="56"/>
        <v>73577.851395251797</v>
      </c>
      <c r="CD184">
        <f t="shared" si="57"/>
        <v>33618.067444282708</v>
      </c>
      <c r="CF184">
        <f t="shared" si="58"/>
        <v>57163.91550596631</v>
      </c>
    </row>
    <row r="185" spans="12:84" x14ac:dyDescent="0.25">
      <c r="L185">
        <v>174</v>
      </c>
      <c r="M185">
        <f t="shared" si="70"/>
        <v>1.0932742434492528</v>
      </c>
      <c r="P185">
        <f t="shared" si="64"/>
        <v>22297.899303107417</v>
      </c>
      <c r="Q185">
        <f t="shared" si="65"/>
        <v>11940.682244067733</v>
      </c>
      <c r="V185">
        <f t="shared" si="66"/>
        <v>-18391.470487824809</v>
      </c>
      <c r="W185">
        <f t="shared" si="67"/>
        <v>13108.477570847414</v>
      </c>
      <c r="AB185">
        <f t="shared" si="68"/>
        <v>-2702.1006968925822</v>
      </c>
      <c r="AC185">
        <f t="shared" si="69"/>
        <v>-10559.317755932267</v>
      </c>
      <c r="AW185">
        <v>178</v>
      </c>
      <c r="AX185">
        <f t="shared" si="59"/>
        <v>89</v>
      </c>
      <c r="AZ185">
        <f t="shared" si="60"/>
        <v>-52340.998066484615</v>
      </c>
      <c r="BB185">
        <f t="shared" si="61"/>
        <v>16294.618390469985</v>
      </c>
      <c r="BD185">
        <f t="shared" si="62"/>
        <v>1605.6632910127585</v>
      </c>
      <c r="BF185">
        <f t="shared" si="63"/>
        <v>775.00206585775982</v>
      </c>
      <c r="BH185">
        <f t="shared" si="48"/>
        <v>376.70685270893568</v>
      </c>
      <c r="BJ185">
        <f t="shared" si="49"/>
        <v>-126.78836452357532</v>
      </c>
      <c r="BN185" s="20">
        <f t="shared" si="50"/>
        <v>95.17418194414968</v>
      </c>
      <c r="BP185">
        <f t="shared" si="51"/>
        <v>-11.57048745795152</v>
      </c>
      <c r="BR185">
        <f t="shared" si="52"/>
        <v>151.98600308838499</v>
      </c>
      <c r="BT185">
        <f t="shared" si="53"/>
        <v>-29.581458437598741</v>
      </c>
      <c r="BV185">
        <f t="shared" si="54"/>
        <v>129.54666767640097</v>
      </c>
      <c r="BX185">
        <f t="shared" si="55"/>
        <v>-85.636418628025069</v>
      </c>
      <c r="CB185">
        <f t="shared" si="56"/>
        <v>72873.625639795937</v>
      </c>
      <c r="CD185">
        <f t="shared" si="57"/>
        <v>32947.873628172194</v>
      </c>
      <c r="CF185">
        <f t="shared" si="58"/>
        <v>56749.654079439482</v>
      </c>
    </row>
    <row r="186" spans="12:84" x14ac:dyDescent="0.25">
      <c r="L186">
        <v>175</v>
      </c>
      <c r="M186">
        <f t="shared" si="70"/>
        <v>1.0995574287564325</v>
      </c>
      <c r="P186">
        <f t="shared" si="64"/>
        <v>22269.952498697712</v>
      </c>
      <c r="Q186">
        <f t="shared" si="65"/>
        <v>11955.032620941849</v>
      </c>
      <c r="V186">
        <f t="shared" si="66"/>
        <v>-18411.033250911601</v>
      </c>
      <c r="W186">
        <f t="shared" si="67"/>
        <v>13118.522834659296</v>
      </c>
      <c r="AB186">
        <f t="shared" si="68"/>
        <v>-2730.0475013022874</v>
      </c>
      <c r="AC186">
        <f t="shared" si="69"/>
        <v>-10544.967379058151</v>
      </c>
      <c r="AW186">
        <v>179</v>
      </c>
      <c r="AX186">
        <f t="shared" si="59"/>
        <v>89.5</v>
      </c>
      <c r="AZ186">
        <f t="shared" si="60"/>
        <v>-51491.078064389621</v>
      </c>
      <c r="BB186">
        <f t="shared" si="61"/>
        <v>16666.270877833416</v>
      </c>
      <c r="BD186">
        <f t="shared" si="62"/>
        <v>1794.0167173672262</v>
      </c>
      <c r="BF186">
        <f t="shared" si="63"/>
        <v>711.60788359597211</v>
      </c>
      <c r="BH186">
        <f t="shared" si="48"/>
        <v>385.9007831208724</v>
      </c>
      <c r="BJ186">
        <f t="shared" si="49"/>
        <v>-134.8564313639009</v>
      </c>
      <c r="BN186" s="20">
        <f t="shared" si="50"/>
        <v>97.152094034418269</v>
      </c>
      <c r="BP186">
        <f t="shared" si="51"/>
        <v>-12.456413224964354</v>
      </c>
      <c r="BR186">
        <f t="shared" si="52"/>
        <v>158.21924844531574</v>
      </c>
      <c r="BT186">
        <f t="shared" si="53"/>
        <v>-33.493053685462698</v>
      </c>
      <c r="BV186">
        <f t="shared" si="54"/>
        <v>130.52944064113839</v>
      </c>
      <c r="BX186">
        <f t="shared" si="55"/>
        <v>-88.906964453473847</v>
      </c>
      <c r="CB186">
        <f t="shared" si="56"/>
        <v>72076.3120908282</v>
      </c>
      <c r="CD186">
        <f t="shared" si="57"/>
        <v>32188.929231556169</v>
      </c>
      <c r="CF186">
        <f t="shared" si="58"/>
        <v>56250.982666060961</v>
      </c>
    </row>
    <row r="187" spans="12:84" x14ac:dyDescent="0.25">
      <c r="L187">
        <v>176</v>
      </c>
      <c r="M187">
        <f t="shared" si="70"/>
        <v>1.1058406140636121</v>
      </c>
      <c r="P187">
        <f t="shared" si="64"/>
        <v>22241.916080450141</v>
      </c>
      <c r="Q187">
        <f t="shared" si="65"/>
        <v>11969.207120756331</v>
      </c>
      <c r="V187">
        <f t="shared" si="66"/>
        <v>-18430.658743684904</v>
      </c>
      <c r="W187">
        <f t="shared" si="67"/>
        <v>13128.444984529431</v>
      </c>
      <c r="AB187">
        <f t="shared" si="68"/>
        <v>-2758.0839195498606</v>
      </c>
      <c r="AC187">
        <f t="shared" si="69"/>
        <v>-10530.792879243669</v>
      </c>
      <c r="AW187">
        <v>180</v>
      </c>
      <c r="AX187">
        <f t="shared" si="59"/>
        <v>90</v>
      </c>
      <c r="AZ187">
        <f t="shared" si="60"/>
        <v>-50545.832107815899</v>
      </c>
      <c r="BB187">
        <f t="shared" si="61"/>
        <v>17005.217765710913</v>
      </c>
      <c r="BD187">
        <f t="shared" si="62"/>
        <v>1986.9671089276624</v>
      </c>
      <c r="BF187">
        <f t="shared" si="63"/>
        <v>644.17966791402171</v>
      </c>
      <c r="BH187">
        <f t="shared" si="48"/>
        <v>396.95199419508549</v>
      </c>
      <c r="BJ187">
        <f t="shared" si="49"/>
        <v>-144.02588410623716</v>
      </c>
      <c r="BN187" s="20">
        <f t="shared" si="50"/>
        <v>99.44988217353378</v>
      </c>
      <c r="BP187">
        <f t="shared" si="51"/>
        <v>-13.399697169763764</v>
      </c>
      <c r="BR187">
        <f t="shared" si="52"/>
        <v>165.68389509581704</v>
      </c>
      <c r="BT187">
        <f t="shared" si="53"/>
        <v>-37.997058365302138</v>
      </c>
      <c r="BV187">
        <f t="shared" si="54"/>
        <v>131.81821692573467</v>
      </c>
      <c r="BX187">
        <f t="shared" si="55"/>
        <v>-92.62912857117125</v>
      </c>
      <c r="CB187">
        <f t="shared" si="56"/>
        <v>71183.309789287916</v>
      </c>
      <c r="CD187">
        <f t="shared" si="57"/>
        <v>31338.808769701322</v>
      </c>
      <c r="CF187">
        <f t="shared" si="58"/>
        <v>55666.478123049339</v>
      </c>
    </row>
    <row r="188" spans="12:84" x14ac:dyDescent="0.25">
      <c r="L188">
        <v>177</v>
      </c>
      <c r="M188">
        <f t="shared" si="70"/>
        <v>1.1121237993707918</v>
      </c>
      <c r="P188">
        <f t="shared" si="64"/>
        <v>22213.791155194485</v>
      </c>
      <c r="Q188">
        <f t="shared" si="65"/>
        <v>11983.205183926191</v>
      </c>
      <c r="V188">
        <f t="shared" si="66"/>
        <v>-18450.34619136386</v>
      </c>
      <c r="W188">
        <f t="shared" si="67"/>
        <v>13138.243628748332</v>
      </c>
      <c r="AB188">
        <f t="shared" si="68"/>
        <v>-2786.2088448055147</v>
      </c>
      <c r="AC188">
        <f t="shared" si="69"/>
        <v>-10516.794816073809</v>
      </c>
      <c r="AW188">
        <v>181</v>
      </c>
      <c r="AX188">
        <f t="shared" si="59"/>
        <v>90.5</v>
      </c>
      <c r="AZ188">
        <f t="shared" si="60"/>
        <v>-49502.729554077683</v>
      </c>
      <c r="BB188">
        <f t="shared" si="61"/>
        <v>17309.304364154646</v>
      </c>
      <c r="BD188">
        <f t="shared" si="62"/>
        <v>2185.443106025205</v>
      </c>
      <c r="BF188">
        <f t="shared" si="63"/>
        <v>572.16672586090317</v>
      </c>
      <c r="BH188">
        <f t="shared" si="48"/>
        <v>410.15297856721014</v>
      </c>
      <c r="BJ188">
        <f t="shared" si="49"/>
        <v>-154.54099845859446</v>
      </c>
      <c r="BN188" s="20">
        <f t="shared" si="50"/>
        <v>102.10719641760605</v>
      </c>
      <c r="BP188">
        <f t="shared" si="51"/>
        <v>-14.41095297777489</v>
      </c>
      <c r="BR188">
        <f t="shared" si="52"/>
        <v>174.6203415223664</v>
      </c>
      <c r="BT188">
        <f t="shared" si="53"/>
        <v>-43.262208061802816</v>
      </c>
      <c r="BV188">
        <f t="shared" si="54"/>
        <v>133.42544062723772</v>
      </c>
      <c r="BX188">
        <f t="shared" si="55"/>
        <v>-96.867837419016737</v>
      </c>
      <c r="CB188">
        <f t="shared" si="56"/>
        <v>70191.537008216925</v>
      </c>
      <c r="CD188">
        <f t="shared" si="57"/>
        <v>30394.686730231304</v>
      </c>
      <c r="CF188">
        <f t="shared" si="58"/>
        <v>54994.400499132287</v>
      </c>
    </row>
    <row r="189" spans="12:84" x14ac:dyDescent="0.25">
      <c r="L189">
        <v>178</v>
      </c>
      <c r="M189">
        <f t="shared" si="70"/>
        <v>1.1184069846779714</v>
      </c>
      <c r="P189">
        <f t="shared" si="64"/>
        <v>22185.578833254644</v>
      </c>
      <c r="Q189">
        <f t="shared" si="65"/>
        <v>11997.026257831865</v>
      </c>
      <c r="V189">
        <f t="shared" si="66"/>
        <v>-18470.09481672175</v>
      </c>
      <c r="W189">
        <f t="shared" si="67"/>
        <v>13147.918380482306</v>
      </c>
      <c r="AB189">
        <f t="shared" si="68"/>
        <v>-2814.4211667453583</v>
      </c>
      <c r="AC189">
        <f t="shared" si="69"/>
        <v>-10502.973742168135</v>
      </c>
      <c r="AW189">
        <v>182</v>
      </c>
      <c r="AX189">
        <f t="shared" si="59"/>
        <v>91</v>
      </c>
      <c r="AZ189">
        <f t="shared" si="60"/>
        <v>-48358.738878744174</v>
      </c>
      <c r="BB189">
        <f t="shared" si="61"/>
        <v>17576.070102277772</v>
      </c>
      <c r="BD189">
        <f t="shared" si="62"/>
        <v>2390.51959530881</v>
      </c>
      <c r="BF189">
        <f t="shared" si="63"/>
        <v>494.89622663160594</v>
      </c>
      <c r="BH189">
        <f t="shared" si="48"/>
        <v>425.88347857014173</v>
      </c>
      <c r="BJ189">
        <f t="shared" si="49"/>
        <v>-166.72031931107566</v>
      </c>
      <c r="BN189" s="20">
        <f t="shared" si="50"/>
        <v>105.17317551219517</v>
      </c>
      <c r="BP189">
        <f t="shared" si="51"/>
        <v>-15.502513749117178</v>
      </c>
      <c r="BR189">
        <f t="shared" si="52"/>
        <v>185.34356889792568</v>
      </c>
      <c r="BT189">
        <f t="shared" si="53"/>
        <v>-49.514750179159478</v>
      </c>
      <c r="BV189">
        <f t="shared" si="54"/>
        <v>135.36673416002085</v>
      </c>
      <c r="BX189">
        <f t="shared" si="55"/>
        <v>-101.70305538279899</v>
      </c>
      <c r="CB189">
        <f t="shared" si="56"/>
        <v>69097.354289425188</v>
      </c>
      <c r="CD189">
        <f t="shared" si="57"/>
        <v>29353.277653226796</v>
      </c>
      <c r="CF189">
        <f t="shared" si="58"/>
        <v>54232.652345829789</v>
      </c>
    </row>
    <row r="190" spans="12:84" x14ac:dyDescent="0.25">
      <c r="L190">
        <v>179</v>
      </c>
      <c r="M190">
        <f t="shared" si="70"/>
        <v>1.124690169985151</v>
      </c>
      <c r="P190">
        <f t="shared" si="64"/>
        <v>22157.280228404772</v>
      </c>
      <c r="Q190">
        <f t="shared" si="65"/>
        <v>12010.669796841026</v>
      </c>
      <c r="V190">
        <f t="shared" si="66"/>
        <v>-18489.903840116658</v>
      </c>
      <c r="W190">
        <f t="shared" si="67"/>
        <v>13157.468857788717</v>
      </c>
      <c r="AB190">
        <f t="shared" si="68"/>
        <v>-2842.7197715952279</v>
      </c>
      <c r="AC190">
        <f t="shared" si="69"/>
        <v>-10489.330203158974</v>
      </c>
      <c r="AW190">
        <v>183</v>
      </c>
      <c r="AX190">
        <f t="shared" si="59"/>
        <v>91.5</v>
      </c>
      <c r="AZ190">
        <f t="shared" si="60"/>
        <v>-47110.2436462685</v>
      </c>
      <c r="BB190">
        <f t="shared" si="61"/>
        <v>17802.678175679692</v>
      </c>
      <c r="BD190">
        <f t="shared" si="62"/>
        <v>2603.461334593881</v>
      </c>
      <c r="BF190">
        <f t="shared" si="63"/>
        <v>411.53606697606813</v>
      </c>
      <c r="BH190">
        <f t="shared" si="48"/>
        <v>444.64084695903205</v>
      </c>
      <c r="BJ190">
        <f t="shared" si="49"/>
        <v>-180.98769705704584</v>
      </c>
      <c r="BN190" s="20">
        <f t="shared" si="50"/>
        <v>108.70906533109446</v>
      </c>
      <c r="BP190">
        <f t="shared" si="51"/>
        <v>-16.688875707091544</v>
      </c>
      <c r="BR190">
        <f t="shared" si="52"/>
        <v>198.2709048851425</v>
      </c>
      <c r="BT190">
        <f t="shared" si="53"/>
        <v>-57.06492654972886</v>
      </c>
      <c r="BV190">
        <f t="shared" si="54"/>
        <v>137.66087674279512</v>
      </c>
      <c r="BX190">
        <f t="shared" si="55"/>
        <v>-107.23389480022543</v>
      </c>
      <c r="CB190">
        <f t="shared" si="56"/>
        <v>67896.465149911499</v>
      </c>
      <c r="CD190">
        <f t="shared" si="57"/>
        <v>28210.762082461893</v>
      </c>
      <c r="CF190">
        <f t="shared" si="58"/>
        <v>53378.725307422894</v>
      </c>
    </row>
    <row r="191" spans="12:84" x14ac:dyDescent="0.25">
      <c r="L191">
        <v>180</v>
      </c>
      <c r="M191">
        <f t="shared" si="70"/>
        <v>1.1309733552923307</v>
      </c>
      <c r="P191">
        <f t="shared" si="64"/>
        <v>22128.89645782534</v>
      </c>
      <c r="Q191">
        <f t="shared" si="65"/>
        <v>12024.135262330108</v>
      </c>
      <c r="V191">
        <f t="shared" si="66"/>
        <v>-18509.77247952226</v>
      </c>
      <c r="W191">
        <f t="shared" si="67"/>
        <v>13166.894683631075</v>
      </c>
      <c r="AB191">
        <f t="shared" si="68"/>
        <v>-2871.1035421746597</v>
      </c>
      <c r="AC191">
        <f t="shared" si="69"/>
        <v>-10475.864737669892</v>
      </c>
      <c r="AW191">
        <v>184</v>
      </c>
      <c r="AX191">
        <f t="shared" si="59"/>
        <v>92</v>
      </c>
      <c r="AZ191">
        <f t="shared" si="60"/>
        <v>-45752.932873101679</v>
      </c>
      <c r="BB191">
        <f t="shared" si="61"/>
        <v>17985.822747035596</v>
      </c>
      <c r="BD191">
        <f t="shared" si="62"/>
        <v>2825.7817580733972</v>
      </c>
      <c r="BF191">
        <f t="shared" si="63"/>
        <v>321.04221844754522</v>
      </c>
      <c r="BH191">
        <f t="shared" si="48"/>
        <v>467.08405688053949</v>
      </c>
      <c r="BJ191">
        <f t="shared" si="49"/>
        <v>-197.91990709912756</v>
      </c>
      <c r="BN191" s="20">
        <f t="shared" si="50"/>
        <v>112.79181782573198</v>
      </c>
      <c r="BP191">
        <f t="shared" si="51"/>
        <v>-17.987258626457141</v>
      </c>
      <c r="BR191">
        <f t="shared" si="52"/>
        <v>213.96258677011929</v>
      </c>
      <c r="BT191">
        <f t="shared" si="53"/>
        <v>-66.348454401791969</v>
      </c>
      <c r="BV191">
        <f t="shared" si="54"/>
        <v>140.32965228468819</v>
      </c>
      <c r="BX191">
        <f t="shared" si="55"/>
        <v>-113.58419407087845</v>
      </c>
      <c r="CB191">
        <f t="shared" si="56"/>
        <v>66583.786765975266</v>
      </c>
      <c r="CD191">
        <f t="shared" si="57"/>
        <v>26962.694904507454</v>
      </c>
      <c r="CF191">
        <f t="shared" si="58"/>
        <v>52429.629409889807</v>
      </c>
    </row>
    <row r="192" spans="12:84" x14ac:dyDescent="0.25">
      <c r="L192">
        <v>181</v>
      </c>
      <c r="M192">
        <f t="shared" si="70"/>
        <v>1.1372565405995103</v>
      </c>
      <c r="P192">
        <f t="shared" si="64"/>
        <v>22100.428642059007</v>
      </c>
      <c r="Q192">
        <f t="shared" si="65"/>
        <v>12037.422122705597</v>
      </c>
      <c r="V192">
        <f t="shared" si="66"/>
        <v>-18529.699950558694</v>
      </c>
      <c r="W192">
        <f t="shared" si="67"/>
        <v>13176.195485893917</v>
      </c>
      <c r="AB192">
        <f t="shared" si="68"/>
        <v>-2899.5713579409921</v>
      </c>
      <c r="AC192">
        <f t="shared" si="69"/>
        <v>-10462.577877294403</v>
      </c>
      <c r="AW192">
        <v>185</v>
      </c>
      <c r="AX192">
        <f t="shared" si="59"/>
        <v>92.5</v>
      </c>
      <c r="AZ192">
        <f t="shared" si="60"/>
        <v>-44281.656486954911</v>
      </c>
      <c r="BB192">
        <f t="shared" si="61"/>
        <v>18121.603867871978</v>
      </c>
      <c r="BD192">
        <f t="shared" si="62"/>
        <v>3059.3237865136671</v>
      </c>
      <c r="BF192">
        <f t="shared" si="63"/>
        <v>222.08226489798145</v>
      </c>
      <c r="BH192">
        <f t="shared" si="48"/>
        <v>494.09839572321096</v>
      </c>
      <c r="BJ192">
        <f t="shared" si="49"/>
        <v>-218.32198194549375</v>
      </c>
      <c r="BN192" s="20">
        <f t="shared" si="50"/>
        <v>117.51912057495501</v>
      </c>
      <c r="BP192">
        <f t="shared" si="51"/>
        <v>-19.418316419726509</v>
      </c>
      <c r="BR192">
        <f t="shared" si="52"/>
        <v>233.18184466706745</v>
      </c>
      <c r="BT192">
        <f t="shared" si="53"/>
        <v>-77.993466903010074</v>
      </c>
      <c r="BV192">
        <f t="shared" si="54"/>
        <v>143.39743048118851</v>
      </c>
      <c r="BX192">
        <f t="shared" si="55"/>
        <v>-120.91019862275718</v>
      </c>
      <c r="CB192">
        <f t="shared" si="56"/>
        <v>65153.279498678079</v>
      </c>
      <c r="CD192">
        <f t="shared" si="57"/>
        <v>25603.892109152323</v>
      </c>
      <c r="CF192">
        <f t="shared" si="58"/>
        <v>51381.798130654774</v>
      </c>
    </row>
    <row r="193" spans="12:84" x14ac:dyDescent="0.25">
      <c r="L193">
        <v>182</v>
      </c>
      <c r="M193">
        <f t="shared" si="70"/>
        <v>1.14353972590669</v>
      </c>
      <c r="P193">
        <f t="shared" si="64"/>
        <v>22071.877904966397</v>
      </c>
      <c r="Q193">
        <f t="shared" si="65"/>
        <v>12050.529853424989</v>
      </c>
      <c r="V193">
        <f t="shared" si="66"/>
        <v>-18549.685466523522</v>
      </c>
      <c r="W193">
        <f t="shared" si="67"/>
        <v>13185.370897397494</v>
      </c>
      <c r="AB193">
        <f t="shared" si="68"/>
        <v>-2928.1220950336033</v>
      </c>
      <c r="AC193">
        <f t="shared" si="69"/>
        <v>-10449.470146575011</v>
      </c>
      <c r="AW193">
        <v>186</v>
      </c>
      <c r="AX193">
        <f t="shared" si="59"/>
        <v>93</v>
      </c>
      <c r="AZ193">
        <f t="shared" si="60"/>
        <v>-42690.232294232679</v>
      </c>
      <c r="BB193">
        <f t="shared" si="61"/>
        <v>18205.354752577783</v>
      </c>
      <c r="BD193">
        <f t="shared" si="62"/>
        <v>3306.3729843752726</v>
      </c>
      <c r="BF193">
        <f t="shared" si="63"/>
        <v>112.92127392523457</v>
      </c>
      <c r="BH193">
        <f t="shared" si="48"/>
        <v>526.89166063861762</v>
      </c>
      <c r="BJ193">
        <f t="shared" si="49"/>
        <v>-243.35049561079944</v>
      </c>
      <c r="BN193" s="20">
        <f t="shared" si="50"/>
        <v>123.01656309530586</v>
      </c>
      <c r="BP193">
        <f t="shared" si="51"/>
        <v>-21.007035708484235</v>
      </c>
      <c r="BR193">
        <f t="shared" si="52"/>
        <v>256.98485497921564</v>
      </c>
      <c r="BT193">
        <f t="shared" si="53"/>
        <v>-92.932142509629088</v>
      </c>
      <c r="BV193">
        <f t="shared" si="54"/>
        <v>146.89024256409613</v>
      </c>
      <c r="BX193">
        <f t="shared" si="55"/>
        <v>-129.4113173926861</v>
      </c>
      <c r="CB193">
        <f t="shared" si="56"/>
        <v>63597.718870124532</v>
      </c>
      <c r="CD193">
        <f t="shared" si="57"/>
        <v>24128.29227653483</v>
      </c>
      <c r="CF193">
        <f t="shared" si="58"/>
        <v>50230.958527961222</v>
      </c>
    </row>
    <row r="194" spans="12:84" x14ac:dyDescent="0.25">
      <c r="L194">
        <v>183</v>
      </c>
      <c r="M194">
        <f t="shared" si="70"/>
        <v>1.1498229112138696</v>
      </c>
      <c r="P194">
        <f t="shared" si="64"/>
        <v>22043.245373681722</v>
      </c>
      <c r="Q194">
        <f t="shared" si="65"/>
        <v>12063.457937017525</v>
      </c>
      <c r="V194">
        <f t="shared" si="66"/>
        <v>-18569.728238422795</v>
      </c>
      <c r="W194">
        <f t="shared" si="67"/>
        <v>13194.420555912267</v>
      </c>
      <c r="AB194">
        <f t="shared" si="68"/>
        <v>-2956.7546263182785</v>
      </c>
      <c r="AC194">
        <f t="shared" si="69"/>
        <v>-10436.542062982475</v>
      </c>
      <c r="AW194">
        <v>187</v>
      </c>
      <c r="AX194">
        <f t="shared" si="59"/>
        <v>93.5</v>
      </c>
      <c r="AZ194">
        <f t="shared" si="60"/>
        <v>-40971.184344465219</v>
      </c>
      <c r="BB194">
        <f t="shared" si="61"/>
        <v>18231.39657758905</v>
      </c>
      <c r="BD194">
        <f t="shared" si="62"/>
        <v>3569.8188146945813</v>
      </c>
      <c r="BF194">
        <f t="shared" si="63"/>
        <v>-8.7539738801651481</v>
      </c>
      <c r="BH194">
        <f t="shared" si="48"/>
        <v>567.13775656833081</v>
      </c>
      <c r="BJ194">
        <f t="shared" si="49"/>
        <v>-274.723048776079</v>
      </c>
      <c r="BN194" s="20">
        <f t="shared" si="50"/>
        <v>129.44807840862788</v>
      </c>
      <c r="BP194">
        <f t="shared" si="51"/>
        <v>-22.78385569421749</v>
      </c>
      <c r="BR194">
        <f t="shared" si="52"/>
        <v>286.85575041931685</v>
      </c>
      <c r="BT194">
        <f t="shared" si="53"/>
        <v>-112.59370970559824</v>
      </c>
      <c r="BV194">
        <f t="shared" si="54"/>
        <v>150.83392774038606</v>
      </c>
      <c r="BX194">
        <f t="shared" si="55"/>
        <v>-139.34548337626327</v>
      </c>
      <c r="CB194">
        <f t="shared" si="56"/>
        <v>61908.385481065896</v>
      </c>
      <c r="CD194">
        <f t="shared" si="57"/>
        <v>22528.791854582167</v>
      </c>
      <c r="CF194">
        <f t="shared" si="58"/>
        <v>48971.949334700752</v>
      </c>
    </row>
    <row r="195" spans="12:84" x14ac:dyDescent="0.25">
      <c r="L195">
        <v>184</v>
      </c>
      <c r="M195">
        <f t="shared" si="70"/>
        <v>1.1561060965210492</v>
      </c>
      <c r="P195">
        <f t="shared" si="64"/>
        <v>22014.53217856829</v>
      </c>
      <c r="Q195">
        <f t="shared" si="65"/>
        <v>12076.205863104598</v>
      </c>
      <c r="V195">
        <f t="shared" si="66"/>
        <v>-18589.827475002199</v>
      </c>
      <c r="W195">
        <f t="shared" si="67"/>
        <v>13203.344104173219</v>
      </c>
      <c r="AB195">
        <f t="shared" si="68"/>
        <v>-2985.4678214317109</v>
      </c>
      <c r="AC195">
        <f t="shared" si="69"/>
        <v>-10423.794136895402</v>
      </c>
      <c r="AW195">
        <v>188</v>
      </c>
      <c r="AX195">
        <f t="shared" si="59"/>
        <v>94</v>
      </c>
      <c r="AZ195">
        <f t="shared" si="60"/>
        <v>-39115.38271754689</v>
      </c>
      <c r="BB195">
        <f t="shared" si="61"/>
        <v>18192.67920955196</v>
      </c>
      <c r="BD195">
        <f t="shared" si="62"/>
        <v>3853.3876929787466</v>
      </c>
      <c r="BF195">
        <f t="shared" si="63"/>
        <v>-146.11549826820465</v>
      </c>
      <c r="BH195">
        <f t="shared" si="48"/>
        <v>617.18770432480721</v>
      </c>
      <c r="BJ195">
        <f t="shared" si="49"/>
        <v>-315.08917230283566</v>
      </c>
      <c r="BN195" s="20">
        <f t="shared" si="50"/>
        <v>137.03155194328932</v>
      </c>
      <c r="BP195">
        <f t="shared" si="51"/>
        <v>-24.786009311950739</v>
      </c>
      <c r="BR195">
        <f t="shared" si="52"/>
        <v>324.9055683410096</v>
      </c>
      <c r="BT195">
        <f t="shared" si="53"/>
        <v>-139.25157210541335</v>
      </c>
      <c r="BV195">
        <f t="shared" si="54"/>
        <v>155.2505840405083</v>
      </c>
      <c r="BX195">
        <f t="shared" si="55"/>
        <v>-151.05159088547157</v>
      </c>
      <c r="CB195">
        <f t="shared" si="56"/>
        <v>60074.635766856103</v>
      </c>
      <c r="CD195">
        <f t="shared" si="57"/>
        <v>20797.063472252885</v>
      </c>
      <c r="CF195">
        <f t="shared" si="58"/>
        <v>47598.45891489472</v>
      </c>
    </row>
    <row r="196" spans="12:84" x14ac:dyDescent="0.25">
      <c r="L196">
        <v>185</v>
      </c>
      <c r="M196">
        <f t="shared" si="70"/>
        <v>1.1623892818282289</v>
      </c>
      <c r="P196">
        <f t="shared" si="64"/>
        <v>21985.739453173879</v>
      </c>
      <c r="Q196">
        <f t="shared" si="65"/>
        <v>12088.773128419916</v>
      </c>
      <c r="V196">
        <f t="shared" si="66"/>
        <v>-18609.982382778286</v>
      </c>
      <c r="W196">
        <f t="shared" si="67"/>
        <v>13212.14118989394</v>
      </c>
      <c r="AB196">
        <f t="shared" si="68"/>
        <v>-3014.2605468261218</v>
      </c>
      <c r="AC196">
        <f t="shared" si="69"/>
        <v>-10411.226871580084</v>
      </c>
      <c r="AW196">
        <v>189</v>
      </c>
      <c r="AX196">
        <f t="shared" si="59"/>
        <v>94.5</v>
      </c>
      <c r="AZ196">
        <f t="shared" si="60"/>
        <v>-37111.540408016917</v>
      </c>
      <c r="BB196">
        <f t="shared" si="61"/>
        <v>18080.235313880003</v>
      </c>
      <c r="BD196">
        <f t="shared" si="62"/>
        <v>4161.9815451411505</v>
      </c>
      <c r="BF196">
        <f t="shared" si="63"/>
        <v>-303.66008441962248</v>
      </c>
      <c r="BH196">
        <f t="shared" si="48"/>
        <v>680.35822779308023</v>
      </c>
      <c r="BJ196">
        <f t="shared" si="49"/>
        <v>-368.71628484090297</v>
      </c>
      <c r="BN196" s="20">
        <f t="shared" si="50"/>
        <v>146.06284883610925</v>
      </c>
      <c r="BP196">
        <f t="shared" si="51"/>
        <v>-27.058967421666502</v>
      </c>
      <c r="BR196">
        <f t="shared" si="52"/>
        <v>374.14346882324742</v>
      </c>
      <c r="BT196">
        <f t="shared" si="53"/>
        <v>-176.67417410455829</v>
      </c>
      <c r="BV196">
        <f t="shared" si="54"/>
        <v>160.15191013372348</v>
      </c>
      <c r="BX196">
        <f t="shared" si="55"/>
        <v>-164.98314331467822</v>
      </c>
      <c r="CB196">
        <f t="shared" si="56"/>
        <v>58083.297315782809</v>
      </c>
      <c r="CD196">
        <f t="shared" si="57"/>
        <v>18923.398686886805</v>
      </c>
      <c r="CF196">
        <f t="shared" si="58"/>
        <v>46102.635453923642</v>
      </c>
    </row>
    <row r="197" spans="12:84" x14ac:dyDescent="0.25">
      <c r="L197">
        <v>186</v>
      </c>
      <c r="M197">
        <f t="shared" si="70"/>
        <v>1.1686724671354085</v>
      </c>
      <c r="P197">
        <f t="shared" si="64"/>
        <v>21956.868334185987</v>
      </c>
      <c r="Q197">
        <f t="shared" si="65"/>
        <v>12101.159236829362</v>
      </c>
      <c r="V197">
        <f t="shared" si="66"/>
        <v>-18630.19216606981</v>
      </c>
      <c r="W197">
        <f t="shared" si="67"/>
        <v>13220.811465780553</v>
      </c>
      <c r="AB197">
        <f t="shared" si="68"/>
        <v>-3043.1316658140131</v>
      </c>
      <c r="AC197">
        <f t="shared" si="69"/>
        <v>-10398.840763170638</v>
      </c>
      <c r="AW197">
        <v>190</v>
      </c>
      <c r="AX197">
        <f t="shared" si="59"/>
        <v>95</v>
      </c>
      <c r="AZ197">
        <f t="shared" si="60"/>
        <v>-34945.504856972206</v>
      </c>
      <c r="BB197">
        <f t="shared" si="61"/>
        <v>17882.31573606508</v>
      </c>
      <c r="BD197">
        <f t="shared" si="62"/>
        <v>4502.1606590376905</v>
      </c>
      <c r="BF197">
        <f t="shared" si="63"/>
        <v>-488.01822684007396</v>
      </c>
      <c r="BH197">
        <f t="shared" si="48"/>
        <v>761.22468676184189</v>
      </c>
      <c r="BJ197">
        <f t="shared" si="49"/>
        <v>-442.81296143059365</v>
      </c>
      <c r="BN197" s="20">
        <f t="shared" si="50"/>
        <v>156.95404740545487</v>
      </c>
      <c r="BP197">
        <f t="shared" si="51"/>
        <v>-29.657503019739398</v>
      </c>
      <c r="BR197">
        <f t="shared" si="52"/>
        <v>438.74387237463236</v>
      </c>
      <c r="BT197">
        <f t="shared" si="53"/>
        <v>-231.39517616946608</v>
      </c>
      <c r="BV197">
        <f t="shared" si="54"/>
        <v>165.52676698175466</v>
      </c>
      <c r="BX197">
        <f t="shared" si="55"/>
        <v>-181.76028224138818</v>
      </c>
      <c r="CB197">
        <f t="shared" si="56"/>
        <v>55917.80560815044</v>
      </c>
      <c r="CD197">
        <f t="shared" si="57"/>
        <v>16896.716154117017</v>
      </c>
      <c r="CF197">
        <f t="shared" si="58"/>
        <v>44474.486498499551</v>
      </c>
    </row>
    <row r="198" spans="12:84" x14ac:dyDescent="0.25">
      <c r="L198">
        <v>187</v>
      </c>
      <c r="M198">
        <f t="shared" si="70"/>
        <v>1.1749556524425881</v>
      </c>
      <c r="P198">
        <f t="shared" si="64"/>
        <v>21927.919961386957</v>
      </c>
      <c r="Q198">
        <f t="shared" si="65"/>
        <v>12113.363699350586</v>
      </c>
      <c r="V198">
        <f t="shared" si="66"/>
        <v>-18650.456027029129</v>
      </c>
      <c r="W198">
        <f t="shared" si="67"/>
        <v>13229.35458954541</v>
      </c>
      <c r="AB198">
        <f t="shared" si="68"/>
        <v>-3072.0800386130422</v>
      </c>
      <c r="AC198">
        <f t="shared" si="69"/>
        <v>-10386.636300649414</v>
      </c>
      <c r="AW198">
        <v>191</v>
      </c>
      <c r="AX198">
        <f t="shared" si="59"/>
        <v>95.5</v>
      </c>
      <c r="AZ198">
        <f t="shared" si="60"/>
        <v>-32599.271441608129</v>
      </c>
      <c r="BB198">
        <f t="shared" si="61"/>
        <v>17582.95500246622</v>
      </c>
      <c r="BD198">
        <f t="shared" si="62"/>
        <v>4882.7730024186112</v>
      </c>
      <c r="BF198">
        <f t="shared" si="63"/>
        <v>-709.42470755537079</v>
      </c>
      <c r="BH198">
        <f t="shared" si="48"/>
        <v>865.42294715682738</v>
      </c>
      <c r="BJ198">
        <f t="shared" si="49"/>
        <v>-550.15562585298289</v>
      </c>
      <c r="BN198" s="20">
        <f t="shared" si="50"/>
        <v>170.29654422161008</v>
      </c>
      <c r="BP198">
        <f t="shared" si="51"/>
        <v>-32.644794222448191</v>
      </c>
      <c r="BR198">
        <f t="shared" si="52"/>
        <v>523.80863401578472</v>
      </c>
      <c r="BT198">
        <f t="shared" si="53"/>
        <v>-315.25769724491443</v>
      </c>
      <c r="BV198">
        <f t="shared" si="54"/>
        <v>171.31776891943269</v>
      </c>
      <c r="BX198">
        <f t="shared" si="55"/>
        <v>-202.25313438562031</v>
      </c>
      <c r="CB198">
        <f t="shared" si="56"/>
        <v>53556.972821190437</v>
      </c>
      <c r="CD198">
        <f t="shared" si="57"/>
        <v>14705.197973123302</v>
      </c>
      <c r="CF198">
        <f t="shared" si="58"/>
        <v>42700.922013468335</v>
      </c>
    </row>
    <row r="199" spans="12:84" x14ac:dyDescent="0.25">
      <c r="L199">
        <v>188</v>
      </c>
      <c r="M199">
        <f t="shared" si="70"/>
        <v>1.1812388377497678</v>
      </c>
      <c r="P199">
        <f t="shared" si="64"/>
        <v>21898.895477608981</v>
      </c>
      <c r="Q199">
        <f t="shared" si="65"/>
        <v>12125.386034172301</v>
      </c>
      <c r="V199">
        <f t="shared" si="66"/>
        <v>-18670.773165673712</v>
      </c>
      <c r="W199">
        <f t="shared" si="67"/>
        <v>13237.77022392061</v>
      </c>
      <c r="AB199">
        <f t="shared" si="68"/>
        <v>-3101.1045223910201</v>
      </c>
      <c r="AC199">
        <f t="shared" si="69"/>
        <v>-10374.613965827699</v>
      </c>
      <c r="AW199">
        <v>192</v>
      </c>
      <c r="AX199">
        <f t="shared" si="59"/>
        <v>96</v>
      </c>
      <c r="AZ199">
        <f t="shared" si="60"/>
        <v>-30049.707072004221</v>
      </c>
      <c r="BB199">
        <f t="shared" si="61"/>
        <v>17159.473195456911</v>
      </c>
      <c r="BD199">
        <f t="shared" si="62"/>
        <v>5315.4844759970247</v>
      </c>
      <c r="BF199">
        <f t="shared" si="63"/>
        <v>-984.50252048186223</v>
      </c>
      <c r="BH199">
        <f t="shared" si="48"/>
        <v>996.50594815372324</v>
      </c>
      <c r="BJ199">
        <f t="shared" si="49"/>
        <v>-714.16010695238992</v>
      </c>
      <c r="BN199" s="20">
        <f t="shared" si="50"/>
        <v>186.96916079659746</v>
      </c>
      <c r="BP199">
        <f t="shared" si="51"/>
        <v>-36.084598746873034</v>
      </c>
      <c r="BR199">
        <f t="shared" si="52"/>
        <v>632.16027280296476</v>
      </c>
      <c r="BT199">
        <f t="shared" si="53"/>
        <v>-450.35487063832829</v>
      </c>
      <c r="BV199">
        <f t="shared" si="54"/>
        <v>177.37651455416102</v>
      </c>
      <c r="BX199">
        <f t="shared" si="55"/>
        <v>-227.72063756718859</v>
      </c>
      <c r="CB199">
        <f t="shared" si="56"/>
        <v>50973.312629327716</v>
      </c>
      <c r="CD199">
        <f t="shared" si="57"/>
        <v>12339.151861840328</v>
      </c>
      <c r="CF199">
        <f t="shared" si="58"/>
        <v>40764.194345068689</v>
      </c>
    </row>
    <row r="200" spans="12:84" x14ac:dyDescent="0.25">
      <c r="L200">
        <v>189</v>
      </c>
      <c r="M200">
        <f t="shared" si="70"/>
        <v>1.1875220230569474</v>
      </c>
      <c r="P200">
        <f t="shared" si="64"/>
        <v>21869.796028688976</v>
      </c>
      <c r="Q200">
        <f t="shared" si="65"/>
        <v>12137.225766673317</v>
      </c>
      <c r="V200">
        <f t="shared" si="66"/>
        <v>-18691.142779917718</v>
      </c>
      <c r="W200">
        <f t="shared" si="67"/>
        <v>13246.058036671322</v>
      </c>
      <c r="AB200">
        <f t="shared" si="68"/>
        <v>-3130.2039713110239</v>
      </c>
      <c r="AC200">
        <f t="shared" si="69"/>
        <v>-10362.774233326683</v>
      </c>
      <c r="AW200">
        <v>193</v>
      </c>
      <c r="AX200">
        <f t="shared" si="59"/>
        <v>96.5</v>
      </c>
      <c r="AZ200">
        <f t="shared" si="60"/>
        <v>-27267.401590486494</v>
      </c>
      <c r="BB200">
        <f t="shared" si="61"/>
        <v>16577.951921846932</v>
      </c>
      <c r="BD200">
        <f t="shared" si="62"/>
        <v>5813.7374500738861</v>
      </c>
      <c r="BF200">
        <f t="shared" si="63"/>
        <v>-1341.5825739580573</v>
      </c>
      <c r="BH200">
        <f t="shared" ref="BH200:BH263" si="71">BN200+BR200+BV200</f>
        <v>1138.566075228136</v>
      </c>
      <c r="BJ200">
        <f t="shared" ref="BJ200:BJ263" si="72">SUM(BP200,BT200,BX200)</f>
        <v>-976.0683622286133</v>
      </c>
      <c r="BN200" s="20">
        <f t="shared" ref="BN200:BN263" si="73">$F$36*($F$32-AZ200)/(CB200^2+$F$37^2)^(3/2)</f>
        <v>208.32853317663071</v>
      </c>
      <c r="BP200">
        <f t="shared" ref="BP200:BP263" si="74">$F$36*($G$32-BB200)/(CB200^2+($F$37)^2)^(3/2)</f>
        <v>-40.010585403259988</v>
      </c>
      <c r="BR200">
        <f t="shared" ref="BR200:BR263" si="75">$F$47*($F$43-AZ200)/(CD200^2+($F$48)^2)^(3/2)</f>
        <v>746.8614243011051</v>
      </c>
      <c r="BT200">
        <f t="shared" ref="BT200:BT263" si="76">$F$47*($G$43-BB200)/(CD200^2+($F$48)^2)^(3/2)</f>
        <v>-676.00757714641702</v>
      </c>
      <c r="BV200">
        <f t="shared" ref="BV200:BV263" si="77">$F$58*($F$54-AZ200)/(CF200^2+($F$59)^2)^(3/2)</f>
        <v>183.37611775040014</v>
      </c>
      <c r="BX200">
        <f t="shared" ref="BX200:BX263" si="78">$F$58*($G$54-BB200)/(CF200^2+($F$59)^2)^(3/2)</f>
        <v>-260.05019967893634</v>
      </c>
      <c r="CB200">
        <f t="shared" ref="CB200:CB263" si="79">SQRT(($F$32-AZ200)^2+($G$32-BB200)^2)</f>
        <v>48131.242080499957</v>
      </c>
      <c r="CD200">
        <f t="shared" ref="CD200:CD263" si="80">SQRT(($F$43-AZ200)^2+($G$43-BB200)^2)</f>
        <v>9802.2740914307924</v>
      </c>
      <c r="CF200">
        <f t="shared" ref="CF200:CF263" si="81">SQRT(($F$54-AZ200)^2+($G$54-BB200)^2)</f>
        <v>38639.412795363191</v>
      </c>
    </row>
    <row r="201" spans="12:84" x14ac:dyDescent="0.25">
      <c r="L201">
        <v>190</v>
      </c>
      <c r="M201">
        <f t="shared" si="70"/>
        <v>1.1938052083641271</v>
      </c>
      <c r="P201">
        <f t="shared" si="64"/>
        <v>21840.622763423362</v>
      </c>
      <c r="Q201">
        <f t="shared" si="65"/>
        <v>12148.882429441266</v>
      </c>
      <c r="V201">
        <f t="shared" si="66"/>
        <v>-18711.564065603645</v>
      </c>
      <c r="W201">
        <f t="shared" si="67"/>
        <v>13254.217700608888</v>
      </c>
      <c r="AB201">
        <f t="shared" si="68"/>
        <v>-3159.3772365766363</v>
      </c>
      <c r="AC201">
        <f t="shared" si="69"/>
        <v>-10351.117570558734</v>
      </c>
      <c r="AW201">
        <v>194</v>
      </c>
      <c r="AX201">
        <f t="shared" ref="AX201:AX264" si="82">$F$17*AW201</f>
        <v>97</v>
      </c>
      <c r="AZ201">
        <f t="shared" ref="AZ201:AZ264" si="83">AZ200+BD200*$F$17+(BH200*0.5)*$F$17^2</f>
        <v>-24218.212106046034</v>
      </c>
      <c r="BB201">
        <f t="shared" ref="BB201:BB264" si="84">BB200+(BF200*$F$17)+(BJ200*0.5)*$F$17^2</f>
        <v>15785.152089589326</v>
      </c>
      <c r="BD201">
        <f t="shared" ref="BD201:BD264" si="85">BD200+BH200*$F$17</f>
        <v>6383.0204876879543</v>
      </c>
      <c r="BF201">
        <f t="shared" ref="BF201:BF264" si="86">BF200+BJ200*$F$17</f>
        <v>-1829.616755072364</v>
      </c>
      <c r="BH201">
        <f t="shared" si="71"/>
        <v>1179.7823602626347</v>
      </c>
      <c r="BJ201">
        <f t="shared" si="72"/>
        <v>-1381.4144625673473</v>
      </c>
      <c r="BN201" s="20">
        <f t="shared" si="73"/>
        <v>236.53779039356883</v>
      </c>
      <c r="BP201">
        <f t="shared" si="74"/>
        <v>-44.320009222583622</v>
      </c>
      <c r="BR201">
        <f t="shared" si="75"/>
        <v>754.60759414923825</v>
      </c>
      <c r="BT201">
        <f t="shared" si="76"/>
        <v>-1034.9218081886559</v>
      </c>
      <c r="BV201">
        <f t="shared" si="77"/>
        <v>188.63697571982769</v>
      </c>
      <c r="BX201">
        <f t="shared" si="78"/>
        <v>-302.17264515610782</v>
      </c>
      <c r="CB201">
        <f t="shared" si="79"/>
        <v>44987.709732802607</v>
      </c>
      <c r="CD201">
        <f t="shared" si="80"/>
        <v>7159.6995796802166</v>
      </c>
      <c r="CF201">
        <f t="shared" si="81"/>
        <v>36291.393824598701</v>
      </c>
    </row>
    <row r="202" spans="12:84" x14ac:dyDescent="0.25">
      <c r="L202">
        <v>191</v>
      </c>
      <c r="M202">
        <f t="shared" si="70"/>
        <v>1.2000883936713067</v>
      </c>
      <c r="P202">
        <f t="shared" si="64"/>
        <v>21811.376833522703</v>
      </c>
      <c r="Q202">
        <f t="shared" si="65"/>
        <v>12160.355562291064</v>
      </c>
      <c r="V202">
        <f t="shared" si="66"/>
        <v>-18732.03621653411</v>
      </c>
      <c r="W202">
        <f t="shared" si="67"/>
        <v>13262.248893603746</v>
      </c>
      <c r="AB202">
        <f t="shared" si="68"/>
        <v>-3188.6231664772981</v>
      </c>
      <c r="AC202">
        <f t="shared" si="69"/>
        <v>-10339.644437708936</v>
      </c>
      <c r="AW202">
        <v>195</v>
      </c>
      <c r="AX202">
        <f t="shared" si="82"/>
        <v>97.5</v>
      </c>
      <c r="AZ202">
        <f t="shared" si="83"/>
        <v>-20879.229067169224</v>
      </c>
      <c r="BB202">
        <f t="shared" si="84"/>
        <v>14697.666904232226</v>
      </c>
      <c r="BD202">
        <f t="shared" si="85"/>
        <v>6972.9116678192713</v>
      </c>
      <c r="BF202">
        <f t="shared" si="86"/>
        <v>-2520.3239863560375</v>
      </c>
      <c r="BH202">
        <f t="shared" si="71"/>
        <v>726.11022155899229</v>
      </c>
      <c r="BJ202">
        <f t="shared" si="72"/>
        <v>-1792.6194909943108</v>
      </c>
      <c r="BN202" s="20">
        <f t="shared" si="73"/>
        <v>275.0114010720356</v>
      </c>
      <c r="BP202">
        <f t="shared" si="74"/>
        <v>-48.421668043941828</v>
      </c>
      <c r="BR202">
        <f t="shared" si="75"/>
        <v>259.31948800034473</v>
      </c>
      <c r="BT202">
        <f t="shared" si="76"/>
        <v>-1385.5280971587808</v>
      </c>
      <c r="BV202">
        <f t="shared" si="77"/>
        <v>191.77933248661193</v>
      </c>
      <c r="BX202">
        <f t="shared" si="78"/>
        <v>-358.66972579158823</v>
      </c>
      <c r="CB202">
        <f t="shared" si="79"/>
        <v>41508.044738223616</v>
      </c>
      <c r="CD202">
        <f t="shared" si="80"/>
        <v>4779.2382338270245</v>
      </c>
      <c r="CF202">
        <f t="shared" si="81"/>
        <v>33676.421058692715</v>
      </c>
    </row>
    <row r="203" spans="12:84" x14ac:dyDescent="0.25">
      <c r="L203">
        <v>192</v>
      </c>
      <c r="M203">
        <f t="shared" si="70"/>
        <v>1.2063715789784863</v>
      </c>
      <c r="P203">
        <f t="shared" ref="P203:P266" si="87">COS(M203)*$F$33+$F$32</f>
        <v>21782.059393566225</v>
      </c>
      <c r="Q203">
        <f t="shared" ref="Q203:Q266" si="88">SIN(M203)*$F$33+$G$32</f>
        <v>12171.64471228307</v>
      </c>
      <c r="V203">
        <f t="shared" si="66"/>
        <v>-18752.558424503641</v>
      </c>
      <c r="W203">
        <f t="shared" si="67"/>
        <v>13270.15129859815</v>
      </c>
      <c r="AB203">
        <f t="shared" si="68"/>
        <v>-3217.9406064337736</v>
      </c>
      <c r="AC203">
        <f t="shared" si="69"/>
        <v>-10328.35528771693</v>
      </c>
      <c r="AW203">
        <v>196</v>
      </c>
      <c r="AX203">
        <f t="shared" si="82"/>
        <v>98</v>
      </c>
      <c r="AZ203">
        <f t="shared" si="83"/>
        <v>-17302.009455564716</v>
      </c>
      <c r="BB203">
        <f t="shared" si="84"/>
        <v>13213.427474679918</v>
      </c>
      <c r="BD203">
        <f t="shared" si="85"/>
        <v>7335.9667785987676</v>
      </c>
      <c r="BF203">
        <f t="shared" si="86"/>
        <v>-3416.6337318531928</v>
      </c>
      <c r="BH203">
        <f t="shared" si="71"/>
        <v>-373.09525738432319</v>
      </c>
      <c r="BJ203">
        <f t="shared" si="72"/>
        <v>-1547.8078146170269</v>
      </c>
      <c r="BN203" s="20">
        <f t="shared" si="73"/>
        <v>328.25991460914855</v>
      </c>
      <c r="BP203">
        <f t="shared" si="74"/>
        <v>-50.278503553491738</v>
      </c>
      <c r="BR203">
        <f t="shared" si="75"/>
        <v>-891.39518648893966</v>
      </c>
      <c r="BT203">
        <f t="shared" si="76"/>
        <v>-1061.6915574329937</v>
      </c>
      <c r="BV203">
        <f t="shared" si="77"/>
        <v>190.040014495468</v>
      </c>
      <c r="BX203">
        <f t="shared" si="78"/>
        <v>-435.83775363054156</v>
      </c>
      <c r="CB203">
        <f t="shared" si="79"/>
        <v>37737.026418776913</v>
      </c>
      <c r="CD203">
        <f t="shared" si="80"/>
        <v>4195.8633334380611</v>
      </c>
      <c r="CF203">
        <f t="shared" si="81"/>
        <v>30778.838940314618</v>
      </c>
    </row>
    <row r="204" spans="12:84" x14ac:dyDescent="0.25">
      <c r="L204">
        <v>193</v>
      </c>
      <c r="M204">
        <f t="shared" si="70"/>
        <v>1.212654764285666</v>
      </c>
      <c r="P204">
        <f t="shared" si="87"/>
        <v>21752.671600956266</v>
      </c>
      <c r="Q204">
        <f t="shared" si="88"/>
        <v>12182.749433740972</v>
      </c>
      <c r="V204">
        <f t="shared" ref="V204:V267" si="89">COS(M204)*$F$44+$F$43</f>
        <v>-18773.129879330612</v>
      </c>
      <c r="W204">
        <f t="shared" ref="W204:W267" si="90">SIN(M204)*$F$44+$G$43</f>
        <v>13277.924603618681</v>
      </c>
      <c r="AB204">
        <f t="shared" ref="AB204:AB267" si="91">COS(M204)*$F$55+$F$54</f>
        <v>-3247.3283990437321</v>
      </c>
      <c r="AC204">
        <f t="shared" ref="AC204:AC267" si="92">SIN(M204)*$F$55+$G$54</f>
        <v>-10317.250566259028</v>
      </c>
      <c r="AW204">
        <v>197</v>
      </c>
      <c r="AX204">
        <f t="shared" si="82"/>
        <v>98.5</v>
      </c>
      <c r="AZ204">
        <f t="shared" si="83"/>
        <v>-13680.662973438371</v>
      </c>
      <c r="BB204">
        <f t="shared" si="84"/>
        <v>11311.634631926194</v>
      </c>
      <c r="BD204">
        <f t="shared" si="85"/>
        <v>7149.4191499066064</v>
      </c>
      <c r="BF204">
        <f t="shared" si="86"/>
        <v>-4190.5376391617065</v>
      </c>
      <c r="BH204">
        <f t="shared" si="71"/>
        <v>-737.46607856789637</v>
      </c>
      <c r="BJ204">
        <f t="shared" si="72"/>
        <v>-857.17470080923124</v>
      </c>
      <c r="BN204" s="20">
        <f t="shared" si="73"/>
        <v>399.55779667926055</v>
      </c>
      <c r="BP204">
        <f t="shared" si="74"/>
        <v>-45.217884709688008</v>
      </c>
      <c r="BR204">
        <f t="shared" si="75"/>
        <v>-1314.8641562176156</v>
      </c>
      <c r="BT204">
        <f t="shared" si="76"/>
        <v>-272.91175582572299</v>
      </c>
      <c r="BV204">
        <f t="shared" si="77"/>
        <v>177.84028097045871</v>
      </c>
      <c r="BX204">
        <f t="shared" si="78"/>
        <v>-539.04506027382024</v>
      </c>
      <c r="CB204">
        <f t="shared" si="79"/>
        <v>33895.657788242461</v>
      </c>
      <c r="CD204">
        <f t="shared" si="80"/>
        <v>6454.0224560301094</v>
      </c>
      <c r="CF204">
        <f t="shared" si="81"/>
        <v>27706.606191708175</v>
      </c>
    </row>
    <row r="205" spans="12:84" x14ac:dyDescent="0.25">
      <c r="L205">
        <v>194</v>
      </c>
      <c r="M205">
        <f t="shared" ref="M205:M268" si="93">M204+$O$5</f>
        <v>1.2189379495928456</v>
      </c>
      <c r="P205">
        <f t="shared" si="87"/>
        <v>21723.214615872559</v>
      </c>
      <c r="Q205">
        <f t="shared" si="88"/>
        <v>12193.669288269381</v>
      </c>
      <c r="V205">
        <f t="shared" si="89"/>
        <v>-18793.749768889211</v>
      </c>
      <c r="W205">
        <f t="shared" si="90"/>
        <v>13285.568501788566</v>
      </c>
      <c r="AB205">
        <f t="shared" si="91"/>
        <v>-3276.7853841274423</v>
      </c>
      <c r="AC205">
        <f t="shared" si="92"/>
        <v>-10306.330711730619</v>
      </c>
      <c r="AW205">
        <v>198</v>
      </c>
      <c r="AX205">
        <f t="shared" si="82"/>
        <v>99</v>
      </c>
      <c r="AZ205">
        <f t="shared" si="83"/>
        <v>-10198.136658306055</v>
      </c>
      <c r="BB205">
        <f t="shared" si="84"/>
        <v>9109.2189747441862</v>
      </c>
      <c r="BD205">
        <f t="shared" si="85"/>
        <v>6780.6861106226579</v>
      </c>
      <c r="BF205">
        <f t="shared" si="86"/>
        <v>-4619.1249895663223</v>
      </c>
      <c r="BH205">
        <f t="shared" si="71"/>
        <v>-365.49134774372828</v>
      </c>
      <c r="BJ205">
        <f t="shared" si="72"/>
        <v>-604.96674627786751</v>
      </c>
      <c r="BN205" s="20">
        <f t="shared" si="73"/>
        <v>489.31637245031891</v>
      </c>
      <c r="BP205">
        <f t="shared" si="74"/>
        <v>-26.075025757705678</v>
      </c>
      <c r="BR205">
        <f t="shared" si="75"/>
        <v>-999.19980496077562</v>
      </c>
      <c r="BT205">
        <f t="shared" si="76"/>
        <v>90.806022862235551</v>
      </c>
      <c r="BV205">
        <f t="shared" si="77"/>
        <v>144.39208476672846</v>
      </c>
      <c r="BX205">
        <f t="shared" si="78"/>
        <v>-669.69774338239745</v>
      </c>
      <c r="CB205">
        <f t="shared" si="79"/>
        <v>30240.982843525519</v>
      </c>
      <c r="CD205">
        <f t="shared" si="80"/>
        <v>9842.2566418580755</v>
      </c>
      <c r="CF205">
        <f t="shared" si="81"/>
        <v>24663.233046188216</v>
      </c>
    </row>
    <row r="206" spans="12:84" x14ac:dyDescent="0.25">
      <c r="L206">
        <v>195</v>
      </c>
      <c r="M206">
        <f t="shared" si="93"/>
        <v>1.2252211349000253</v>
      </c>
      <c r="P206">
        <f t="shared" si="87"/>
        <v>21693.68960122643</v>
      </c>
      <c r="Q206">
        <f t="shared" si="88"/>
        <v>12204.403844771137</v>
      </c>
      <c r="V206">
        <f t="shared" si="89"/>
        <v>-18814.4172791415</v>
      </c>
      <c r="W206">
        <f t="shared" si="90"/>
        <v>13293.082691339796</v>
      </c>
      <c r="AB206">
        <f t="shared" si="91"/>
        <v>-3306.3103987735713</v>
      </c>
      <c r="AC206">
        <f t="shared" si="92"/>
        <v>-10295.596155228863</v>
      </c>
      <c r="AW206">
        <v>199</v>
      </c>
      <c r="AX206">
        <f t="shared" si="82"/>
        <v>99.5</v>
      </c>
      <c r="AZ206">
        <f t="shared" si="83"/>
        <v>-6853.480021462693</v>
      </c>
      <c r="BB206">
        <f t="shared" si="84"/>
        <v>6724.0356366762917</v>
      </c>
      <c r="BD206">
        <f t="shared" si="85"/>
        <v>6597.9404367507941</v>
      </c>
      <c r="BF206">
        <f t="shared" si="86"/>
        <v>-4921.6083627052558</v>
      </c>
      <c r="BH206">
        <f t="shared" si="71"/>
        <v>1.5216956933034993</v>
      </c>
      <c r="BJ206">
        <f t="shared" si="72"/>
        <v>-641.03549739571179</v>
      </c>
      <c r="BN206" s="20">
        <f t="shared" si="73"/>
        <v>596.92551396642011</v>
      </c>
      <c r="BP206">
        <f t="shared" si="74"/>
        <v>17.248897574035947</v>
      </c>
      <c r="BR206">
        <f t="shared" si="75"/>
        <v>-665.72185154957265</v>
      </c>
      <c r="BT206">
        <f t="shared" si="76"/>
        <v>165.8903698562608</v>
      </c>
      <c r="BV206">
        <f t="shared" si="77"/>
        <v>70.318033276456035</v>
      </c>
      <c r="BX206">
        <f t="shared" si="78"/>
        <v>-824.17476482600853</v>
      </c>
      <c r="CB206">
        <f t="shared" si="79"/>
        <v>26864.688904884872</v>
      </c>
      <c r="CD206">
        <f t="shared" si="80"/>
        <v>13548.539775778328</v>
      </c>
      <c r="CF206">
        <f t="shared" si="81"/>
        <v>21802.961095537987</v>
      </c>
    </row>
    <row r="207" spans="12:84" x14ac:dyDescent="0.25">
      <c r="L207">
        <v>196</v>
      </c>
      <c r="M207">
        <f t="shared" si="93"/>
        <v>1.2315043202072049</v>
      </c>
      <c r="P207">
        <f t="shared" si="87"/>
        <v>21664.097722614904</v>
      </c>
      <c r="Q207">
        <f t="shared" si="88"/>
        <v>12214.952679464332</v>
      </c>
      <c r="V207">
        <f t="shared" si="89"/>
        <v>-18835.131594169565</v>
      </c>
      <c r="W207">
        <f t="shared" si="90"/>
        <v>13300.466875625032</v>
      </c>
      <c r="AB207">
        <f t="shared" si="91"/>
        <v>-3335.9022773850947</v>
      </c>
      <c r="AC207">
        <f t="shared" si="92"/>
        <v>-10285.047320535668</v>
      </c>
      <c r="AW207">
        <v>200</v>
      </c>
      <c r="AX207">
        <f t="shared" si="82"/>
        <v>100</v>
      </c>
      <c r="AZ207">
        <f t="shared" si="83"/>
        <v>-3554.319591125633</v>
      </c>
      <c r="BB207">
        <f t="shared" si="84"/>
        <v>4183.1020181491995</v>
      </c>
      <c r="BD207">
        <f t="shared" si="85"/>
        <v>6598.7012845974459</v>
      </c>
      <c r="BF207">
        <f t="shared" si="86"/>
        <v>-5242.1261114031113</v>
      </c>
      <c r="BH207">
        <f t="shared" si="71"/>
        <v>198.83077734146053</v>
      </c>
      <c r="BJ207">
        <f t="shared" si="72"/>
        <v>-727.09628959588701</v>
      </c>
      <c r="BN207" s="20">
        <f t="shared" si="73"/>
        <v>717.87013111199224</v>
      </c>
      <c r="BP207">
        <f t="shared" si="74"/>
        <v>101.08982260788568</v>
      </c>
      <c r="BR207">
        <f t="shared" si="75"/>
        <v>-444.76971291207025</v>
      </c>
      <c r="BT207">
        <f t="shared" si="76"/>
        <v>157.31669235348241</v>
      </c>
      <c r="BV207">
        <f t="shared" si="77"/>
        <v>-74.269640858461443</v>
      </c>
      <c r="BX207">
        <f t="shared" si="78"/>
        <v>-985.5028045572551</v>
      </c>
      <c r="CB207">
        <f t="shared" si="79"/>
        <v>23786.714435223937</v>
      </c>
      <c r="CD207">
        <f t="shared" si="80"/>
        <v>17444.102334086845</v>
      </c>
      <c r="CF207">
        <f t="shared" si="81"/>
        <v>19237.499704569796</v>
      </c>
    </row>
    <row r="208" spans="12:84" x14ac:dyDescent="0.25">
      <c r="L208">
        <v>197</v>
      </c>
      <c r="M208">
        <f t="shared" si="93"/>
        <v>1.2377875055143845</v>
      </c>
      <c r="P208">
        <f t="shared" si="87"/>
        <v>21634.440148274683</v>
      </c>
      <c r="Q208">
        <f t="shared" si="88"/>
        <v>12225.315375899034</v>
      </c>
      <c r="V208">
        <f t="shared" si="89"/>
        <v>-18855.891896207722</v>
      </c>
      <c r="W208">
        <f t="shared" si="90"/>
        <v>13307.720763129324</v>
      </c>
      <c r="AB208">
        <f t="shared" si="91"/>
        <v>-3365.5598517253161</v>
      </c>
      <c r="AC208">
        <f t="shared" si="92"/>
        <v>-10274.684624100966</v>
      </c>
      <c r="AW208">
        <v>201</v>
      </c>
      <c r="AX208">
        <f t="shared" si="82"/>
        <v>100.5</v>
      </c>
      <c r="AZ208">
        <f t="shared" si="83"/>
        <v>-230.11510165922746</v>
      </c>
      <c r="BB208">
        <f t="shared" si="84"/>
        <v>1471.1519262481579</v>
      </c>
      <c r="BD208">
        <f t="shared" si="85"/>
        <v>6698.1166732681759</v>
      </c>
      <c r="BF208">
        <f t="shared" si="86"/>
        <v>-5605.674256201055</v>
      </c>
      <c r="BH208">
        <f t="shared" si="71"/>
        <v>205.92195934381346</v>
      </c>
      <c r="BJ208">
        <f t="shared" si="72"/>
        <v>-722.85998960159168</v>
      </c>
      <c r="BN208" s="20">
        <f t="shared" si="73"/>
        <v>831.15109561287466</v>
      </c>
      <c r="BP208">
        <f t="shared" si="74"/>
        <v>247.69427443205362</v>
      </c>
      <c r="BR208">
        <f t="shared" si="75"/>
        <v>-305.94418250563768</v>
      </c>
      <c r="BT208">
        <f t="shared" si="76"/>
        <v>131.98617316470995</v>
      </c>
      <c r="BV208">
        <f t="shared" si="77"/>
        <v>-319.28495376342346</v>
      </c>
      <c r="BX208">
        <f t="shared" si="78"/>
        <v>-1102.5404371983552</v>
      </c>
      <c r="CB208">
        <f t="shared" si="79"/>
        <v>21109.347837457273</v>
      </c>
      <c r="CD208">
        <f t="shared" si="80"/>
        <v>21531.130912211349</v>
      </c>
      <c r="CF208">
        <f t="shared" si="81"/>
        <v>17147.905053415936</v>
      </c>
    </row>
    <row r="209" spans="12:84" x14ac:dyDescent="0.25">
      <c r="L209">
        <v>198</v>
      </c>
      <c r="M209">
        <f t="shared" si="93"/>
        <v>1.2440706908215642</v>
      </c>
      <c r="P209">
        <f t="shared" si="87"/>
        <v>21604.718049036019</v>
      </c>
      <c r="Q209">
        <f t="shared" si="88"/>
        <v>12235.491524973731</v>
      </c>
      <c r="V209">
        <f t="shared" si="89"/>
        <v>-18876.697365674787</v>
      </c>
      <c r="W209">
        <f t="shared" si="90"/>
        <v>13314.844067481612</v>
      </c>
      <c r="AB209">
        <f t="shared" si="91"/>
        <v>-3395.2819509639812</v>
      </c>
      <c r="AC209">
        <f t="shared" si="92"/>
        <v>-10264.508475026269</v>
      </c>
      <c r="AW209">
        <v>202</v>
      </c>
      <c r="AX209">
        <f t="shared" si="82"/>
        <v>101</v>
      </c>
      <c r="AZ209">
        <f t="shared" si="83"/>
        <v>3144.6834798928371</v>
      </c>
      <c r="BB209">
        <f t="shared" si="84"/>
        <v>-1422.0427005525685</v>
      </c>
      <c r="BD209">
        <f t="shared" si="85"/>
        <v>6801.0776529400828</v>
      </c>
      <c r="BF209">
        <f t="shared" si="86"/>
        <v>-5967.1042510018506</v>
      </c>
      <c r="BH209">
        <f t="shared" si="71"/>
        <v>17.146123605401954</v>
      </c>
      <c r="BJ209">
        <f t="shared" si="72"/>
        <v>-507.4116617769032</v>
      </c>
      <c r="BN209" s="20">
        <f t="shared" si="73"/>
        <v>883.83971277182582</v>
      </c>
      <c r="BP209">
        <f t="shared" si="74"/>
        <v>467.84381939000292</v>
      </c>
      <c r="BR209">
        <f t="shared" si="75"/>
        <v>-217.34912673953465</v>
      </c>
      <c r="BT209">
        <f t="shared" si="76"/>
        <v>107.26312194779133</v>
      </c>
      <c r="BV209">
        <f t="shared" si="77"/>
        <v>-649.34446242688921</v>
      </c>
      <c r="BX209">
        <f t="shared" si="78"/>
        <v>-1082.5186031146975</v>
      </c>
      <c r="CB209">
        <f t="shared" si="79"/>
        <v>19071.039325204089</v>
      </c>
      <c r="CD209">
        <f t="shared" si="80"/>
        <v>25809.677116106483</v>
      </c>
      <c r="CF209">
        <f t="shared" si="81"/>
        <v>15833.407511122079</v>
      </c>
    </row>
    <row r="210" spans="12:84" x14ac:dyDescent="0.25">
      <c r="L210">
        <v>199</v>
      </c>
      <c r="M210">
        <f t="shared" si="93"/>
        <v>1.2503538761287438</v>
      </c>
      <c r="P210">
        <f t="shared" si="87"/>
        <v>21574.932598276493</v>
      </c>
      <c r="Q210">
        <f t="shared" si="88"/>
        <v>12245.480724951482</v>
      </c>
      <c r="V210">
        <f t="shared" si="89"/>
        <v>-18897.547181206453</v>
      </c>
      <c r="W210">
        <f t="shared" si="90"/>
        <v>13321.836507466038</v>
      </c>
      <c r="AB210">
        <f t="shared" si="91"/>
        <v>-3425.0674017235051</v>
      </c>
      <c r="AC210">
        <f t="shared" si="92"/>
        <v>-10254.519275048518</v>
      </c>
      <c r="AW210">
        <v>203</v>
      </c>
      <c r="AX210">
        <f t="shared" si="82"/>
        <v>101.5</v>
      </c>
      <c r="AZ210">
        <f t="shared" si="83"/>
        <v>6547.3655718135542</v>
      </c>
      <c r="BB210">
        <f t="shared" si="84"/>
        <v>-4469.0212837756062</v>
      </c>
      <c r="BD210">
        <f t="shared" si="85"/>
        <v>6809.6507147427837</v>
      </c>
      <c r="BF210">
        <f t="shared" si="86"/>
        <v>-6220.8100818903022</v>
      </c>
      <c r="BH210">
        <f t="shared" si="71"/>
        <v>-300.02503928713145</v>
      </c>
      <c r="BJ210">
        <f t="shared" si="72"/>
        <v>-59.153691079724126</v>
      </c>
      <c r="BN210" s="20">
        <f t="shared" si="73"/>
        <v>806.12539360867152</v>
      </c>
      <c r="BP210">
        <f t="shared" si="74"/>
        <v>717.2224923676082</v>
      </c>
      <c r="BR210">
        <f t="shared" si="75"/>
        <v>-159.51327072876069</v>
      </c>
      <c r="BT210">
        <f t="shared" si="76"/>
        <v>86.938980931109782</v>
      </c>
      <c r="BV210">
        <f t="shared" si="77"/>
        <v>-946.63716216704233</v>
      </c>
      <c r="BX210">
        <f t="shared" si="78"/>
        <v>-863.31516437844209</v>
      </c>
      <c r="CB210">
        <f t="shared" si="79"/>
        <v>18006.411179074545</v>
      </c>
      <c r="CD210">
        <f t="shared" si="80"/>
        <v>30234.338023410786</v>
      </c>
      <c r="CF210">
        <f t="shared" si="81"/>
        <v>15628.28091540065</v>
      </c>
    </row>
    <row r="211" spans="12:84" x14ac:dyDescent="0.25">
      <c r="L211">
        <v>200</v>
      </c>
      <c r="M211">
        <f t="shared" si="93"/>
        <v>1.2566370614359235</v>
      </c>
      <c r="P211">
        <f t="shared" si="87"/>
        <v>21545.084971874709</v>
      </c>
      <c r="Q211">
        <f t="shared" si="88"/>
        <v>12255.282581475778</v>
      </c>
      <c r="V211">
        <f t="shared" si="89"/>
        <v>-18918.440519687705</v>
      </c>
      <c r="W211">
        <f t="shared" si="90"/>
        <v>13328.697807033044</v>
      </c>
      <c r="AB211">
        <f t="shared" si="91"/>
        <v>-3454.9150281252923</v>
      </c>
      <c r="AC211">
        <f t="shared" si="92"/>
        <v>-10244.717418524222</v>
      </c>
      <c r="AW211">
        <v>204</v>
      </c>
      <c r="AX211">
        <f t="shared" si="82"/>
        <v>102</v>
      </c>
      <c r="AZ211">
        <f t="shared" si="83"/>
        <v>9914.6877992740538</v>
      </c>
      <c r="BB211">
        <f t="shared" si="84"/>
        <v>-7586.8205361057226</v>
      </c>
      <c r="BD211">
        <f t="shared" si="85"/>
        <v>6659.6381950992181</v>
      </c>
      <c r="BF211">
        <f t="shared" si="86"/>
        <v>-6250.3869274301642</v>
      </c>
      <c r="BH211">
        <f t="shared" si="71"/>
        <v>-592.6187318542585</v>
      </c>
      <c r="BJ211">
        <f t="shared" si="72"/>
        <v>429.78928081042352</v>
      </c>
      <c r="BN211" s="20">
        <f t="shared" si="73"/>
        <v>593.61883919618469</v>
      </c>
      <c r="BP211">
        <f t="shared" si="74"/>
        <v>888.00631210599477</v>
      </c>
      <c r="BR211">
        <f t="shared" si="75"/>
        <v>-121.10289849383413</v>
      </c>
      <c r="BT211">
        <f t="shared" si="76"/>
        <v>71.196295161234261</v>
      </c>
      <c r="BV211">
        <f t="shared" si="77"/>
        <v>-1065.1346725566091</v>
      </c>
      <c r="BX211">
        <f t="shared" si="78"/>
        <v>-529.41332645680552</v>
      </c>
      <c r="CB211">
        <f t="shared" si="79"/>
        <v>18147.332478212134</v>
      </c>
      <c r="CD211">
        <f t="shared" si="80"/>
        <v>34701.366006214019</v>
      </c>
      <c r="CF211">
        <f t="shared" si="81"/>
        <v>16655.423798682463</v>
      </c>
    </row>
    <row r="212" spans="12:84" x14ac:dyDescent="0.25">
      <c r="L212">
        <v>201</v>
      </c>
      <c r="M212">
        <f t="shared" si="93"/>
        <v>1.2629202467431031</v>
      </c>
      <c r="P212">
        <f t="shared" si="87"/>
        <v>21515.176348163841</v>
      </c>
      <c r="Q212">
        <f t="shared" si="88"/>
        <v>12264.896707586104</v>
      </c>
      <c r="V212">
        <f t="shared" si="89"/>
        <v>-18939.376556285311</v>
      </c>
      <c r="W212">
        <f t="shared" si="90"/>
        <v>13335.427695310273</v>
      </c>
      <c r="AB212">
        <f t="shared" si="91"/>
        <v>-3484.82365183616</v>
      </c>
      <c r="AC212">
        <f t="shared" si="92"/>
        <v>-10235.103292413896</v>
      </c>
      <c r="AW212">
        <v>205</v>
      </c>
      <c r="AX212">
        <f t="shared" si="82"/>
        <v>102.5</v>
      </c>
      <c r="AZ212">
        <f t="shared" si="83"/>
        <v>13170.42955534188</v>
      </c>
      <c r="BB212">
        <f t="shared" si="84"/>
        <v>-10658.290339719502</v>
      </c>
      <c r="BD212">
        <f t="shared" si="85"/>
        <v>6363.3288291720892</v>
      </c>
      <c r="BF212">
        <f t="shared" si="86"/>
        <v>-6035.492287024952</v>
      </c>
      <c r="BH212">
        <f t="shared" si="71"/>
        <v>-751.21102556120513</v>
      </c>
      <c r="BJ212">
        <f t="shared" si="72"/>
        <v>734.82238336846638</v>
      </c>
      <c r="BN212" s="20">
        <f t="shared" si="73"/>
        <v>343.93798062522148</v>
      </c>
      <c r="BP212">
        <f t="shared" si="74"/>
        <v>914.45366317796675</v>
      </c>
      <c r="BR212">
        <f t="shared" si="75"/>
        <v>-95.212070679215188</v>
      </c>
      <c r="BT212">
        <f t="shared" si="76"/>
        <v>59.297350872574476</v>
      </c>
      <c r="BV212">
        <f t="shared" si="77"/>
        <v>-999.93693550721139</v>
      </c>
      <c r="BX212">
        <f t="shared" si="78"/>
        <v>-238.92863068207484</v>
      </c>
      <c r="CB212">
        <f t="shared" si="79"/>
        <v>19400.168569373265</v>
      </c>
      <c r="CD212">
        <f t="shared" si="80"/>
        <v>39077.389327410885</v>
      </c>
      <c r="CF212">
        <f t="shared" si="81"/>
        <v>18681.9418958473</v>
      </c>
    </row>
    <row r="213" spans="12:84" x14ac:dyDescent="0.25">
      <c r="L213">
        <v>202</v>
      </c>
      <c r="M213">
        <f t="shared" si="93"/>
        <v>1.2692034320502827</v>
      </c>
      <c r="P213">
        <f t="shared" si="87"/>
        <v>21485.207907885146</v>
      </c>
      <c r="Q213">
        <f t="shared" si="88"/>
        <v>12274.322723733225</v>
      </c>
      <c r="V213">
        <f t="shared" si="89"/>
        <v>-18960.354464480399</v>
      </c>
      <c r="W213">
        <f t="shared" si="90"/>
        <v>13342.025906613257</v>
      </c>
      <c r="AB213">
        <f t="shared" si="91"/>
        <v>-3514.7920921148552</v>
      </c>
      <c r="AC213">
        <f t="shared" si="92"/>
        <v>-10225.677276266775</v>
      </c>
      <c r="AW213">
        <v>206</v>
      </c>
      <c r="AX213">
        <f t="shared" si="82"/>
        <v>103</v>
      </c>
      <c r="AZ213">
        <f t="shared" si="83"/>
        <v>16258.192591732774</v>
      </c>
      <c r="BB213">
        <f t="shared" si="84"/>
        <v>-13584.183685310922</v>
      </c>
      <c r="BD213">
        <f t="shared" si="85"/>
        <v>5987.7233163914862</v>
      </c>
      <c r="BF213">
        <f t="shared" si="86"/>
        <v>-5668.081095340719</v>
      </c>
      <c r="BH213">
        <f t="shared" si="71"/>
        <v>-782.79580970159975</v>
      </c>
      <c r="BJ213">
        <f t="shared" si="72"/>
        <v>829.8004172241524</v>
      </c>
      <c r="BN213" s="20">
        <f t="shared" si="73"/>
        <v>148.42055618038336</v>
      </c>
      <c r="BP213">
        <f t="shared" si="74"/>
        <v>836.31409309554874</v>
      </c>
      <c r="BR213">
        <f t="shared" si="75"/>
        <v>-77.408931968768712</v>
      </c>
      <c r="BT213">
        <f t="shared" si="76"/>
        <v>50.350730136819863</v>
      </c>
      <c r="BV213">
        <f t="shared" si="77"/>
        <v>-853.80743391321437</v>
      </c>
      <c r="BX213">
        <f t="shared" si="78"/>
        <v>-56.864406008216179</v>
      </c>
      <c r="CB213">
        <f t="shared" si="79"/>
        <v>21413.638746287252</v>
      </c>
      <c r="CD213">
        <f t="shared" si="80"/>
        <v>43253.557658551872</v>
      </c>
      <c r="CF213">
        <f t="shared" si="81"/>
        <v>21305.287796792185</v>
      </c>
    </row>
    <row r="214" spans="12:84" x14ac:dyDescent="0.25">
      <c r="L214">
        <v>203</v>
      </c>
      <c r="M214">
        <f t="shared" si="93"/>
        <v>1.2754866173574624</v>
      </c>
      <c r="P214">
        <f t="shared" si="87"/>
        <v>21455.180834141327</v>
      </c>
      <c r="Q214">
        <f t="shared" si="88"/>
        <v>12283.560257794161</v>
      </c>
      <c r="V214">
        <f t="shared" si="89"/>
        <v>-18981.373416101069</v>
      </c>
      <c r="W214">
        <f t="shared" si="90"/>
        <v>13348.492180455913</v>
      </c>
      <c r="AB214">
        <f t="shared" si="91"/>
        <v>-3544.8191658586711</v>
      </c>
      <c r="AC214">
        <f t="shared" si="92"/>
        <v>-10216.439742205839</v>
      </c>
      <c r="AW214">
        <v>207</v>
      </c>
      <c r="AX214">
        <f t="shared" si="82"/>
        <v>103.5</v>
      </c>
      <c r="AZ214">
        <f t="shared" si="83"/>
        <v>19154.204773715814</v>
      </c>
      <c r="BB214">
        <f t="shared" si="84"/>
        <v>-16314.499180828261</v>
      </c>
      <c r="BD214">
        <f t="shared" si="85"/>
        <v>5596.3254115406862</v>
      </c>
      <c r="BF214">
        <f t="shared" si="86"/>
        <v>-5253.1808867286427</v>
      </c>
      <c r="BH214">
        <f t="shared" si="71"/>
        <v>-744.36067148215363</v>
      </c>
      <c r="BJ214">
        <f t="shared" si="72"/>
        <v>804.42454178333969</v>
      </c>
      <c r="BN214" s="20">
        <f t="shared" si="73"/>
        <v>25.659583991476744</v>
      </c>
      <c r="BP214">
        <f t="shared" si="74"/>
        <v>722.4800081102585</v>
      </c>
      <c r="BR214">
        <f t="shared" si="75"/>
        <v>-64.824759709062562</v>
      </c>
      <c r="BT214">
        <f t="shared" si="76"/>
        <v>43.566996089437588</v>
      </c>
      <c r="BV214">
        <f t="shared" si="77"/>
        <v>-705.1954957645678</v>
      </c>
      <c r="BX214">
        <f t="shared" si="78"/>
        <v>38.377537583643672</v>
      </c>
      <c r="CB214">
        <f t="shared" si="79"/>
        <v>23829.514069709334</v>
      </c>
      <c r="CD214">
        <f t="shared" si="80"/>
        <v>47175.254303499853</v>
      </c>
      <c r="CF214">
        <f t="shared" si="81"/>
        <v>24189.946596613103</v>
      </c>
    </row>
    <row r="215" spans="12:84" x14ac:dyDescent="0.25">
      <c r="L215">
        <v>204</v>
      </c>
      <c r="M215">
        <f t="shared" si="93"/>
        <v>1.281769802664642</v>
      </c>
      <c r="P215">
        <f t="shared" si="87"/>
        <v>21425.096312349851</v>
      </c>
      <c r="Q215">
        <f t="shared" si="88"/>
        <v>12292.608945086889</v>
      </c>
      <c r="V215">
        <f t="shared" si="89"/>
        <v>-19002.432581355104</v>
      </c>
      <c r="W215">
        <f t="shared" si="90"/>
        <v>13354.826261560822</v>
      </c>
      <c r="AB215">
        <f t="shared" si="91"/>
        <v>-3574.90368765015</v>
      </c>
      <c r="AC215">
        <f t="shared" si="92"/>
        <v>-10207.391054913111</v>
      </c>
      <c r="AW215">
        <v>208</v>
      </c>
      <c r="AX215">
        <f t="shared" si="82"/>
        <v>104</v>
      </c>
      <c r="AZ215">
        <f t="shared" si="83"/>
        <v>21859.322395550887</v>
      </c>
      <c r="BB215">
        <f t="shared" si="84"/>
        <v>-18840.536556469666</v>
      </c>
      <c r="BD215">
        <f t="shared" si="85"/>
        <v>5224.145075799609</v>
      </c>
      <c r="BF215">
        <f t="shared" si="86"/>
        <v>-4850.9686158369732</v>
      </c>
      <c r="BH215">
        <f t="shared" si="71"/>
        <v>-680.52209692617305</v>
      </c>
      <c r="BJ215">
        <f t="shared" si="72"/>
        <v>734.14485121689199</v>
      </c>
      <c r="BN215" s="20">
        <f t="shared" si="73"/>
        <v>-43.245034223519546</v>
      </c>
      <c r="BP215">
        <f t="shared" si="74"/>
        <v>612.64114689098994</v>
      </c>
      <c r="BR215">
        <f t="shared" si="75"/>
        <v>-55.643410286486507</v>
      </c>
      <c r="BT215">
        <f t="shared" si="76"/>
        <v>38.337596421881464</v>
      </c>
      <c r="BV215">
        <f t="shared" si="77"/>
        <v>-581.63365241616702</v>
      </c>
      <c r="BX215">
        <f t="shared" si="78"/>
        <v>83.166107904020535</v>
      </c>
      <c r="CB215">
        <f t="shared" si="79"/>
        <v>26406.07782032977</v>
      </c>
      <c r="CD215">
        <f t="shared" si="80"/>
        <v>50832.857683586226</v>
      </c>
      <c r="CF215">
        <f t="shared" si="81"/>
        <v>27132.506714082305</v>
      </c>
    </row>
    <row r="216" spans="12:84" x14ac:dyDescent="0.25">
      <c r="L216">
        <v>205</v>
      </c>
      <c r="M216">
        <f t="shared" si="93"/>
        <v>1.2880529879718217</v>
      </c>
      <c r="P216">
        <f t="shared" si="87"/>
        <v>21394.955530196115</v>
      </c>
      <c r="Q216">
        <f t="shared" si="88"/>
        <v>12301.468428384724</v>
      </c>
      <c r="V216">
        <f t="shared" si="89"/>
        <v>-19023.53112886272</v>
      </c>
      <c r="W216">
        <f t="shared" si="90"/>
        <v>13361.027899869307</v>
      </c>
      <c r="AB216">
        <f t="shared" si="91"/>
        <v>-3605.0444698038846</v>
      </c>
      <c r="AC216">
        <f t="shared" si="92"/>
        <v>-10198.531571615276</v>
      </c>
      <c r="AW216">
        <v>209</v>
      </c>
      <c r="AX216">
        <f t="shared" si="82"/>
        <v>104.5</v>
      </c>
      <c r="AZ216">
        <f t="shared" si="83"/>
        <v>24386.329671334919</v>
      </c>
      <c r="BB216">
        <f t="shared" si="84"/>
        <v>-21174.25275798604</v>
      </c>
      <c r="BD216">
        <f t="shared" si="85"/>
        <v>4883.8840273365222</v>
      </c>
      <c r="BF216">
        <f t="shared" si="86"/>
        <v>-4483.8961902285273</v>
      </c>
      <c r="BH216">
        <f t="shared" si="71"/>
        <v>-613.58576077244288</v>
      </c>
      <c r="BJ216">
        <f t="shared" si="72"/>
        <v>655.94953693666446</v>
      </c>
      <c r="BN216" s="20">
        <f t="shared" si="73"/>
        <v>-79.506413345585599</v>
      </c>
      <c r="BP216">
        <f t="shared" si="74"/>
        <v>519.74820931743011</v>
      </c>
      <c r="BR216">
        <f t="shared" si="75"/>
        <v>-48.73283183300876</v>
      </c>
      <c r="BT216">
        <f t="shared" si="76"/>
        <v>34.226970971104237</v>
      </c>
      <c r="BV216">
        <f t="shared" si="77"/>
        <v>-485.34651559384849</v>
      </c>
      <c r="BX216">
        <f t="shared" si="78"/>
        <v>101.97435664813007</v>
      </c>
      <c r="CB216">
        <f t="shared" si="79"/>
        <v>29007.803419330172</v>
      </c>
      <c r="CD216">
        <f t="shared" si="80"/>
        <v>54240.024859057972</v>
      </c>
      <c r="CF216">
        <f t="shared" si="81"/>
        <v>30027.949791350678</v>
      </c>
    </row>
    <row r="217" spans="12:84" x14ac:dyDescent="0.25">
      <c r="L217">
        <v>206</v>
      </c>
      <c r="M217">
        <f t="shared" si="93"/>
        <v>1.2943361732790013</v>
      </c>
      <c r="P217">
        <f t="shared" si="87"/>
        <v>21364.759677586597</v>
      </c>
      <c r="Q217">
        <f t="shared" si="88"/>
        <v>12310.138357930438</v>
      </c>
      <c r="V217">
        <f t="shared" si="89"/>
        <v>-19044.668225689384</v>
      </c>
      <c r="W217">
        <f t="shared" si="90"/>
        <v>13367.096850551306</v>
      </c>
      <c r="AB217">
        <f t="shared" si="91"/>
        <v>-3635.240322413405</v>
      </c>
      <c r="AC217">
        <f t="shared" si="92"/>
        <v>-10189.861642069562</v>
      </c>
      <c r="AW217">
        <v>210</v>
      </c>
      <c r="AX217">
        <f t="shared" si="82"/>
        <v>105</v>
      </c>
      <c r="AZ217">
        <f t="shared" si="83"/>
        <v>26751.573464906625</v>
      </c>
      <c r="BB217">
        <f t="shared" si="84"/>
        <v>-23334.20716098322</v>
      </c>
      <c r="BD217">
        <f t="shared" si="85"/>
        <v>4577.0911469503008</v>
      </c>
      <c r="BF217">
        <f t="shared" si="86"/>
        <v>-4155.9214217601948</v>
      </c>
      <c r="BH217">
        <f t="shared" si="71"/>
        <v>-552.15955001075884</v>
      </c>
      <c r="BJ217">
        <f t="shared" si="72"/>
        <v>583.66774939394816</v>
      </c>
      <c r="BN217" s="20">
        <f t="shared" si="73"/>
        <v>-97.384634633669648</v>
      </c>
      <c r="BP217">
        <f t="shared" si="74"/>
        <v>444.75232539482704</v>
      </c>
      <c r="BR217">
        <f t="shared" si="75"/>
        <v>-43.383404475984662</v>
      </c>
      <c r="BT217">
        <f t="shared" si="76"/>
        <v>30.932678516942989</v>
      </c>
      <c r="BV217">
        <f t="shared" si="77"/>
        <v>-411.39151090110454</v>
      </c>
      <c r="BX217">
        <f t="shared" si="78"/>
        <v>107.98274548217809</v>
      </c>
      <c r="CB217">
        <f t="shared" si="79"/>
        <v>31564.728345076252</v>
      </c>
      <c r="CD217">
        <f t="shared" si="80"/>
        <v>57418.455121118561</v>
      </c>
      <c r="CF217">
        <f t="shared" si="81"/>
        <v>32827.144659557991</v>
      </c>
    </row>
    <row r="218" spans="12:84" x14ac:dyDescent="0.25">
      <c r="L218">
        <v>207</v>
      </c>
      <c r="M218">
        <f t="shared" si="93"/>
        <v>1.3006193585861809</v>
      </c>
      <c r="P218">
        <f t="shared" si="87"/>
        <v>21334.509946601847</v>
      </c>
      <c r="Q218">
        <f t="shared" si="88"/>
        <v>12318.618391450058</v>
      </c>
      <c r="V218">
        <f t="shared" si="89"/>
        <v>-19065.843037378709</v>
      </c>
      <c r="W218">
        <f t="shared" si="90"/>
        <v>13373.03287401504</v>
      </c>
      <c r="AB218">
        <f t="shared" si="91"/>
        <v>-3665.4900533981536</v>
      </c>
      <c r="AC218">
        <f t="shared" si="92"/>
        <v>-10181.381608549942</v>
      </c>
      <c r="AW218">
        <v>211</v>
      </c>
      <c r="AX218">
        <f t="shared" si="82"/>
        <v>105.5</v>
      </c>
      <c r="AZ218">
        <f t="shared" si="83"/>
        <v>28971.09909463043</v>
      </c>
      <c r="BB218">
        <f t="shared" si="84"/>
        <v>-25339.209403189077</v>
      </c>
      <c r="BD218">
        <f t="shared" si="85"/>
        <v>4301.0113719449209</v>
      </c>
      <c r="BF218">
        <f t="shared" si="86"/>
        <v>-3864.0875470632209</v>
      </c>
      <c r="BH218">
        <f t="shared" si="71"/>
        <v>-498.58773361655574</v>
      </c>
      <c r="BJ218">
        <f t="shared" si="72"/>
        <v>521.02567801637497</v>
      </c>
      <c r="BN218" s="20">
        <f t="shared" si="73"/>
        <v>-105.16237337859516</v>
      </c>
      <c r="BP218">
        <f t="shared" si="74"/>
        <v>384.95274261133437</v>
      </c>
      <c r="BR218">
        <f t="shared" si="75"/>
        <v>-39.14079725456341</v>
      </c>
      <c r="BT218">
        <f t="shared" si="76"/>
        <v>28.245329509838378</v>
      </c>
      <c r="BV218">
        <f t="shared" si="77"/>
        <v>-354.28456298339717</v>
      </c>
      <c r="BX218">
        <f t="shared" si="78"/>
        <v>107.82760589520228</v>
      </c>
      <c r="CB218">
        <f t="shared" si="79"/>
        <v>34042.536527000753</v>
      </c>
      <c r="CD218">
        <f t="shared" si="80"/>
        <v>60390.630629084844</v>
      </c>
      <c r="CF218">
        <f t="shared" si="81"/>
        <v>35509.644109455592</v>
      </c>
    </row>
    <row r="219" spans="12:84" x14ac:dyDescent="0.25">
      <c r="L219">
        <v>208</v>
      </c>
      <c r="M219">
        <f t="shared" si="93"/>
        <v>1.3069025438933606</v>
      </c>
      <c r="P219">
        <f t="shared" si="87"/>
        <v>21304.207531449454</v>
      </c>
      <c r="Q219">
        <f t="shared" si="88"/>
        <v>12326.908194166379</v>
      </c>
      <c r="V219">
        <f t="shared" si="89"/>
        <v>-19087.054727985382</v>
      </c>
      <c r="W219">
        <f t="shared" si="90"/>
        <v>13378.835735916466</v>
      </c>
      <c r="AB219">
        <f t="shared" si="91"/>
        <v>-3695.7924685505473</v>
      </c>
      <c r="AC219">
        <f t="shared" si="92"/>
        <v>-10173.091805833621</v>
      </c>
      <c r="AW219">
        <v>212</v>
      </c>
      <c r="AX219">
        <f t="shared" si="82"/>
        <v>106</v>
      </c>
      <c r="AZ219">
        <f t="shared" si="83"/>
        <v>31059.281313900821</v>
      </c>
      <c r="BB219">
        <f t="shared" si="84"/>
        <v>-27206.124966968644</v>
      </c>
      <c r="BD219">
        <f t="shared" si="85"/>
        <v>4051.717505136643</v>
      </c>
      <c r="BF219">
        <f t="shared" si="86"/>
        <v>-3603.5747080550336</v>
      </c>
      <c r="BH219">
        <f t="shared" si="71"/>
        <v>-452.7667538727834</v>
      </c>
      <c r="BJ219">
        <f t="shared" si="72"/>
        <v>467.99570880433839</v>
      </c>
      <c r="BN219" s="20">
        <f t="shared" si="73"/>
        <v>-107.4411036127223</v>
      </c>
      <c r="BP219">
        <f t="shared" si="74"/>
        <v>337.17058665333144</v>
      </c>
      <c r="BR219">
        <f t="shared" si="75"/>
        <v>-35.705869388441393</v>
      </c>
      <c r="BT219">
        <f t="shared" si="76"/>
        <v>26.018326234430067</v>
      </c>
      <c r="BV219">
        <f t="shared" si="77"/>
        <v>-309.6197808716197</v>
      </c>
      <c r="BX219">
        <f t="shared" si="78"/>
        <v>104.80679591657687</v>
      </c>
      <c r="CB219">
        <f t="shared" si="79"/>
        <v>36425.579108681857</v>
      </c>
      <c r="CD219">
        <f t="shared" si="80"/>
        <v>63177.0998333237</v>
      </c>
      <c r="CF219">
        <f t="shared" si="81"/>
        <v>38069.164104092073</v>
      </c>
    </row>
    <row r="220" spans="12:84" x14ac:dyDescent="0.25">
      <c r="L220">
        <v>209</v>
      </c>
      <c r="M220">
        <f t="shared" si="93"/>
        <v>1.3131857292005402</v>
      </c>
      <c r="P220">
        <f t="shared" si="87"/>
        <v>21273.85362841688</v>
      </c>
      <c r="Q220">
        <f t="shared" si="88"/>
        <v>12335.007438812183</v>
      </c>
      <c r="V220">
        <f t="shared" si="89"/>
        <v>-19108.302460108185</v>
      </c>
      <c r="W220">
        <f t="shared" si="90"/>
        <v>13384.505207168528</v>
      </c>
      <c r="AB220">
        <f t="shared" si="91"/>
        <v>-3726.1463715831214</v>
      </c>
      <c r="AC220">
        <f t="shared" si="92"/>
        <v>-10164.992561187817</v>
      </c>
      <c r="AW220">
        <v>213</v>
      </c>
      <c r="AX220">
        <f t="shared" si="82"/>
        <v>106.5</v>
      </c>
      <c r="AZ220">
        <f t="shared" si="83"/>
        <v>33028.544222235047</v>
      </c>
      <c r="BB220">
        <f t="shared" si="84"/>
        <v>-28949.412857395619</v>
      </c>
      <c r="BD220">
        <f t="shared" si="85"/>
        <v>3825.3341282002511</v>
      </c>
      <c r="BF220">
        <f t="shared" si="86"/>
        <v>-3369.5768536528644</v>
      </c>
      <c r="BH220">
        <f t="shared" si="71"/>
        <v>-413.79344788430075</v>
      </c>
      <c r="BJ220">
        <f t="shared" si="72"/>
        <v>423.38862203534705</v>
      </c>
      <c r="BN220" s="20">
        <f t="shared" si="73"/>
        <v>-106.75936438913548</v>
      </c>
      <c r="BP220">
        <f t="shared" si="74"/>
        <v>298.67620531015729</v>
      </c>
      <c r="BR220">
        <f t="shared" si="75"/>
        <v>-32.875806960925793</v>
      </c>
      <c r="BT220">
        <f t="shared" si="76"/>
        <v>24.1472474329066</v>
      </c>
      <c r="BV220">
        <f t="shared" si="77"/>
        <v>-274.15827653423946</v>
      </c>
      <c r="BX220">
        <f t="shared" si="78"/>
        <v>100.56516929228313</v>
      </c>
      <c r="CB220">
        <f t="shared" si="79"/>
        <v>38707.914722955713</v>
      </c>
      <c r="CD220">
        <f t="shared" si="80"/>
        <v>65795.769349293216</v>
      </c>
      <c r="CF220">
        <f t="shared" si="81"/>
        <v>40506.250069940572</v>
      </c>
    </row>
    <row r="221" spans="12:84" x14ac:dyDescent="0.25">
      <c r="L221">
        <v>210</v>
      </c>
      <c r="M221">
        <f t="shared" si="93"/>
        <v>1.3194689145077199</v>
      </c>
      <c r="P221">
        <f t="shared" si="87"/>
        <v>21243.449435824241</v>
      </c>
      <c r="Q221">
        <f t="shared" si="88"/>
        <v>12342.915805643162</v>
      </c>
      <c r="V221">
        <f t="shared" si="89"/>
        <v>-19129.58539492303</v>
      </c>
      <c r="W221">
        <f t="shared" si="90"/>
        <v>13390.041063950215</v>
      </c>
      <c r="AB221">
        <f t="shared" si="91"/>
        <v>-3756.5505641757586</v>
      </c>
      <c r="AC221">
        <f t="shared" si="92"/>
        <v>-10157.084194356838</v>
      </c>
      <c r="AW221">
        <v>214</v>
      </c>
      <c r="AX221">
        <f t="shared" si="82"/>
        <v>107</v>
      </c>
      <c r="AZ221">
        <f t="shared" si="83"/>
        <v>34889.487105349632</v>
      </c>
      <c r="BB221">
        <f t="shared" si="84"/>
        <v>-30581.27770646763</v>
      </c>
      <c r="BD221">
        <f t="shared" si="85"/>
        <v>3618.4374042581007</v>
      </c>
      <c r="BF221">
        <f t="shared" si="86"/>
        <v>-3157.8825426351909</v>
      </c>
      <c r="BH221">
        <f t="shared" si="71"/>
        <v>-380.6141368259855</v>
      </c>
      <c r="BJ221">
        <f t="shared" si="72"/>
        <v>385.81855551917954</v>
      </c>
      <c r="BN221" s="20">
        <f t="shared" si="73"/>
        <v>-104.52657094232543</v>
      </c>
      <c r="BP221">
        <f t="shared" si="74"/>
        <v>267.33663474071801</v>
      </c>
      <c r="BR221">
        <f t="shared" si="75"/>
        <v>-30.509209178119942</v>
      </c>
      <c r="BT221">
        <f t="shared" si="76"/>
        <v>22.556280911965903</v>
      </c>
      <c r="BV221">
        <f t="shared" si="77"/>
        <v>-245.57835670554016</v>
      </c>
      <c r="BX221">
        <f t="shared" si="78"/>
        <v>95.925639866495601</v>
      </c>
      <c r="CB221">
        <f t="shared" si="79"/>
        <v>40888.635805288024</v>
      </c>
      <c r="CD221">
        <f t="shared" si="80"/>
        <v>68261.965214735726</v>
      </c>
      <c r="CF221">
        <f t="shared" si="81"/>
        <v>42824.612041370783</v>
      </c>
    </row>
    <row r="222" spans="12:84" x14ac:dyDescent="0.25">
      <c r="L222">
        <v>211</v>
      </c>
      <c r="M222">
        <f t="shared" si="93"/>
        <v>1.3257520998148995</v>
      </c>
      <c r="P222">
        <f t="shared" si="87"/>
        <v>21212.996153977005</v>
      </c>
      <c r="Q222">
        <f t="shared" si="88"/>
        <v>12350.632982450537</v>
      </c>
      <c r="V222">
        <f t="shared" si="89"/>
        <v>-19150.902692216096</v>
      </c>
      <c r="W222">
        <f t="shared" si="90"/>
        <v>13395.443087715375</v>
      </c>
      <c r="AB222">
        <f t="shared" si="91"/>
        <v>-3787.0038460229953</v>
      </c>
      <c r="AC222">
        <f t="shared" si="92"/>
        <v>-10149.367017549463</v>
      </c>
      <c r="AW222">
        <v>215</v>
      </c>
      <c r="AX222">
        <f t="shared" si="82"/>
        <v>107.5</v>
      </c>
      <c r="AZ222">
        <f t="shared" si="83"/>
        <v>36651.129040375432</v>
      </c>
      <c r="BB222">
        <f t="shared" si="84"/>
        <v>-32111.991658345327</v>
      </c>
      <c r="BD222">
        <f t="shared" si="85"/>
        <v>3428.1303358451078</v>
      </c>
      <c r="BF222">
        <f t="shared" si="86"/>
        <v>-2964.9732648756012</v>
      </c>
      <c r="BH222">
        <f t="shared" si="71"/>
        <v>-352.25519621475183</v>
      </c>
      <c r="BJ222">
        <f t="shared" si="72"/>
        <v>354.02455143852308</v>
      </c>
      <c r="BN222" s="20">
        <f t="shared" si="73"/>
        <v>-101.53229709151219</v>
      </c>
      <c r="BP222">
        <f t="shared" si="74"/>
        <v>241.53896685860644</v>
      </c>
      <c r="BR222">
        <f t="shared" si="75"/>
        <v>-28.504938328740337</v>
      </c>
      <c r="BT222">
        <f t="shared" si="76"/>
        <v>21.189334536757997</v>
      </c>
      <c r="BV222">
        <f t="shared" si="77"/>
        <v>-222.21796079449931</v>
      </c>
      <c r="BX222">
        <f t="shared" si="78"/>
        <v>91.296250043158622</v>
      </c>
      <c r="CB222">
        <f t="shared" si="79"/>
        <v>42969.407506504605</v>
      </c>
      <c r="CD222">
        <f t="shared" si="80"/>
        <v>70588.740341373254</v>
      </c>
      <c r="CF222">
        <f t="shared" si="81"/>
        <v>45029.288344957058</v>
      </c>
    </row>
    <row r="223" spans="12:84" x14ac:dyDescent="0.25">
      <c r="L223">
        <v>212</v>
      </c>
      <c r="M223">
        <f t="shared" si="93"/>
        <v>1.3320352851220791</v>
      </c>
      <c r="P223">
        <f t="shared" si="87"/>
        <v>21182.494985118592</v>
      </c>
      <c r="Q223">
        <f t="shared" si="88"/>
        <v>12358.158664573377</v>
      </c>
      <c r="V223">
        <f t="shared" si="89"/>
        <v>-19172.253510416987</v>
      </c>
      <c r="W223">
        <f t="shared" si="90"/>
        <v>13400.711065201365</v>
      </c>
      <c r="AB223">
        <f t="shared" si="91"/>
        <v>-3817.5050148814098</v>
      </c>
      <c r="AC223">
        <f t="shared" si="92"/>
        <v>-10141.841335426623</v>
      </c>
      <c r="AW223">
        <v>216</v>
      </c>
      <c r="AX223">
        <f t="shared" si="82"/>
        <v>108</v>
      </c>
      <c r="AZ223">
        <f t="shared" si="83"/>
        <v>38321.162308771141</v>
      </c>
      <c r="BB223">
        <f t="shared" si="84"/>
        <v>-33550.22522185331</v>
      </c>
      <c r="BD223">
        <f t="shared" si="85"/>
        <v>3252.0027377377319</v>
      </c>
      <c r="BF223">
        <f t="shared" si="86"/>
        <v>-2787.9609891563396</v>
      </c>
      <c r="BH223">
        <f t="shared" si="71"/>
        <v>-327.88733916604565</v>
      </c>
      <c r="BJ223">
        <f t="shared" si="72"/>
        <v>326.95061879328279</v>
      </c>
      <c r="BN223" s="20">
        <f t="shared" si="73"/>
        <v>-98.221458605320677</v>
      </c>
      <c r="BP223">
        <f t="shared" si="74"/>
        <v>220.07408315121222</v>
      </c>
      <c r="BR223">
        <f t="shared" si="75"/>
        <v>-26.788972878980971</v>
      </c>
      <c r="BT223">
        <f t="shared" si="76"/>
        <v>20.004158973462062</v>
      </c>
      <c r="BV223">
        <f t="shared" si="77"/>
        <v>-202.87690768174397</v>
      </c>
      <c r="BX223">
        <f t="shared" si="78"/>
        <v>86.87237666860851</v>
      </c>
      <c r="CB223">
        <f t="shared" si="79"/>
        <v>44953.153160920956</v>
      </c>
      <c r="CD223">
        <f t="shared" si="80"/>
        <v>72787.224771385372</v>
      </c>
      <c r="CF223">
        <f t="shared" si="81"/>
        <v>47125.725029588415</v>
      </c>
    </row>
    <row r="224" spans="12:84" x14ac:dyDescent="0.25">
      <c r="L224">
        <v>213</v>
      </c>
      <c r="M224">
        <f t="shared" si="93"/>
        <v>1.3383184704292588</v>
      </c>
      <c r="P224">
        <f t="shared" si="87"/>
        <v>21151.947133382921</v>
      </c>
      <c r="Q224">
        <f t="shared" si="88"/>
        <v>12365.492554910641</v>
      </c>
      <c r="V224">
        <f t="shared" si="89"/>
        <v>-19193.637006631958</v>
      </c>
      <c r="W224">
        <f t="shared" si="90"/>
        <v>13405.844788437449</v>
      </c>
      <c r="AB224">
        <f t="shared" si="91"/>
        <v>-3848.0528666170803</v>
      </c>
      <c r="AC224">
        <f t="shared" si="92"/>
        <v>-10134.507445089359</v>
      </c>
      <c r="AW224">
        <v>217</v>
      </c>
      <c r="AX224">
        <f t="shared" si="82"/>
        <v>108.5</v>
      </c>
      <c r="AZ224">
        <f t="shared" si="83"/>
        <v>39906.177760244245</v>
      </c>
      <c r="BB224">
        <f t="shared" si="84"/>
        <v>-34903.336889082326</v>
      </c>
      <c r="BD224">
        <f t="shared" si="85"/>
        <v>3088.0590681547092</v>
      </c>
      <c r="BF224">
        <f t="shared" si="86"/>
        <v>-2624.4856797596981</v>
      </c>
      <c r="BH224">
        <f t="shared" si="71"/>
        <v>-306.82778898808283</v>
      </c>
      <c r="BJ224">
        <f t="shared" si="72"/>
        <v>303.74128132231471</v>
      </c>
      <c r="BN224" s="20">
        <f t="shared" si="73"/>
        <v>-94.844359298983392</v>
      </c>
      <c r="BP224">
        <f t="shared" si="74"/>
        <v>202.03362834506382</v>
      </c>
      <c r="BR224">
        <f t="shared" si="75"/>
        <v>-25.306014774379854</v>
      </c>
      <c r="BT224">
        <f t="shared" si="76"/>
        <v>18.968402746071646</v>
      </c>
      <c r="BV224">
        <f t="shared" si="77"/>
        <v>-186.67741491471961</v>
      </c>
      <c r="BX224">
        <f t="shared" si="78"/>
        <v>82.73925023117927</v>
      </c>
      <c r="CB224">
        <f t="shared" si="79"/>
        <v>46843.344162767164</v>
      </c>
      <c r="CD224">
        <f t="shared" si="80"/>
        <v>74866.947297298044</v>
      </c>
      <c r="CF224">
        <f t="shared" si="81"/>
        <v>49119.320235065956</v>
      </c>
    </row>
    <row r="225" spans="12:84" x14ac:dyDescent="0.25">
      <c r="L225">
        <v>214</v>
      </c>
      <c r="M225">
        <f t="shared" si="93"/>
        <v>1.3446016557364384</v>
      </c>
      <c r="P225">
        <f t="shared" si="87"/>
        <v>21121.353804746872</v>
      </c>
      <c r="Q225">
        <f t="shared" si="88"/>
        <v>12372.634363932893</v>
      </c>
      <c r="V225">
        <f t="shared" si="89"/>
        <v>-19215.052336677189</v>
      </c>
      <c r="W225">
        <f t="shared" si="90"/>
        <v>13410.844054753026</v>
      </c>
      <c r="AB225">
        <f t="shared" si="91"/>
        <v>-3878.6461952531276</v>
      </c>
      <c r="AC225">
        <f t="shared" si="92"/>
        <v>-10127.365636067107</v>
      </c>
      <c r="AW225">
        <v>218</v>
      </c>
      <c r="AX225">
        <f t="shared" si="82"/>
        <v>109</v>
      </c>
      <c r="AZ225">
        <f t="shared" si="83"/>
        <v>41411.853820698088</v>
      </c>
      <c r="BB225">
        <f t="shared" si="84"/>
        <v>-36177.612068796887</v>
      </c>
      <c r="BD225">
        <f t="shared" si="85"/>
        <v>2934.6451736606678</v>
      </c>
      <c r="BF225">
        <f t="shared" si="86"/>
        <v>-2472.6150390985408</v>
      </c>
      <c r="BH225">
        <f t="shared" si="71"/>
        <v>-288.52215278019918</v>
      </c>
      <c r="BJ225">
        <f t="shared" si="72"/>
        <v>283.71220317388588</v>
      </c>
      <c r="BN225" s="20">
        <f t="shared" si="73"/>
        <v>-91.5398325885253</v>
      </c>
      <c r="BP225">
        <f t="shared" si="74"/>
        <v>186.73027240543081</v>
      </c>
      <c r="BR225">
        <f t="shared" si="75"/>
        <v>-24.013992159409188</v>
      </c>
      <c r="BT225">
        <f t="shared" si="76"/>
        <v>18.056918089428915</v>
      </c>
      <c r="BV225">
        <f t="shared" si="77"/>
        <v>-172.96832803226468</v>
      </c>
      <c r="BX225">
        <f t="shared" si="78"/>
        <v>78.925012679026196</v>
      </c>
      <c r="CB225">
        <f t="shared" si="79"/>
        <v>48643.614997975375</v>
      </c>
      <c r="CD225">
        <f t="shared" si="80"/>
        <v>76836.108998771437</v>
      </c>
      <c r="CF225">
        <f t="shared" si="81"/>
        <v>51015.207811105691</v>
      </c>
    </row>
    <row r="226" spans="12:84" x14ac:dyDescent="0.25">
      <c r="L226">
        <v>215</v>
      </c>
      <c r="M226">
        <f t="shared" si="93"/>
        <v>1.3508848410436181</v>
      </c>
      <c r="P226">
        <f t="shared" si="87"/>
        <v>21090.716206982677</v>
      </c>
      <c r="Q226">
        <f t="shared" si="88"/>
        <v>12379.583809693744</v>
      </c>
      <c r="V226">
        <f t="shared" si="89"/>
        <v>-19236.498655112126</v>
      </c>
      <c r="W226">
        <f t="shared" si="90"/>
        <v>13415.70866678562</v>
      </c>
      <c r="AB226">
        <f t="shared" si="91"/>
        <v>-3909.2837930173209</v>
      </c>
      <c r="AC226">
        <f t="shared" si="92"/>
        <v>-10120.416190306256</v>
      </c>
      <c r="AW226">
        <v>219</v>
      </c>
      <c r="AX226">
        <f t="shared" si="82"/>
        <v>109.5</v>
      </c>
      <c r="AZ226">
        <f t="shared" si="83"/>
        <v>42843.111138430897</v>
      </c>
      <c r="BB226">
        <f t="shared" si="84"/>
        <v>-37378.455562949421</v>
      </c>
      <c r="BD226">
        <f t="shared" si="85"/>
        <v>2790.384097270568</v>
      </c>
      <c r="BF226">
        <f t="shared" si="86"/>
        <v>-2330.7589375115977</v>
      </c>
      <c r="BH226">
        <f t="shared" si="71"/>
        <v>-272.52216446404174</v>
      </c>
      <c r="BJ226">
        <f t="shared" si="72"/>
        <v>266.31752132402823</v>
      </c>
      <c r="BN226" s="20">
        <f t="shared" si="73"/>
        <v>-88.382149110173117</v>
      </c>
      <c r="BP226">
        <f t="shared" si="74"/>
        <v>173.63897270218033</v>
      </c>
      <c r="BR226">
        <f t="shared" si="75"/>
        <v>-22.880370909807233</v>
      </c>
      <c r="BT226">
        <f t="shared" si="76"/>
        <v>17.249888122600822</v>
      </c>
      <c r="BV226">
        <f t="shared" si="77"/>
        <v>-161.25964444406139</v>
      </c>
      <c r="BX226">
        <f t="shared" si="78"/>
        <v>75.428660499247101</v>
      </c>
      <c r="CB226">
        <f t="shared" si="79"/>
        <v>50357.556535224496</v>
      </c>
      <c r="CD226">
        <f t="shared" si="80"/>
        <v>78701.808550296671</v>
      </c>
      <c r="CF226">
        <f t="shared" si="81"/>
        <v>52818.165026694674</v>
      </c>
    </row>
    <row r="227" spans="12:84" x14ac:dyDescent="0.25">
      <c r="L227">
        <v>216</v>
      </c>
      <c r="M227">
        <f t="shared" si="93"/>
        <v>1.3571680263507977</v>
      </c>
      <c r="P227">
        <f t="shared" si="87"/>
        <v>21060.035549610238</v>
      </c>
      <c r="Q227">
        <f t="shared" si="88"/>
        <v>12386.340617840975</v>
      </c>
      <c r="V227">
        <f t="shared" si="89"/>
        <v>-19257.975115272831</v>
      </c>
      <c r="W227">
        <f t="shared" si="90"/>
        <v>13420.438432488681</v>
      </c>
      <c r="AB227">
        <f t="shared" si="91"/>
        <v>-3939.9644503897612</v>
      </c>
      <c r="AC227">
        <f t="shared" si="92"/>
        <v>-10113.659382159025</v>
      </c>
      <c r="AW227">
        <v>220</v>
      </c>
      <c r="AX227">
        <f t="shared" si="82"/>
        <v>110</v>
      </c>
      <c r="AZ227">
        <f t="shared" si="83"/>
        <v>44204.237916508173</v>
      </c>
      <c r="BB227">
        <f t="shared" si="84"/>
        <v>-38510.545341539713</v>
      </c>
      <c r="BD227">
        <f t="shared" si="85"/>
        <v>2654.1230150385472</v>
      </c>
      <c r="BF227">
        <f t="shared" si="86"/>
        <v>-2197.6001768495835</v>
      </c>
      <c r="BH227">
        <f t="shared" si="71"/>
        <v>-258.46506432035903</v>
      </c>
      <c r="BJ227">
        <f t="shared" si="72"/>
        <v>251.12091679003964</v>
      </c>
      <c r="BN227" s="20">
        <f t="shared" si="73"/>
        <v>-85.407948311502551</v>
      </c>
      <c r="BP227">
        <f t="shared" si="74"/>
        <v>162.35447246343966</v>
      </c>
      <c r="BR227">
        <f t="shared" si="75"/>
        <v>-21.879624301234031</v>
      </c>
      <c r="BT227">
        <f t="shared" si="76"/>
        <v>16.531502298977724</v>
      </c>
      <c r="BV227">
        <f t="shared" si="77"/>
        <v>-151.17749170762244</v>
      </c>
      <c r="BX227">
        <f t="shared" si="78"/>
        <v>72.234942027622267</v>
      </c>
      <c r="CB227">
        <f t="shared" si="79"/>
        <v>51988.60851902861</v>
      </c>
      <c r="CD227">
        <f t="shared" si="80"/>
        <v>80470.225399045376</v>
      </c>
      <c r="CF227">
        <f t="shared" si="81"/>
        <v>54532.584490384601</v>
      </c>
    </row>
    <row r="228" spans="12:84" x14ac:dyDescent="0.25">
      <c r="L228">
        <v>217</v>
      </c>
      <c r="M228">
        <f t="shared" si="93"/>
        <v>1.3634512116579773</v>
      </c>
      <c r="P228">
        <f t="shared" si="87"/>
        <v>21029.313043849372</v>
      </c>
      <c r="Q228">
        <f t="shared" si="88"/>
        <v>12392.904521627366</v>
      </c>
      <c r="V228">
        <f t="shared" si="89"/>
        <v>-19279.48086930544</v>
      </c>
      <c r="W228">
        <f t="shared" si="90"/>
        <v>13425.033165139157</v>
      </c>
      <c r="AB228">
        <f t="shared" si="91"/>
        <v>-3970.6869561506282</v>
      </c>
      <c r="AC228">
        <f t="shared" si="92"/>
        <v>-10107.095478372634</v>
      </c>
      <c r="AW228">
        <v>221</v>
      </c>
      <c r="AX228">
        <f t="shared" si="82"/>
        <v>110.5</v>
      </c>
      <c r="AZ228">
        <f t="shared" si="83"/>
        <v>45498.991290987404</v>
      </c>
      <c r="BB228">
        <f t="shared" si="84"/>
        <v>-39577.955315365747</v>
      </c>
      <c r="BD228">
        <f t="shared" si="85"/>
        <v>2524.8904828783679</v>
      </c>
      <c r="BF228">
        <f t="shared" si="86"/>
        <v>-2072.0397184545636</v>
      </c>
      <c r="BH228">
        <f t="shared" si="71"/>
        <v>-246.05625385342012</v>
      </c>
      <c r="BJ228">
        <f t="shared" si="72"/>
        <v>237.77200430953101</v>
      </c>
      <c r="BN228" s="20">
        <f t="shared" si="73"/>
        <v>-82.63194428041534</v>
      </c>
      <c r="BP228">
        <f t="shared" si="74"/>
        <v>152.56066155958698</v>
      </c>
      <c r="BR228">
        <f t="shared" si="75"/>
        <v>-20.991461579357573</v>
      </c>
      <c r="BT228">
        <f t="shared" si="76"/>
        <v>15.889004146065496</v>
      </c>
      <c r="BV228">
        <f t="shared" si="77"/>
        <v>-142.43284799364719</v>
      </c>
      <c r="BX228">
        <f t="shared" si="78"/>
        <v>69.322338603878535</v>
      </c>
      <c r="CB228">
        <f t="shared" si="79"/>
        <v>53540.007784211477</v>
      </c>
      <c r="CD228">
        <f t="shared" si="80"/>
        <v>82146.768125040966</v>
      </c>
      <c r="CF228">
        <f t="shared" si="81"/>
        <v>56162.478656940861</v>
      </c>
    </row>
    <row r="229" spans="12:84" x14ac:dyDescent="0.25">
      <c r="L229">
        <v>218</v>
      </c>
      <c r="M229">
        <f t="shared" si="93"/>
        <v>1.369734396965157</v>
      </c>
      <c r="P229">
        <f t="shared" si="87"/>
        <v>20998.549902572002</v>
      </c>
      <c r="Q229">
        <f t="shared" si="88"/>
        <v>12399.275261921241</v>
      </c>
      <c r="V229">
        <f t="shared" si="89"/>
        <v>-19301.015068199598</v>
      </c>
      <c r="W229">
        <f t="shared" si="90"/>
        <v>13429.49268334487</v>
      </c>
      <c r="AB229">
        <f t="shared" si="91"/>
        <v>-4001.4500974279999</v>
      </c>
      <c r="AC229">
        <f t="shared" si="92"/>
        <v>-10100.724738078759</v>
      </c>
      <c r="AW229">
        <v>222</v>
      </c>
      <c r="AX229">
        <f t="shared" si="82"/>
        <v>111</v>
      </c>
      <c r="AZ229">
        <f t="shared" si="83"/>
        <v>46730.679500694911</v>
      </c>
      <c r="BB229">
        <f t="shared" si="84"/>
        <v>-40584.253674054336</v>
      </c>
      <c r="BD229">
        <f t="shared" si="85"/>
        <v>2401.8623559516577</v>
      </c>
      <c r="BF229">
        <f t="shared" si="86"/>
        <v>-1953.1537162997981</v>
      </c>
      <c r="BH229">
        <f t="shared" si="71"/>
        <v>-235.05530780794962</v>
      </c>
      <c r="BJ229">
        <f t="shared" si="72"/>
        <v>225.98772941945722</v>
      </c>
      <c r="BN229" s="20">
        <f t="shared" si="73"/>
        <v>-80.056204102999871</v>
      </c>
      <c r="BP229">
        <f t="shared" si="74"/>
        <v>144.00841647779444</v>
      </c>
      <c r="BR229">
        <f t="shared" si="75"/>
        <v>-20.199564639424786</v>
      </c>
      <c r="BT229">
        <f t="shared" si="76"/>
        <v>15.311996063452055</v>
      </c>
      <c r="BV229">
        <f t="shared" si="77"/>
        <v>-134.79953906552495</v>
      </c>
      <c r="BX229">
        <f t="shared" si="78"/>
        <v>66.667316878210727</v>
      </c>
      <c r="CB229">
        <f t="shared" si="79"/>
        <v>55014.767817011452</v>
      </c>
      <c r="CD229">
        <f t="shared" si="80"/>
        <v>83736.194721192966</v>
      </c>
      <c r="CF229">
        <f t="shared" si="81"/>
        <v>57711.500046888228</v>
      </c>
    </row>
    <row r="230" spans="12:84" x14ac:dyDescent="0.25">
      <c r="L230">
        <v>219</v>
      </c>
      <c r="M230">
        <f t="shared" si="93"/>
        <v>1.3760175822723366</v>
      </c>
      <c r="P230">
        <f t="shared" si="87"/>
        <v>20967.747340254267</v>
      </c>
      <c r="Q230">
        <f t="shared" si="88"/>
        <v>12405.452587216678</v>
      </c>
      <c r="V230">
        <f t="shared" si="89"/>
        <v>-19322.576861822014</v>
      </c>
      <c r="W230">
        <f t="shared" si="90"/>
        <v>13433.816811051674</v>
      </c>
      <c r="AB230">
        <f t="shared" si="91"/>
        <v>-4032.252659745734</v>
      </c>
      <c r="AC230">
        <f t="shared" si="92"/>
        <v>-10094.547412783322</v>
      </c>
      <c r="AW230">
        <v>223</v>
      </c>
      <c r="AX230">
        <f t="shared" si="82"/>
        <v>111.5</v>
      </c>
      <c r="AZ230">
        <f t="shared" si="83"/>
        <v>47902.228765194748</v>
      </c>
      <c r="BB230">
        <f t="shared" si="84"/>
        <v>-41532.582066026807</v>
      </c>
      <c r="BD230">
        <f t="shared" si="85"/>
        <v>2284.3347020476831</v>
      </c>
      <c r="BF230">
        <f t="shared" si="86"/>
        <v>-1840.1598515900696</v>
      </c>
      <c r="BH230">
        <f t="shared" si="71"/>
        <v>-225.26490992239081</v>
      </c>
      <c r="BJ230">
        <f t="shared" si="72"/>
        <v>215.53793323125979</v>
      </c>
      <c r="BN230" s="20">
        <f t="shared" si="73"/>
        <v>-77.67568182068257</v>
      </c>
      <c r="BP230">
        <f t="shared" si="74"/>
        <v>136.49946301630581</v>
      </c>
      <c r="BR230">
        <f t="shared" si="75"/>
        <v>-19.490671727020636</v>
      </c>
      <c r="BT230">
        <f t="shared" si="76"/>
        <v>14.791924485540838</v>
      </c>
      <c r="BV230">
        <f t="shared" si="77"/>
        <v>-128.0985563746876</v>
      </c>
      <c r="BX230">
        <f t="shared" si="78"/>
        <v>64.246545729413143</v>
      </c>
      <c r="CB230">
        <f t="shared" si="79"/>
        <v>56415.67578365888</v>
      </c>
      <c r="CD230">
        <f t="shared" si="80"/>
        <v>85242.71045475165</v>
      </c>
      <c r="CF230">
        <f t="shared" si="81"/>
        <v>59182.968153138841</v>
      </c>
    </row>
    <row r="231" spans="12:84" x14ac:dyDescent="0.25">
      <c r="L231">
        <v>220</v>
      </c>
      <c r="M231">
        <f t="shared" si="93"/>
        <v>1.3823007675795163</v>
      </c>
      <c r="P231">
        <f t="shared" si="87"/>
        <v>20936.906572928587</v>
      </c>
      <c r="Q231">
        <f t="shared" si="88"/>
        <v>12411.436253643449</v>
      </c>
      <c r="V231">
        <f t="shared" si="89"/>
        <v>-19344.16539894999</v>
      </c>
      <c r="W231">
        <f t="shared" si="90"/>
        <v>13438.005377550415</v>
      </c>
      <c r="AB231">
        <f t="shared" si="91"/>
        <v>-4063.0934270714124</v>
      </c>
      <c r="AC231">
        <f t="shared" si="92"/>
        <v>-10088.563746356551</v>
      </c>
      <c r="AW231">
        <v>224</v>
      </c>
      <c r="AX231">
        <f t="shared" si="82"/>
        <v>112</v>
      </c>
      <c r="AZ231">
        <f t="shared" si="83"/>
        <v>49016.238002478291</v>
      </c>
      <c r="BB231">
        <f t="shared" si="84"/>
        <v>-42425.719750167933</v>
      </c>
      <c r="BD231">
        <f t="shared" si="85"/>
        <v>2171.7022470864877</v>
      </c>
      <c r="BF231">
        <f t="shared" si="86"/>
        <v>-1732.3908849744398</v>
      </c>
      <c r="BH231">
        <f t="shared" si="71"/>
        <v>-216.52217227519566</v>
      </c>
      <c r="BJ231">
        <f t="shared" si="72"/>
        <v>206.23421125104122</v>
      </c>
      <c r="BN231" s="20">
        <f t="shared" si="73"/>
        <v>-75.481537175980023</v>
      </c>
      <c r="BP231">
        <f t="shared" si="74"/>
        <v>129.87452305285041</v>
      </c>
      <c r="BR231">
        <f t="shared" si="75"/>
        <v>-18.853902515482719</v>
      </c>
      <c r="BT231">
        <f t="shared" si="76"/>
        <v>14.321693533023199</v>
      </c>
      <c r="BV231">
        <f t="shared" si="77"/>
        <v>-122.18673258373293</v>
      </c>
      <c r="BX231">
        <f t="shared" si="78"/>
        <v>62.037994665167609</v>
      </c>
      <c r="CB231">
        <f t="shared" si="79"/>
        <v>57745.299032811097</v>
      </c>
      <c r="CD231">
        <f t="shared" si="80"/>
        <v>86670.047878940721</v>
      </c>
      <c r="CF231">
        <f t="shared" si="81"/>
        <v>60579.898248141122</v>
      </c>
    </row>
    <row r="232" spans="12:84" x14ac:dyDescent="0.25">
      <c r="L232">
        <v>221</v>
      </c>
      <c r="M232">
        <f t="shared" si="93"/>
        <v>1.3885839528866959</v>
      </c>
      <c r="P232">
        <f t="shared" si="87"/>
        <v>20906.028818135652</v>
      </c>
      <c r="Q232">
        <f t="shared" si="88"/>
        <v>12417.226024976655</v>
      </c>
      <c r="V232">
        <f t="shared" si="89"/>
        <v>-19365.779827305043</v>
      </c>
      <c r="W232">
        <f t="shared" si="90"/>
        <v>13442.058217483658</v>
      </c>
      <c r="AB232">
        <f t="shared" si="91"/>
        <v>-4093.9711818643491</v>
      </c>
      <c r="AC232">
        <f t="shared" si="92"/>
        <v>-10082.773975023345</v>
      </c>
      <c r="AW232">
        <v>225</v>
      </c>
      <c r="AX232">
        <f t="shared" si="82"/>
        <v>112.5</v>
      </c>
      <c r="AZ232">
        <f t="shared" si="83"/>
        <v>50075.023854487139</v>
      </c>
      <c r="BB232">
        <f t="shared" si="84"/>
        <v>-43266.135916248772</v>
      </c>
      <c r="BD232">
        <f t="shared" si="85"/>
        <v>2063.4411609488898</v>
      </c>
      <c r="BF232">
        <f t="shared" si="86"/>
        <v>-1629.2737793489191</v>
      </c>
      <c r="BH232">
        <f t="shared" si="71"/>
        <v>-208.69183894028643</v>
      </c>
      <c r="BJ232">
        <f t="shared" si="72"/>
        <v>197.9213149693949</v>
      </c>
      <c r="BN232" s="20">
        <f t="shared" si="73"/>
        <v>-73.463126470348257</v>
      </c>
      <c r="BP232">
        <f t="shared" si="74"/>
        <v>124.00452552491814</v>
      </c>
      <c r="BR232">
        <f t="shared" si="75"/>
        <v>-18.28025392487196</v>
      </c>
      <c r="BT232">
        <f t="shared" si="76"/>
        <v>13.895371511649074</v>
      </c>
      <c r="BV232">
        <f t="shared" si="77"/>
        <v>-116.94845854506622</v>
      </c>
      <c r="BX232">
        <f t="shared" si="78"/>
        <v>60.021417932827681</v>
      </c>
      <c r="CB232">
        <f t="shared" si="79"/>
        <v>59005.996438624898</v>
      </c>
      <c r="CD232">
        <f t="shared" si="80"/>
        <v>88021.532613646472</v>
      </c>
      <c r="CF232">
        <f t="shared" si="81"/>
        <v>61905.029619637338</v>
      </c>
    </row>
    <row r="233" spans="12:84" x14ac:dyDescent="0.25">
      <c r="L233">
        <v>222</v>
      </c>
      <c r="M233">
        <f t="shared" si="93"/>
        <v>1.3948671381938755</v>
      </c>
      <c r="P233">
        <f t="shared" si="87"/>
        <v>20875.115294876345</v>
      </c>
      <c r="Q233">
        <f t="shared" si="88"/>
        <v>12422.821672646034</v>
      </c>
      <c r="V233">
        <f t="shared" si="89"/>
        <v>-19387.419293586558</v>
      </c>
      <c r="W233">
        <f t="shared" si="90"/>
        <v>13445.975170852224</v>
      </c>
      <c r="AB233">
        <f t="shared" si="91"/>
        <v>-4124.8847051236562</v>
      </c>
      <c r="AC233">
        <f t="shared" si="92"/>
        <v>-10077.178327353966</v>
      </c>
      <c r="AW233">
        <v>226</v>
      </c>
      <c r="AX233">
        <f t="shared" si="82"/>
        <v>113</v>
      </c>
      <c r="AZ233">
        <f t="shared" si="83"/>
        <v>51080.657955094044</v>
      </c>
      <c r="BB233">
        <f t="shared" si="84"/>
        <v>-44056.032641552061</v>
      </c>
      <c r="BD233">
        <f t="shared" si="85"/>
        <v>1959.0952414787466</v>
      </c>
      <c r="BF233">
        <f t="shared" si="86"/>
        <v>-1530.3131218642216</v>
      </c>
      <c r="BH233">
        <f t="shared" si="71"/>
        <v>-201.66095779558299</v>
      </c>
      <c r="BJ233">
        <f t="shared" si="72"/>
        <v>190.47049637298704</v>
      </c>
      <c r="BN233" s="20">
        <f t="shared" si="73"/>
        <v>-71.609188946496815</v>
      </c>
      <c r="BP233">
        <f t="shared" si="74"/>
        <v>118.78402600404306</v>
      </c>
      <c r="BR233">
        <f t="shared" si="75"/>
        <v>-17.762218602365028</v>
      </c>
      <c r="BT233">
        <f t="shared" si="76"/>
        <v>13.507965404068367</v>
      </c>
      <c r="BV233">
        <f t="shared" si="77"/>
        <v>-112.28955024672116</v>
      </c>
      <c r="BX233">
        <f t="shared" si="78"/>
        <v>58.178504964875621</v>
      </c>
      <c r="CB233">
        <f t="shared" si="79"/>
        <v>60199.931899117066</v>
      </c>
      <c r="CD233">
        <f t="shared" si="80"/>
        <v>89300.13773938769</v>
      </c>
      <c r="CF233">
        <f t="shared" si="81"/>
        <v>63160.852033068644</v>
      </c>
    </row>
    <row r="234" spans="12:84" x14ac:dyDescent="0.25">
      <c r="L234">
        <v>223</v>
      </c>
      <c r="M234">
        <f t="shared" si="93"/>
        <v>1.4011503235010552</v>
      </c>
      <c r="P234">
        <f t="shared" si="87"/>
        <v>20844.167223563632</v>
      </c>
      <c r="Q234">
        <f t="shared" si="88"/>
        <v>12428.222975744997</v>
      </c>
      <c r="V234">
        <f t="shared" si="89"/>
        <v>-19409.082943505458</v>
      </c>
      <c r="W234">
        <f t="shared" si="90"/>
        <v>13449.756083021497</v>
      </c>
      <c r="AB234">
        <f t="shared" si="91"/>
        <v>-4155.8327764363667</v>
      </c>
      <c r="AC234">
        <f t="shared" si="92"/>
        <v>-10071.777024255003</v>
      </c>
      <c r="AW234">
        <v>227</v>
      </c>
      <c r="AX234">
        <f t="shared" si="82"/>
        <v>113.5</v>
      </c>
      <c r="AZ234">
        <f t="shared" si="83"/>
        <v>52034.997956108971</v>
      </c>
      <c r="BB234">
        <f t="shared" si="84"/>
        <v>-44797.380390437553</v>
      </c>
      <c r="BD234">
        <f t="shared" si="85"/>
        <v>1858.2647625809552</v>
      </c>
      <c r="BF234">
        <f t="shared" si="86"/>
        <v>-1435.0778736777281</v>
      </c>
      <c r="BH234">
        <f t="shared" si="71"/>
        <v>-195.33468944001709</v>
      </c>
      <c r="BJ234">
        <f t="shared" si="72"/>
        <v>183.77433249528792</v>
      </c>
      <c r="BN234" s="20">
        <f t="shared" si="73"/>
        <v>-69.908542029005275</v>
      </c>
      <c r="BP234">
        <f t="shared" si="74"/>
        <v>114.12623219270679</v>
      </c>
      <c r="BR234">
        <f t="shared" si="75"/>
        <v>-17.2934927902783</v>
      </c>
      <c r="BT234">
        <f t="shared" si="76"/>
        <v>13.155245777692208</v>
      </c>
      <c r="BV234">
        <f t="shared" si="77"/>
        <v>-108.1326546207335</v>
      </c>
      <c r="BX234">
        <f t="shared" si="78"/>
        <v>56.492854524888926</v>
      </c>
      <c r="CB234">
        <f t="shared" si="79"/>
        <v>61329.088447082177</v>
      </c>
      <c r="CD234">
        <f t="shared" si="80"/>
        <v>90508.529035615938</v>
      </c>
      <c r="CF234">
        <f t="shared" si="81"/>
        <v>64349.629913355267</v>
      </c>
    </row>
    <row r="235" spans="12:84" x14ac:dyDescent="0.25">
      <c r="L235">
        <v>224</v>
      </c>
      <c r="M235">
        <f t="shared" si="93"/>
        <v>1.4074335088082348</v>
      </c>
      <c r="P235">
        <f t="shared" si="87"/>
        <v>20813.185825974382</v>
      </c>
      <c r="Q235">
        <f t="shared" si="88"/>
        <v>12433.429721039345</v>
      </c>
      <c r="V235">
        <f t="shared" si="89"/>
        <v>-19430.769921817933</v>
      </c>
      <c r="W235">
        <f t="shared" si="90"/>
        <v>13453.400804727542</v>
      </c>
      <c r="AB235">
        <f t="shared" si="91"/>
        <v>-4186.8141740256187</v>
      </c>
      <c r="AC235">
        <f t="shared" si="92"/>
        <v>-10066.570278960655</v>
      </c>
      <c r="AW235">
        <v>228</v>
      </c>
      <c r="AX235">
        <f t="shared" si="82"/>
        <v>114</v>
      </c>
      <c r="AZ235">
        <f t="shared" si="83"/>
        <v>52939.713501219449</v>
      </c>
      <c r="BB235">
        <f t="shared" si="84"/>
        <v>-45491.947535714506</v>
      </c>
      <c r="BD235">
        <f t="shared" si="85"/>
        <v>1760.5974178609467</v>
      </c>
      <c r="BF235">
        <f t="shared" si="86"/>
        <v>-1343.1907074300841</v>
      </c>
      <c r="BH235">
        <f t="shared" si="71"/>
        <v>-189.63299582851397</v>
      </c>
      <c r="BJ235">
        <f t="shared" si="72"/>
        <v>177.74267849869861</v>
      </c>
      <c r="BN235" s="20">
        <f t="shared" si="73"/>
        <v>-68.350475431375003</v>
      </c>
      <c r="BP235">
        <f t="shared" si="74"/>
        <v>109.9592079927009</v>
      </c>
      <c r="BR235">
        <f t="shared" si="75"/>
        <v>-16.86875019908576</v>
      </c>
      <c r="BT235">
        <f t="shared" si="76"/>
        <v>12.833609512670909</v>
      </c>
      <c r="BV235">
        <f t="shared" si="77"/>
        <v>-104.41377019805323</v>
      </c>
      <c r="BX235">
        <f t="shared" si="78"/>
        <v>54.949860993326816</v>
      </c>
      <c r="CB235">
        <f t="shared" si="79"/>
        <v>62395.282106665225</v>
      </c>
      <c r="CD235">
        <f t="shared" si="80"/>
        <v>91649.102815829392</v>
      </c>
      <c r="CF235">
        <f t="shared" si="81"/>
        <v>65473.424113331334</v>
      </c>
    </row>
    <row r="236" spans="12:84" x14ac:dyDescent="0.25">
      <c r="L236">
        <v>225</v>
      </c>
      <c r="M236">
        <f t="shared" si="93"/>
        <v>1.4137166941154145</v>
      </c>
      <c r="P236">
        <f t="shared" si="87"/>
        <v>20782.172325201118</v>
      </c>
      <c r="Q236">
        <f t="shared" si="88"/>
        <v>12438.441702975695</v>
      </c>
      <c r="V236">
        <f t="shared" si="89"/>
        <v>-19452.479372359219</v>
      </c>
      <c r="W236">
        <f t="shared" si="90"/>
        <v>13456.909192082985</v>
      </c>
      <c r="AB236">
        <f t="shared" si="91"/>
        <v>-4217.827674798883</v>
      </c>
      <c r="AC236">
        <f t="shared" si="92"/>
        <v>-10061.558297024305</v>
      </c>
      <c r="AW236">
        <v>229</v>
      </c>
      <c r="AX236">
        <f t="shared" si="82"/>
        <v>114.5</v>
      </c>
      <c r="AZ236">
        <f t="shared" si="83"/>
        <v>53796.308085671357</v>
      </c>
      <c r="BB236">
        <f t="shared" si="84"/>
        <v>-46141.325054617213</v>
      </c>
      <c r="BD236">
        <f t="shared" si="85"/>
        <v>1665.7809199466897</v>
      </c>
      <c r="BF236">
        <f t="shared" si="86"/>
        <v>-1254.3193681807347</v>
      </c>
      <c r="BH236">
        <f t="shared" si="71"/>
        <v>-184.48801067730807</v>
      </c>
      <c r="BJ236">
        <f t="shared" si="72"/>
        <v>172.29948413673415</v>
      </c>
      <c r="BN236" s="20">
        <f t="shared" si="73"/>
        <v>-66.924960618678384</v>
      </c>
      <c r="BP236">
        <f t="shared" si="74"/>
        <v>106.22295067596492</v>
      </c>
      <c r="BR236">
        <f t="shared" si="75"/>
        <v>-16.483465218806678</v>
      </c>
      <c r="BT236">
        <f t="shared" si="76"/>
        <v>12.539971211041969</v>
      </c>
      <c r="BV236">
        <f t="shared" si="77"/>
        <v>-101.079584839823</v>
      </c>
      <c r="BX236">
        <f t="shared" si="78"/>
        <v>53.536562249727254</v>
      </c>
      <c r="CB236">
        <f t="shared" si="79"/>
        <v>63400.175030016435</v>
      </c>
      <c r="CD236">
        <f t="shared" si="80"/>
        <v>92724.017740623793</v>
      </c>
      <c r="CF236">
        <f t="shared" si="81"/>
        <v>66534.111331425418</v>
      </c>
    </row>
    <row r="237" spans="12:84" x14ac:dyDescent="0.25">
      <c r="L237">
        <v>226</v>
      </c>
      <c r="M237">
        <f t="shared" si="93"/>
        <v>1.4199998794225941</v>
      </c>
      <c r="P237">
        <f t="shared" si="87"/>
        <v>20751.127945603748</v>
      </c>
      <c r="Q237">
        <f t="shared" si="88"/>
        <v>12443.258723689576</v>
      </c>
      <c r="V237">
        <f t="shared" si="89"/>
        <v>-19474.210438077378</v>
      </c>
      <c r="W237">
        <f t="shared" si="90"/>
        <v>13460.281106582703</v>
      </c>
      <c r="AB237">
        <f t="shared" si="91"/>
        <v>-4248.8720543962518</v>
      </c>
      <c r="AC237">
        <f t="shared" si="92"/>
        <v>-10056.741276310424</v>
      </c>
      <c r="AW237">
        <v>230</v>
      </c>
      <c r="AX237">
        <f t="shared" si="82"/>
        <v>115</v>
      </c>
      <c r="AZ237">
        <f t="shared" si="83"/>
        <v>54606.137544310033</v>
      </c>
      <c r="BB237">
        <f t="shared" si="84"/>
        <v>-46746.947303190485</v>
      </c>
      <c r="BD237">
        <f t="shared" si="85"/>
        <v>1573.5369146080357</v>
      </c>
      <c r="BF237">
        <f t="shared" si="86"/>
        <v>-1168.1696261123677</v>
      </c>
      <c r="BH237">
        <f t="shared" si="71"/>
        <v>-179.84194006887486</v>
      </c>
      <c r="BJ237">
        <f t="shared" si="72"/>
        <v>167.38027387564517</v>
      </c>
      <c r="BN237" s="20">
        <f t="shared" si="73"/>
        <v>-65.622747675018601</v>
      </c>
      <c r="BP237">
        <f t="shared" si="74"/>
        <v>102.86712091053948</v>
      </c>
      <c r="BR237">
        <f t="shared" si="75"/>
        <v>-16.133773431889516</v>
      </c>
      <c r="BT237">
        <f t="shared" si="76"/>
        <v>12.271676578851043</v>
      </c>
      <c r="BV237">
        <f t="shared" si="77"/>
        <v>-98.085418961966766</v>
      </c>
      <c r="BX237">
        <f t="shared" si="78"/>
        <v>52.241476386254661</v>
      </c>
      <c r="CB237">
        <f t="shared" si="79"/>
        <v>64345.287686440803</v>
      </c>
      <c r="CD237">
        <f t="shared" si="80"/>
        <v>93735.221701938615</v>
      </c>
      <c r="CF237">
        <f t="shared" si="81"/>
        <v>67533.40133610004</v>
      </c>
    </row>
    <row r="238" spans="12:84" x14ac:dyDescent="0.25">
      <c r="L238">
        <v>227</v>
      </c>
      <c r="M238">
        <f t="shared" si="93"/>
        <v>1.4262830647297737</v>
      </c>
      <c r="P238">
        <f t="shared" si="87"/>
        <v>20720.053912761225</v>
      </c>
      <c r="Q238">
        <f t="shared" si="88"/>
        <v>12447.88059301326</v>
      </c>
      <c r="V238">
        <f t="shared" si="89"/>
        <v>-19495.962261067143</v>
      </c>
      <c r="W238">
        <f t="shared" si="90"/>
        <v>13463.516415109283</v>
      </c>
      <c r="AB238">
        <f t="shared" si="91"/>
        <v>-4279.9460872387772</v>
      </c>
      <c r="AC238">
        <f t="shared" si="92"/>
        <v>-10052.11940698674</v>
      </c>
      <c r="AW238">
        <v>231</v>
      </c>
      <c r="AX238">
        <f t="shared" si="82"/>
        <v>115.5</v>
      </c>
      <c r="AZ238">
        <f t="shared" si="83"/>
        <v>55370.425759105441</v>
      </c>
      <c r="BB238">
        <f t="shared" si="84"/>
        <v>-47310.109582012214</v>
      </c>
      <c r="BD238">
        <f t="shared" si="85"/>
        <v>1483.6159445735982</v>
      </c>
      <c r="BF238">
        <f t="shared" si="86"/>
        <v>-1084.4794891745451</v>
      </c>
      <c r="BH238">
        <f t="shared" si="71"/>
        <v>-175.64537725645178</v>
      </c>
      <c r="BJ238">
        <f t="shared" si="72"/>
        <v>162.93013999533872</v>
      </c>
      <c r="BN238" s="20">
        <f t="shared" si="73"/>
        <v>-64.435394429092597</v>
      </c>
      <c r="BP238">
        <f t="shared" si="74"/>
        <v>99.84926541941816</v>
      </c>
      <c r="BR238">
        <f t="shared" si="75"/>
        <v>-15.816360627640552</v>
      </c>
      <c r="BT238">
        <f t="shared" si="76"/>
        <v>12.026432803442106</v>
      </c>
      <c r="BV238">
        <f t="shared" si="77"/>
        <v>-95.393622199718635</v>
      </c>
      <c r="BX238">
        <f t="shared" si="78"/>
        <v>51.054441772478455</v>
      </c>
      <c r="CB238">
        <f t="shared" si="79"/>
        <v>65232.010016345324</v>
      </c>
      <c r="CD238">
        <f t="shared" si="80"/>
        <v>94684.474648228759</v>
      </c>
      <c r="CF238">
        <f t="shared" si="81"/>
        <v>68472.852193678176</v>
      </c>
    </row>
    <row r="239" spans="12:84" x14ac:dyDescent="0.25">
      <c r="L239">
        <v>228</v>
      </c>
      <c r="M239">
        <f t="shared" si="93"/>
        <v>1.4325662500369534</v>
      </c>
      <c r="P239">
        <f t="shared" si="87"/>
        <v>20688.951453423153</v>
      </c>
      <c r="Q239">
        <f t="shared" si="88"/>
        <v>12452.307128483262</v>
      </c>
      <c r="V239">
        <f t="shared" si="89"/>
        <v>-19517.733982603793</v>
      </c>
      <c r="W239">
        <f t="shared" si="90"/>
        <v>13466.614989938284</v>
      </c>
      <c r="AB239">
        <f t="shared" si="91"/>
        <v>-4311.0485465768479</v>
      </c>
      <c r="AC239">
        <f t="shared" si="92"/>
        <v>-10047.692871516738</v>
      </c>
      <c r="AW239">
        <v>232</v>
      </c>
      <c r="AX239">
        <f t="shared" si="82"/>
        <v>116</v>
      </c>
      <c r="AZ239">
        <f t="shared" si="83"/>
        <v>56090.278059235185</v>
      </c>
      <c r="BB239">
        <f t="shared" si="84"/>
        <v>-47831.983059100065</v>
      </c>
      <c r="BD239">
        <f t="shared" si="85"/>
        <v>1395.7932559453723</v>
      </c>
      <c r="BF239">
        <f t="shared" si="86"/>
        <v>-1003.0144191768757</v>
      </c>
      <c r="BH239">
        <f t="shared" si="71"/>
        <v>-171.85594273016756</v>
      </c>
      <c r="BJ239">
        <f t="shared" si="72"/>
        <v>158.90213459438314</v>
      </c>
      <c r="BN239" s="20">
        <f t="shared" si="73"/>
        <v>-63.35525586848059</v>
      </c>
      <c r="BP239">
        <f t="shared" si="74"/>
        <v>97.133414673780081</v>
      </c>
      <c r="BR239">
        <f t="shared" si="75"/>
        <v>-15.528373811390095</v>
      </c>
      <c r="BT239">
        <f t="shared" si="76"/>
        <v>11.802252194381213</v>
      </c>
      <c r="BV239">
        <f t="shared" si="77"/>
        <v>-92.972313050296862</v>
      </c>
      <c r="BX239">
        <f t="shared" si="78"/>
        <v>49.966467726221865</v>
      </c>
      <c r="CB239">
        <f t="shared" si="79"/>
        <v>66061.611542903265</v>
      </c>
      <c r="CD239">
        <f t="shared" si="80"/>
        <v>95573.368046123418</v>
      </c>
      <c r="CF239">
        <f t="shared" si="81"/>
        <v>69353.883704863314</v>
      </c>
    </row>
    <row r="240" spans="12:84" x14ac:dyDescent="0.25">
      <c r="L240">
        <v>229</v>
      </c>
      <c r="M240">
        <f t="shared" si="93"/>
        <v>1.438849435344133</v>
      </c>
      <c r="P240">
        <f t="shared" si="87"/>
        <v>20657.821795461376</v>
      </c>
      <c r="Q240">
        <f t="shared" si="88"/>
        <v>12456.538155347538</v>
      </c>
      <c r="V240">
        <f t="shared" si="89"/>
        <v>-19539.524743177037</v>
      </c>
      <c r="W240">
        <f t="shared" si="90"/>
        <v>13469.576708743276</v>
      </c>
      <c r="AB240">
        <f t="shared" si="91"/>
        <v>-4342.1782045386253</v>
      </c>
      <c r="AC240">
        <f t="shared" si="92"/>
        <v>-10043.461844652462</v>
      </c>
      <c r="AW240">
        <v>233</v>
      </c>
      <c r="AX240">
        <f t="shared" si="82"/>
        <v>116.5</v>
      </c>
      <c r="AZ240">
        <f t="shared" si="83"/>
        <v>56766.692694366604</v>
      </c>
      <c r="BB240">
        <f t="shared" si="84"/>
        <v>-48313.627501864205</v>
      </c>
      <c r="BD240">
        <f t="shared" si="85"/>
        <v>1309.8652845802885</v>
      </c>
      <c r="BF240">
        <f t="shared" si="86"/>
        <v>-923.56335187968409</v>
      </c>
      <c r="BH240">
        <f t="shared" si="71"/>
        <v>-168.43718113527197</v>
      </c>
      <c r="BJ240">
        <f t="shared" si="72"/>
        <v>155.25597374241312</v>
      </c>
      <c r="BN240" s="20">
        <f t="shared" si="73"/>
        <v>-62.375451372830909</v>
      </c>
      <c r="BP240">
        <f t="shared" si="74"/>
        <v>94.688968548896682</v>
      </c>
      <c r="BR240">
        <f t="shared" si="75"/>
        <v>-15.267349346251304</v>
      </c>
      <c r="BT240">
        <f t="shared" si="76"/>
        <v>11.597406263972882</v>
      </c>
      <c r="BV240">
        <f t="shared" si="77"/>
        <v>-90.794380416189753</v>
      </c>
      <c r="BX240">
        <f t="shared" si="78"/>
        <v>48.969598929543544</v>
      </c>
      <c r="CB240">
        <f t="shared" si="79"/>
        <v>66835.250479061142</v>
      </c>
      <c r="CD240">
        <f t="shared" si="80"/>
        <v>96403.341537819593</v>
      </c>
      <c r="CF240">
        <f t="shared" si="81"/>
        <v>70177.789247975626</v>
      </c>
    </row>
    <row r="241" spans="12:84" x14ac:dyDescent="0.25">
      <c r="L241">
        <v>230</v>
      </c>
      <c r="M241">
        <f t="shared" si="93"/>
        <v>1.4451326206513126</v>
      </c>
      <c r="P241">
        <f t="shared" si="87"/>
        <v>20626.666167821484</v>
      </c>
      <c r="Q241">
        <f t="shared" si="88"/>
        <v>12460.573506572393</v>
      </c>
      <c r="V241">
        <f t="shared" si="89"/>
        <v>-19561.333682524961</v>
      </c>
      <c r="W241">
        <f t="shared" si="90"/>
        <v>13472.401454600677</v>
      </c>
      <c r="AB241">
        <f t="shared" si="91"/>
        <v>-4373.3338321785177</v>
      </c>
      <c r="AC241">
        <f t="shared" si="92"/>
        <v>-10039.426493427607</v>
      </c>
      <c r="AW241">
        <v>234</v>
      </c>
      <c r="AX241">
        <f t="shared" si="82"/>
        <v>117</v>
      </c>
      <c r="AZ241">
        <f t="shared" si="83"/>
        <v>57400.570689014836</v>
      </c>
      <c r="BB241">
        <f t="shared" si="84"/>
        <v>-48756.002181086245</v>
      </c>
      <c r="BD241">
        <f t="shared" si="85"/>
        <v>1225.6466940126525</v>
      </c>
      <c r="BF241">
        <f t="shared" si="86"/>
        <v>-845.93536500847756</v>
      </c>
      <c r="BH241">
        <f t="shared" si="71"/>
        <v>-165.3576622088363</v>
      </c>
      <c r="BJ241">
        <f t="shared" si="72"/>
        <v>151.95698745742979</v>
      </c>
      <c r="BN241" s="20">
        <f t="shared" si="73"/>
        <v>-61.489820694496096</v>
      </c>
      <c r="BP241">
        <f t="shared" si="74"/>
        <v>92.489804924826728</v>
      </c>
      <c r="BR241">
        <f t="shared" si="75"/>
        <v>-15.031154558600154</v>
      </c>
      <c r="BT241">
        <f t="shared" si="76"/>
        <v>11.410388091036392</v>
      </c>
      <c r="BV241">
        <f t="shared" si="77"/>
        <v>-88.836686955740035</v>
      </c>
      <c r="BX241">
        <f t="shared" si="78"/>
        <v>48.056794441566666</v>
      </c>
      <c r="CB241">
        <f t="shared" si="79"/>
        <v>67553.981890502764</v>
      </c>
      <c r="CD241">
        <f t="shared" si="80"/>
        <v>97175.697246219919</v>
      </c>
      <c r="CF241">
        <f t="shared" si="81"/>
        <v>70945.746211906444</v>
      </c>
    </row>
    <row r="242" spans="12:84" x14ac:dyDescent="0.25">
      <c r="L242">
        <v>231</v>
      </c>
      <c r="M242">
        <f t="shared" si="93"/>
        <v>1.4514158059584923</v>
      </c>
      <c r="P242">
        <f t="shared" si="87"/>
        <v>20595.485800474311</v>
      </c>
      <c r="Q242">
        <f t="shared" si="88"/>
        <v>12464.413022849072</v>
      </c>
      <c r="V242">
        <f t="shared" si="89"/>
        <v>-19583.159939667981</v>
      </c>
      <c r="W242">
        <f t="shared" si="90"/>
        <v>13475.089115994351</v>
      </c>
      <c r="AB242">
        <f t="shared" si="91"/>
        <v>-4404.5141995256899</v>
      </c>
      <c r="AC242">
        <f t="shared" si="92"/>
        <v>-10035.586977150928</v>
      </c>
      <c r="AW242">
        <v>235</v>
      </c>
      <c r="AX242">
        <f t="shared" si="82"/>
        <v>117.5</v>
      </c>
      <c r="AZ242">
        <f t="shared" si="83"/>
        <v>57992.724328245058</v>
      </c>
      <c r="BB242">
        <f t="shared" si="84"/>
        <v>-49159.97524015831</v>
      </c>
      <c r="BD242">
        <f t="shared" si="85"/>
        <v>1142.9678629082343</v>
      </c>
      <c r="BF242">
        <f t="shared" si="86"/>
        <v>-769.95687127976271</v>
      </c>
      <c r="BH242">
        <f t="shared" si="71"/>
        <v>-162.59024474578899</v>
      </c>
      <c r="BJ242">
        <f t="shared" si="72"/>
        <v>148.97526452800605</v>
      </c>
      <c r="BN242" s="20">
        <f t="shared" si="73"/>
        <v>-60.692875443338139</v>
      </c>
      <c r="BP242">
        <f t="shared" si="74"/>
        <v>90.513562285318685</v>
      </c>
      <c r="BR242">
        <f t="shared" si="75"/>
        <v>-14.817940013619971</v>
      </c>
      <c r="BT242">
        <f t="shared" si="76"/>
        <v>11.239881307729076</v>
      </c>
      <c r="BV242">
        <f t="shared" si="77"/>
        <v>-87.079429288830866</v>
      </c>
      <c r="BX242">
        <f t="shared" si="78"/>
        <v>47.221820934958295</v>
      </c>
      <c r="CB242">
        <f t="shared" si="79"/>
        <v>68218.764985137153</v>
      </c>
      <c r="CD242">
        <f t="shared" si="80"/>
        <v>97891.612094999102</v>
      </c>
      <c r="CF242">
        <f t="shared" si="81"/>
        <v>71658.825183661116</v>
      </c>
    </row>
    <row r="243" spans="12:84" x14ac:dyDescent="0.25">
      <c r="L243">
        <v>232</v>
      </c>
      <c r="M243">
        <f t="shared" si="93"/>
        <v>1.4576989912656719</v>
      </c>
      <c r="P243">
        <f t="shared" si="87"/>
        <v>20564.281924367369</v>
      </c>
      <c r="Q243">
        <f t="shared" si="88"/>
        <v>12468.056552600046</v>
      </c>
      <c r="V243">
        <f t="shared" si="89"/>
        <v>-19605.002652942843</v>
      </c>
      <c r="W243">
        <f t="shared" si="90"/>
        <v>13477.639586820032</v>
      </c>
      <c r="AB243">
        <f t="shared" si="91"/>
        <v>-4435.7180756326306</v>
      </c>
      <c r="AC243">
        <f t="shared" si="92"/>
        <v>-10031.943447399954</v>
      </c>
      <c r="AW243">
        <v>236</v>
      </c>
      <c r="AX243">
        <f t="shared" si="82"/>
        <v>118</v>
      </c>
      <c r="AZ243">
        <f t="shared" si="83"/>
        <v>58543.884479105953</v>
      </c>
      <c r="BB243">
        <f t="shared" si="84"/>
        <v>-49526.33176773219</v>
      </c>
      <c r="BD243">
        <f t="shared" si="85"/>
        <v>1061.6727405353399</v>
      </c>
      <c r="BF243">
        <f t="shared" si="86"/>
        <v>-695.46923901575974</v>
      </c>
      <c r="BH243">
        <f t="shared" si="71"/>
        <v>-160.11147164402786</v>
      </c>
      <c r="BJ243">
        <f t="shared" si="72"/>
        <v>146.28495277470239</v>
      </c>
      <c r="BN243" s="20">
        <f t="shared" si="73"/>
        <v>-59.979750188896574</v>
      </c>
      <c r="BP243">
        <f t="shared" si="74"/>
        <v>88.741059180785825</v>
      </c>
      <c r="BR243">
        <f t="shared" si="75"/>
        <v>-14.626100315797212</v>
      </c>
      <c r="BT243">
        <f t="shared" si="76"/>
        <v>11.084734421276075</v>
      </c>
      <c r="BV243">
        <f t="shared" si="77"/>
        <v>-85.505621139334053</v>
      </c>
      <c r="BX243">
        <f t="shared" si="78"/>
        <v>46.459159172640483</v>
      </c>
      <c r="CB243">
        <f t="shared" si="79"/>
        <v>68830.469601929392</v>
      </c>
      <c r="CD243">
        <f t="shared" si="80"/>
        <v>98552.148443295053</v>
      </c>
      <c r="CF243">
        <f t="shared" si="81"/>
        <v>72317.998036653895</v>
      </c>
    </row>
    <row r="244" spans="12:84" x14ac:dyDescent="0.25">
      <c r="L244">
        <v>233</v>
      </c>
      <c r="M244">
        <f t="shared" si="93"/>
        <v>1.4639821765728516</v>
      </c>
      <c r="P244">
        <f t="shared" si="87"/>
        <v>20533.055771376261</v>
      </c>
      <c r="Q244">
        <f t="shared" si="88"/>
        <v>12471.503951985</v>
      </c>
      <c r="V244">
        <f t="shared" si="89"/>
        <v>-19626.860960036618</v>
      </c>
      <c r="W244">
        <f t="shared" si="90"/>
        <v>13480.052766389499</v>
      </c>
      <c r="AB244">
        <f t="shared" si="91"/>
        <v>-4466.9442286237399</v>
      </c>
      <c r="AC244">
        <f t="shared" si="92"/>
        <v>-10028.496048015</v>
      </c>
      <c r="AW244">
        <v>237</v>
      </c>
      <c r="AX244">
        <f t="shared" si="82"/>
        <v>118.5</v>
      </c>
      <c r="AZ244">
        <f t="shared" si="83"/>
        <v>59054.706915418123</v>
      </c>
      <c r="BB244">
        <f t="shared" si="84"/>
        <v>-49855.780768143231</v>
      </c>
      <c r="BD244">
        <f t="shared" si="85"/>
        <v>981.61700471332597</v>
      </c>
      <c r="BF244">
        <f t="shared" si="86"/>
        <v>-622.32676262840857</v>
      </c>
      <c r="BH244">
        <f t="shared" si="71"/>
        <v>-157.90107100672927</v>
      </c>
      <c r="BJ244">
        <f t="shared" si="72"/>
        <v>143.86368412348568</v>
      </c>
      <c r="BN244" s="20">
        <f t="shared" si="73"/>
        <v>-59.346155618453665</v>
      </c>
      <c r="BP244">
        <f t="shared" si="74"/>
        <v>87.15582217672106</v>
      </c>
      <c r="BR244">
        <f t="shared" si="75"/>
        <v>-14.454241774529777</v>
      </c>
      <c r="BT244">
        <f t="shared" si="76"/>
        <v>10.943939463992333</v>
      </c>
      <c r="BV244">
        <f t="shared" si="77"/>
        <v>-84.100673613745826</v>
      </c>
      <c r="BX244">
        <f t="shared" si="78"/>
        <v>45.763922482772287</v>
      </c>
      <c r="CB244">
        <f t="shared" si="79"/>
        <v>69389.881969726091</v>
      </c>
      <c r="CD244">
        <f t="shared" si="80"/>
        <v>99158.263280710409</v>
      </c>
      <c r="CF244">
        <f t="shared" si="81"/>
        <v>72924.145047967337</v>
      </c>
    </row>
    <row r="245" spans="12:84" x14ac:dyDescent="0.25">
      <c r="L245">
        <v>234</v>
      </c>
      <c r="M245">
        <f t="shared" si="93"/>
        <v>1.4702653618800312</v>
      </c>
      <c r="P245">
        <f t="shared" si="87"/>
        <v>20501.808574256036</v>
      </c>
      <c r="Q245">
        <f t="shared" si="88"/>
        <v>12474.755084906505</v>
      </c>
      <c r="V245">
        <f t="shared" si="89"/>
        <v>-19648.733998020776</v>
      </c>
      <c r="W245">
        <f t="shared" si="90"/>
        <v>13482.328559434554</v>
      </c>
      <c r="AB245">
        <f t="shared" si="91"/>
        <v>-4498.1914257439648</v>
      </c>
      <c r="AC245">
        <f t="shared" si="92"/>
        <v>-10025.244915093495</v>
      </c>
      <c r="AW245">
        <v>238</v>
      </c>
      <c r="AX245">
        <f t="shared" si="82"/>
        <v>119</v>
      </c>
      <c r="AZ245">
        <f t="shared" si="83"/>
        <v>59525.777783898942</v>
      </c>
      <c r="BB245">
        <f t="shared" si="84"/>
        <v>-50148.961188941998</v>
      </c>
      <c r="BD245">
        <f t="shared" si="85"/>
        <v>902.66646920996129</v>
      </c>
      <c r="BF245">
        <f t="shared" si="86"/>
        <v>-550.39492056666575</v>
      </c>
      <c r="BH245">
        <f t="shared" si="71"/>
        <v>-155.94154361738012</v>
      </c>
      <c r="BJ245">
        <f t="shared" si="72"/>
        <v>141.6921005605019</v>
      </c>
      <c r="BN245" s="20">
        <f t="shared" si="73"/>
        <v>-58.788335133180432</v>
      </c>
      <c r="BP245">
        <f t="shared" si="74"/>
        <v>85.743700452513252</v>
      </c>
      <c r="BR245">
        <f t="shared" si="75"/>
        <v>-14.30115564150312</v>
      </c>
      <c r="BT245">
        <f t="shared" si="76"/>
        <v>10.816614179810626</v>
      </c>
      <c r="BV245">
        <f t="shared" si="77"/>
        <v>-82.852052842696565</v>
      </c>
      <c r="BX245">
        <f t="shared" si="78"/>
        <v>45.131785928178033</v>
      </c>
      <c r="CB245">
        <f t="shared" si="79"/>
        <v>69897.709802155179</v>
      </c>
      <c r="CD245">
        <f t="shared" si="80"/>
        <v>99710.816184819807</v>
      </c>
      <c r="CF245">
        <f t="shared" si="81"/>
        <v>73478.061156231241</v>
      </c>
    </row>
    <row r="246" spans="12:84" x14ac:dyDescent="0.25">
      <c r="L246">
        <v>235</v>
      </c>
      <c r="M246">
        <f t="shared" si="93"/>
        <v>1.4765485471872108</v>
      </c>
      <c r="P246">
        <f t="shared" si="87"/>
        <v>20470.541566592532</v>
      </c>
      <c r="Q246">
        <f t="shared" si="88"/>
        <v>12477.809823015403</v>
      </c>
      <c r="V246">
        <f t="shared" si="89"/>
        <v>-19670.620903385228</v>
      </c>
      <c r="W246">
        <f t="shared" si="90"/>
        <v>13484.466876110782</v>
      </c>
      <c r="AB246">
        <f t="shared" si="91"/>
        <v>-4529.458433407468</v>
      </c>
      <c r="AC246">
        <f t="shared" si="92"/>
        <v>-10022.190176984597</v>
      </c>
      <c r="AW246">
        <v>239</v>
      </c>
      <c r="AX246">
        <f t="shared" si="82"/>
        <v>119.5</v>
      </c>
      <c r="AZ246">
        <f t="shared" si="83"/>
        <v>59957.618325551746</v>
      </c>
      <c r="BB246">
        <f t="shared" si="84"/>
        <v>-50406.447136655268</v>
      </c>
      <c r="BD246">
        <f t="shared" si="85"/>
        <v>824.69569740127122</v>
      </c>
      <c r="BF246">
        <f t="shared" si="86"/>
        <v>-479.5488702864148</v>
      </c>
      <c r="BH246">
        <f t="shared" si="71"/>
        <v>-154.21782123772789</v>
      </c>
      <c r="BJ246">
        <f t="shared" si="72"/>
        <v>139.75346217715864</v>
      </c>
      <c r="BN246" s="20">
        <f t="shared" si="73"/>
        <v>-58.303025604822977</v>
      </c>
      <c r="BP246">
        <f t="shared" si="74"/>
        <v>84.492550146158436</v>
      </c>
      <c r="BR246">
        <f t="shared" si="75"/>
        <v>-14.165795905765078</v>
      </c>
      <c r="BT246">
        <f t="shared" si="76"/>
        <v>10.701987120804366</v>
      </c>
      <c r="BV246">
        <f t="shared" si="77"/>
        <v>-81.748999727139818</v>
      </c>
      <c r="BX246">
        <f t="shared" si="78"/>
        <v>44.558924910195849</v>
      </c>
      <c r="CB246">
        <f t="shared" si="79"/>
        <v>70354.586788927409</v>
      </c>
      <c r="CD246">
        <f t="shared" si="80"/>
        <v>100210.5762081435</v>
      </c>
      <c r="CF246">
        <f t="shared" si="81"/>
        <v>73980.461456852383</v>
      </c>
    </row>
    <row r="247" spans="12:84" x14ac:dyDescent="0.25">
      <c r="L247">
        <v>236</v>
      </c>
      <c r="M247">
        <f t="shared" si="93"/>
        <v>1.4828317324943905</v>
      </c>
      <c r="P247">
        <f t="shared" si="87"/>
        <v>20439.255982753675</v>
      </c>
      <c r="Q247">
        <f t="shared" si="88"/>
        <v>12480.668045715865</v>
      </c>
      <c r="V247">
        <f t="shared" si="89"/>
        <v>-19692.520812072427</v>
      </c>
      <c r="W247">
        <f t="shared" si="90"/>
        <v>13486.467632001106</v>
      </c>
      <c r="AB247">
        <f t="shared" si="91"/>
        <v>-4560.7440172463248</v>
      </c>
      <c r="AC247">
        <f t="shared" si="92"/>
        <v>-10019.331954284135</v>
      </c>
      <c r="AW247">
        <v>240</v>
      </c>
      <c r="AX247">
        <f t="shared" si="82"/>
        <v>120</v>
      </c>
      <c r="AZ247">
        <f t="shared" si="83"/>
        <v>60350.688946597664</v>
      </c>
      <c r="BB247">
        <f t="shared" si="84"/>
        <v>-50628.752389026326</v>
      </c>
      <c r="BD247">
        <f t="shared" si="85"/>
        <v>747.58678678240722</v>
      </c>
      <c r="BF247">
        <f t="shared" si="86"/>
        <v>-409.67213919783546</v>
      </c>
      <c r="BH247">
        <f t="shared" si="71"/>
        <v>-152.71698340099505</v>
      </c>
      <c r="BJ247">
        <f t="shared" si="72"/>
        <v>138.03332248425335</v>
      </c>
      <c r="BN247" s="20">
        <f t="shared" si="73"/>
        <v>-57.887422611073433</v>
      </c>
      <c r="BP247">
        <f t="shared" si="74"/>
        <v>83.391975285758747</v>
      </c>
      <c r="BR247">
        <f t="shared" si="75"/>
        <v>-14.047260847130161</v>
      </c>
      <c r="BT247">
        <f t="shared" si="76"/>
        <v>10.599385155374968</v>
      </c>
      <c r="BV247">
        <f t="shared" si="77"/>
        <v>-80.78229994279144</v>
      </c>
      <c r="BX247">
        <f t="shared" si="78"/>
        <v>44.041962043119625</v>
      </c>
      <c r="CB247">
        <f t="shared" si="79"/>
        <v>70761.076537668734</v>
      </c>
      <c r="CD247">
        <f t="shared" si="80"/>
        <v>100658.22783281433</v>
      </c>
      <c r="CF247">
        <f t="shared" si="81"/>
        <v>74431.986018065596</v>
      </c>
    </row>
    <row r="248" spans="12:84" x14ac:dyDescent="0.25">
      <c r="L248">
        <v>237</v>
      </c>
      <c r="M248">
        <f t="shared" si="93"/>
        <v>1.4891149178015701</v>
      </c>
      <c r="P248">
        <f t="shared" si="87"/>
        <v>20407.953057840747</v>
      </c>
      <c r="Q248">
        <f t="shared" si="88"/>
        <v>12483.329640170152</v>
      </c>
      <c r="V248">
        <f t="shared" si="89"/>
        <v>-19714.432859511478</v>
      </c>
      <c r="W248">
        <f t="shared" si="90"/>
        <v>13488.330748119108</v>
      </c>
      <c r="AB248">
        <f t="shared" si="91"/>
        <v>-4592.0469421592525</v>
      </c>
      <c r="AC248">
        <f t="shared" si="92"/>
        <v>-10016.670359829848</v>
      </c>
      <c r="AW248">
        <v>241</v>
      </c>
      <c r="AX248">
        <f t="shared" si="82"/>
        <v>120.5</v>
      </c>
      <c r="AZ248">
        <f t="shared" si="83"/>
        <v>60705.392717063747</v>
      </c>
      <c r="BB248">
        <f t="shared" si="84"/>
        <v>-50816.334293314714</v>
      </c>
      <c r="BD248">
        <f t="shared" si="85"/>
        <v>671.22829508190966</v>
      </c>
      <c r="BF248">
        <f t="shared" si="86"/>
        <v>-340.65547795570876</v>
      </c>
      <c r="BH248">
        <f t="shared" si="71"/>
        <v>-151.4280229000434</v>
      </c>
      <c r="BJ248">
        <f t="shared" si="72"/>
        <v>136.51925926060107</v>
      </c>
      <c r="BN248" s="20">
        <f t="shared" si="73"/>
        <v>-57.539150228355822</v>
      </c>
      <c r="BP248">
        <f t="shared" si="74"/>
        <v>82.433115017299315</v>
      </c>
      <c r="BR248">
        <f t="shared" si="75"/>
        <v>-13.944777715025033</v>
      </c>
      <c r="BT248">
        <f t="shared" si="76"/>
        <v>10.50822298995663</v>
      </c>
      <c r="BV248">
        <f t="shared" si="77"/>
        <v>-79.944094956662568</v>
      </c>
      <c r="BX248">
        <f t="shared" si="78"/>
        <v>43.577921253345139</v>
      </c>
      <c r="CB248">
        <f t="shared" si="79"/>
        <v>71117.676014195094</v>
      </c>
      <c r="CD248">
        <f t="shared" si="80"/>
        <v>101054.37610757732</v>
      </c>
      <c r="CF248">
        <f t="shared" si="81"/>
        <v>74833.204089588762</v>
      </c>
    </row>
    <row r="249" spans="12:84" x14ac:dyDescent="0.25">
      <c r="L249">
        <v>238</v>
      </c>
      <c r="M249">
        <f t="shared" si="93"/>
        <v>1.4953981031087498</v>
      </c>
      <c r="P249">
        <f t="shared" si="87"/>
        <v>20376.634027639622</v>
      </c>
      <c r="Q249">
        <f t="shared" si="88"/>
        <v>12485.794501303073</v>
      </c>
      <c r="V249">
        <f t="shared" si="89"/>
        <v>-19736.356180652263</v>
      </c>
      <c r="W249">
        <f t="shared" si="90"/>
        <v>13490.056150912151</v>
      </c>
      <c r="AB249">
        <f t="shared" si="91"/>
        <v>-4623.3659723603769</v>
      </c>
      <c r="AC249">
        <f t="shared" si="92"/>
        <v>-10014.205498696927</v>
      </c>
      <c r="AW249">
        <v>242</v>
      </c>
      <c r="AX249">
        <f t="shared" si="82"/>
        <v>121</v>
      </c>
      <c r="AZ249">
        <f t="shared" si="83"/>
        <v>61022.078361742191</v>
      </c>
      <c r="BB249">
        <f t="shared" si="84"/>
        <v>-50969.597124884989</v>
      </c>
      <c r="BD249">
        <f t="shared" si="85"/>
        <v>595.51428363188802</v>
      </c>
      <c r="BF249">
        <f t="shared" si="86"/>
        <v>-272.39584832540822</v>
      </c>
      <c r="BH249">
        <f t="shared" si="71"/>
        <v>-150.34165216680486</v>
      </c>
      <c r="BJ249">
        <f t="shared" si="72"/>
        <v>135.20065161885029</v>
      </c>
      <c r="BN249" s="20">
        <f t="shared" si="73"/>
        <v>-57.256235327997906</v>
      </c>
      <c r="BP249">
        <f t="shared" si="74"/>
        <v>81.6084690540157</v>
      </c>
      <c r="BR249">
        <f t="shared" si="75"/>
        <v>-13.857690030160574</v>
      </c>
      <c r="BT249">
        <f t="shared" si="76"/>
        <v>10.427994385038854</v>
      </c>
      <c r="BV249">
        <f t="shared" si="77"/>
        <v>-79.227726808646366</v>
      </c>
      <c r="BX249">
        <f t="shared" si="78"/>
        <v>43.16418817979573</v>
      </c>
      <c r="CB249">
        <f t="shared" si="79"/>
        <v>71424.818523138558</v>
      </c>
      <c r="CD249">
        <f t="shared" si="80"/>
        <v>101399.55106225607</v>
      </c>
      <c r="CF249">
        <f t="shared" si="81"/>
        <v>75184.617765408388</v>
      </c>
    </row>
    <row r="250" spans="12:84" x14ac:dyDescent="0.25">
      <c r="L250">
        <v>239</v>
      </c>
      <c r="M250">
        <f t="shared" si="93"/>
        <v>1.5016812884159294</v>
      </c>
      <c r="P250">
        <f t="shared" si="87"/>
        <v>20345.300128571987</v>
      </c>
      <c r="Q250">
        <f t="shared" si="88"/>
        <v>12488.062531806128</v>
      </c>
      <c r="V250">
        <f t="shared" si="89"/>
        <v>-19758.28990999961</v>
      </c>
      <c r="W250">
        <f t="shared" si="90"/>
        <v>13491.643772264291</v>
      </c>
      <c r="AB250">
        <f t="shared" si="91"/>
        <v>-4654.6998714280126</v>
      </c>
      <c r="AC250">
        <f t="shared" si="92"/>
        <v>-10011.937468193872</v>
      </c>
      <c r="AW250">
        <v>243</v>
      </c>
      <c r="AX250">
        <f t="shared" si="82"/>
        <v>121.5</v>
      </c>
      <c r="AZ250">
        <f t="shared" si="83"/>
        <v>61301.042797037284</v>
      </c>
      <c r="BB250">
        <f t="shared" si="84"/>
        <v>-51088.894967595341</v>
      </c>
      <c r="BD250">
        <f t="shared" si="85"/>
        <v>520.34345754848562</v>
      </c>
      <c r="BF250">
        <f t="shared" si="86"/>
        <v>-204.79552251598307</v>
      </c>
      <c r="BH250">
        <f t="shared" si="71"/>
        <v>-149.45014432923421</v>
      </c>
      <c r="BJ250">
        <f t="shared" si="72"/>
        <v>134.06849587867737</v>
      </c>
      <c r="BN250" s="20">
        <f t="shared" si="73"/>
        <v>-57.037086258024026</v>
      </c>
      <c r="BP250">
        <f t="shared" si="74"/>
        <v>80.911754999773606</v>
      </c>
      <c r="BR250">
        <f t="shared" si="75"/>
        <v>-13.78544710928978</v>
      </c>
      <c r="BT250">
        <f t="shared" si="76"/>
        <v>10.358264809014637</v>
      </c>
      <c r="BV250">
        <f t="shared" si="77"/>
        <v>-78.627610961920411</v>
      </c>
      <c r="BX250">
        <f t="shared" si="78"/>
        <v>42.798476069889105</v>
      </c>
      <c r="CB250">
        <f t="shared" si="79"/>
        <v>71682.876265162689</v>
      </c>
      <c r="CD250">
        <f t="shared" si="80"/>
        <v>101694.21147856738</v>
      </c>
      <c r="CF250">
        <f t="shared" si="81"/>
        <v>75486.665153235488</v>
      </c>
    </row>
    <row r="251" spans="12:84" x14ac:dyDescent="0.25">
      <c r="L251">
        <v>240</v>
      </c>
      <c r="M251">
        <f t="shared" si="93"/>
        <v>1.507964473723109</v>
      </c>
      <c r="P251">
        <f t="shared" si="87"/>
        <v>20313.952597646527</v>
      </c>
      <c r="Q251">
        <f t="shared" si="88"/>
        <v>12490.133642141362</v>
      </c>
      <c r="V251">
        <f t="shared" si="89"/>
        <v>-19780.233181647433</v>
      </c>
      <c r="W251">
        <f t="shared" si="90"/>
        <v>13493.093549498954</v>
      </c>
      <c r="AB251">
        <f t="shared" si="91"/>
        <v>-4686.0474023534744</v>
      </c>
      <c r="AC251">
        <f t="shared" si="92"/>
        <v>-10009.866357858638</v>
      </c>
      <c r="AW251">
        <v>244</v>
      </c>
      <c r="AX251">
        <f t="shared" si="82"/>
        <v>122</v>
      </c>
      <c r="AZ251">
        <f t="shared" si="83"/>
        <v>61542.533257770374</v>
      </c>
      <c r="BB251">
        <f t="shared" si="84"/>
        <v>-51174.5341668685</v>
      </c>
      <c r="BD251">
        <f t="shared" si="85"/>
        <v>445.61838538386849</v>
      </c>
      <c r="BF251">
        <f t="shared" si="86"/>
        <v>-137.76127457664438</v>
      </c>
      <c r="BH251">
        <f t="shared" si="71"/>
        <v>-148.74720400996483</v>
      </c>
      <c r="BJ251">
        <f t="shared" si="72"/>
        <v>133.11525435594396</v>
      </c>
      <c r="BN251" s="20">
        <f t="shared" si="73"/>
        <v>-56.880475773946401</v>
      </c>
      <c r="BP251">
        <f t="shared" si="74"/>
        <v>80.337792558712081</v>
      </c>
      <c r="BR251">
        <f t="shared" si="75"/>
        <v>-13.727595495407609</v>
      </c>
      <c r="BT251">
        <f t="shared" si="76"/>
        <v>10.298665323630209</v>
      </c>
      <c r="BV251">
        <f t="shared" si="77"/>
        <v>-78.139132740610805</v>
      </c>
      <c r="BX251">
        <f t="shared" si="78"/>
        <v>42.478796473601669</v>
      </c>
      <c r="CB251">
        <f t="shared" si="79"/>
        <v>71892.162501707906</v>
      </c>
      <c r="CD251">
        <f t="shared" si="80"/>
        <v>101938.7480825027</v>
      </c>
      <c r="CF251">
        <f t="shared" si="81"/>
        <v>75739.723095291367</v>
      </c>
    </row>
    <row r="252" spans="12:84" x14ac:dyDescent="0.25">
      <c r="L252">
        <v>241</v>
      </c>
      <c r="M252">
        <f t="shared" si="93"/>
        <v>1.5142476590302887</v>
      </c>
      <c r="P252">
        <f t="shared" si="87"/>
        <v>20282.592672410083</v>
      </c>
      <c r="Q252">
        <f t="shared" si="88"/>
        <v>12492.007750544877</v>
      </c>
      <c r="V252">
        <f t="shared" si="89"/>
        <v>-19802.185129312944</v>
      </c>
      <c r="W252">
        <f t="shared" si="90"/>
        <v>13494.405425381414</v>
      </c>
      <c r="AB252">
        <f t="shared" si="91"/>
        <v>-4717.4073275899191</v>
      </c>
      <c r="AC252">
        <f t="shared" si="92"/>
        <v>-10007.992249455123</v>
      </c>
      <c r="AW252">
        <v>245</v>
      </c>
      <c r="AX252">
        <f t="shared" si="82"/>
        <v>122.5</v>
      </c>
      <c r="AZ252">
        <f t="shared" si="83"/>
        <v>61746.749049961065</v>
      </c>
      <c r="BB252">
        <f t="shared" si="84"/>
        <v>-51226.775397362326</v>
      </c>
      <c r="BD252">
        <f t="shared" si="85"/>
        <v>371.24478337888604</v>
      </c>
      <c r="BF252">
        <f t="shared" si="86"/>
        <v>-71.203647398672402</v>
      </c>
      <c r="BH252">
        <f t="shared" si="71"/>
        <v>-148.22786396930712</v>
      </c>
      <c r="BJ252">
        <f t="shared" si="72"/>
        <v>132.3347323971058</v>
      </c>
      <c r="BN252" s="20">
        <f t="shared" si="73"/>
        <v>-56.78552809237312</v>
      </c>
      <c r="BP252">
        <f t="shared" si="74"/>
        <v>79.882410726411152</v>
      </c>
      <c r="BR252">
        <f t="shared" si="75"/>
        <v>-13.683772042003673</v>
      </c>
      <c r="BT252">
        <f t="shared" si="76"/>
        <v>10.248887535483759</v>
      </c>
      <c r="BV252">
        <f t="shared" si="77"/>
        <v>-77.758563834930314</v>
      </c>
      <c r="BX252">
        <f t="shared" si="78"/>
        <v>42.203434135210877</v>
      </c>
      <c r="CB252">
        <f t="shared" si="79"/>
        <v>72052.933353283166</v>
      </c>
      <c r="CD252">
        <f t="shared" si="80"/>
        <v>102133.48621189999</v>
      </c>
      <c r="CF252">
        <f t="shared" si="81"/>
        <v>75944.109478151207</v>
      </c>
    </row>
    <row r="253" spans="12:84" x14ac:dyDescent="0.25">
      <c r="L253">
        <v>242</v>
      </c>
      <c r="M253">
        <f t="shared" si="93"/>
        <v>1.5205308443374683</v>
      </c>
      <c r="P253">
        <f t="shared" si="87"/>
        <v>20251.221590898807</v>
      </c>
      <c r="Q253">
        <f t="shared" si="88"/>
        <v>12493.68478303009</v>
      </c>
      <c r="V253">
        <f t="shared" si="89"/>
        <v>-19824.144886370836</v>
      </c>
      <c r="W253">
        <f t="shared" si="90"/>
        <v>13495.579348121062</v>
      </c>
      <c r="AB253">
        <f t="shared" si="91"/>
        <v>-4748.7784091011945</v>
      </c>
      <c r="AC253">
        <f t="shared" si="92"/>
        <v>-10006.31521696991</v>
      </c>
      <c r="AW253">
        <v>246</v>
      </c>
      <c r="AX253">
        <f t="shared" si="82"/>
        <v>123</v>
      </c>
      <c r="AZ253">
        <f t="shared" si="83"/>
        <v>61913.84295865435</v>
      </c>
      <c r="BB253">
        <f t="shared" si="84"/>
        <v>-51245.83537951202</v>
      </c>
      <c r="BD253">
        <f t="shared" si="85"/>
        <v>297.13085139423248</v>
      </c>
      <c r="BF253">
        <f t="shared" si="86"/>
        <v>-5.0362812001195039</v>
      </c>
      <c r="BH253">
        <f t="shared" si="71"/>
        <v>-147.8884045504675</v>
      </c>
      <c r="BJ253">
        <f t="shared" si="72"/>
        <v>131.72197998137563</v>
      </c>
      <c r="BN253" s="20">
        <f t="shared" si="73"/>
        <v>-56.751709971291689</v>
      </c>
      <c r="BP253">
        <f t="shared" si="74"/>
        <v>79.542374932502454</v>
      </c>
      <c r="BR253">
        <f t="shared" si="75"/>
        <v>-13.653698454193872</v>
      </c>
      <c r="BT253">
        <f t="shared" si="76"/>
        <v>10.208679481307453</v>
      </c>
      <c r="BV253">
        <f t="shared" si="77"/>
        <v>-77.482996124981952</v>
      </c>
      <c r="BX253">
        <f t="shared" si="78"/>
        <v>41.970925567565722</v>
      </c>
      <c r="CB253">
        <f t="shared" si="79"/>
        <v>72165.389252739886</v>
      </c>
      <c r="CD253">
        <f t="shared" si="80"/>
        <v>102278.68800287464</v>
      </c>
      <c r="CF253">
        <f t="shared" si="81"/>
        <v>76100.08516325157</v>
      </c>
    </row>
    <row r="254" spans="12:84" x14ac:dyDescent="0.25">
      <c r="L254">
        <v>243</v>
      </c>
      <c r="M254">
        <f t="shared" si="93"/>
        <v>1.526814029644648</v>
      </c>
      <c r="P254">
        <f t="shared" si="87"/>
        <v>20219.840591589284</v>
      </c>
      <c r="Q254">
        <f t="shared" si="88"/>
        <v>12495.164673390625</v>
      </c>
      <c r="V254">
        <f t="shared" si="89"/>
        <v>-19846.111585887502</v>
      </c>
      <c r="W254">
        <f t="shared" si="90"/>
        <v>13496.615271373437</v>
      </c>
      <c r="AB254">
        <f t="shared" si="91"/>
        <v>-4780.1594084107173</v>
      </c>
      <c r="AC254">
        <f t="shared" si="92"/>
        <v>-10004.835326609375</v>
      </c>
      <c r="AW254">
        <v>247</v>
      </c>
      <c r="AX254">
        <f t="shared" si="82"/>
        <v>123.5</v>
      </c>
      <c r="AZ254">
        <f t="shared" si="83"/>
        <v>62043.922333782655</v>
      </c>
      <c r="BB254">
        <f t="shared" si="84"/>
        <v>-51231.888272614407</v>
      </c>
      <c r="BD254">
        <f t="shared" si="85"/>
        <v>223.18664911899873</v>
      </c>
      <c r="BF254">
        <f t="shared" si="86"/>
        <v>60.824708790568309</v>
      </c>
      <c r="BH254">
        <f t="shared" si="71"/>
        <v>-147.72629360107825</v>
      </c>
      <c r="BJ254">
        <f t="shared" si="72"/>
        <v>131.2732150332323</v>
      </c>
      <c r="BN254" s="20">
        <f t="shared" si="73"/>
        <v>-56.778825764527042</v>
      </c>
      <c r="BP254">
        <f t="shared" si="74"/>
        <v>79.315331823191016</v>
      </c>
      <c r="BR254">
        <f t="shared" si="75"/>
        <v>-13.637177134643753</v>
      </c>
      <c r="BT254">
        <f t="shared" si="76"/>
        <v>10.177842342363531</v>
      </c>
      <c r="BV254">
        <f t="shared" si="77"/>
        <v>-77.310290701907462</v>
      </c>
      <c r="BX254">
        <f t="shared" si="78"/>
        <v>41.780040867677748</v>
      </c>
      <c r="CB254">
        <f t="shared" si="79"/>
        <v>72229.67607068448</v>
      </c>
      <c r="CD254">
        <f t="shared" si="80"/>
        <v>102374.55413012403</v>
      </c>
      <c r="CF254">
        <f t="shared" si="81"/>
        <v>76207.855564223137</v>
      </c>
    </row>
    <row r="255" spans="12:84" x14ac:dyDescent="0.25">
      <c r="L255">
        <v>244</v>
      </c>
      <c r="M255">
        <f t="shared" si="93"/>
        <v>1.5330972149518276</v>
      </c>
      <c r="P255">
        <f t="shared" si="87"/>
        <v>20188.450913349629</v>
      </c>
      <c r="Q255">
        <f t="shared" si="88"/>
        <v>12496.447363202948</v>
      </c>
      <c r="V255">
        <f t="shared" si="89"/>
        <v>-19868.084360655259</v>
      </c>
      <c r="W255">
        <f t="shared" si="90"/>
        <v>13497.513154242064</v>
      </c>
      <c r="AB255">
        <f t="shared" si="91"/>
        <v>-4811.5490866503696</v>
      </c>
      <c r="AC255">
        <f t="shared" si="92"/>
        <v>-10003.552636797052</v>
      </c>
      <c r="AW255">
        <v>248</v>
      </c>
      <c r="AX255">
        <f t="shared" si="82"/>
        <v>124</v>
      </c>
      <c r="AZ255">
        <f t="shared" si="83"/>
        <v>62137.049871642019</v>
      </c>
      <c r="BB255">
        <f t="shared" si="84"/>
        <v>-51185.066766339973</v>
      </c>
      <c r="BD255">
        <f t="shared" si="85"/>
        <v>149.32350231845959</v>
      </c>
      <c r="BF255">
        <f t="shared" si="86"/>
        <v>126.46131630718446</v>
      </c>
      <c r="BH255">
        <f t="shared" si="71"/>
        <v>-147.74014515737082</v>
      </c>
      <c r="BJ255">
        <f t="shared" si="72"/>
        <v>130.98576627749085</v>
      </c>
      <c r="BN255" s="20">
        <f t="shared" si="73"/>
        <v>-56.8670164517129</v>
      </c>
      <c r="BP255">
        <f t="shared" si="74"/>
        <v>79.199769975288916</v>
      </c>
      <c r="BR255">
        <f t="shared" si="75"/>
        <v>-13.634088220439978</v>
      </c>
      <c r="BT255">
        <f t="shared" si="76"/>
        <v>10.156227906522357</v>
      </c>
      <c r="BV255">
        <f t="shared" si="77"/>
        <v>-77.239040485217927</v>
      </c>
      <c r="BX255">
        <f t="shared" si="78"/>
        <v>41.629768395679577</v>
      </c>
      <c r="CB255">
        <f t="shared" si="79"/>
        <v>72245.885926155184</v>
      </c>
      <c r="CD255">
        <f t="shared" si="80"/>
        <v>102421.22512847662</v>
      </c>
      <c r="CF255">
        <f t="shared" si="81"/>
        <v>76267.571892330685</v>
      </c>
    </row>
    <row r="256" spans="12:84" x14ac:dyDescent="0.25">
      <c r="L256">
        <v>245</v>
      </c>
      <c r="M256">
        <f t="shared" si="93"/>
        <v>1.5393804002590072</v>
      </c>
      <c r="P256">
        <f t="shared" si="87"/>
        <v>20157.053795390599</v>
      </c>
      <c r="Q256">
        <f t="shared" si="88"/>
        <v>12497.53280182866</v>
      </c>
      <c r="V256">
        <f t="shared" si="89"/>
        <v>-19890.062343226582</v>
      </c>
      <c r="W256">
        <f t="shared" si="90"/>
        <v>13498.272961280061</v>
      </c>
      <c r="AB256">
        <f t="shared" si="91"/>
        <v>-4842.9462046094013</v>
      </c>
      <c r="AC256">
        <f t="shared" si="92"/>
        <v>-10002.46719817134</v>
      </c>
      <c r="AW256">
        <v>249</v>
      </c>
      <c r="AX256">
        <f t="shared" si="82"/>
        <v>124.5</v>
      </c>
      <c r="AZ256">
        <f t="shared" si="83"/>
        <v>62193.244104656573</v>
      </c>
      <c r="BB256">
        <f t="shared" si="84"/>
        <v>-51105.4628874017</v>
      </c>
      <c r="BD256">
        <f t="shared" si="85"/>
        <v>75.45342973977418</v>
      </c>
      <c r="BF256">
        <f t="shared" si="86"/>
        <v>191.95419944592987</v>
      </c>
      <c r="BH256">
        <f t="shared" si="71"/>
        <v>-147.92969571433741</v>
      </c>
      <c r="BJ256">
        <f t="shared" si="72"/>
        <v>130.85803406268957</v>
      </c>
      <c r="BN256" s="20">
        <f t="shared" si="73"/>
        <v>-57.016762707622249</v>
      </c>
      <c r="BP256">
        <f t="shared" si="74"/>
        <v>79.194995353594251</v>
      </c>
      <c r="BR256">
        <f t="shared" si="75"/>
        <v>-13.644387730316678</v>
      </c>
      <c r="BT256">
        <f t="shared" si="76"/>
        <v>10.143736716542982</v>
      </c>
      <c r="BV256">
        <f t="shared" si="77"/>
        <v>-77.26854527639847</v>
      </c>
      <c r="BX256">
        <f t="shared" si="78"/>
        <v>41.519301992552336</v>
      </c>
      <c r="CB256">
        <f t="shared" si="79"/>
        <v>72214.057691849404</v>
      </c>
      <c r="CD256">
        <f t="shared" si="80"/>
        <v>102418.78231619086</v>
      </c>
      <c r="CF256">
        <f t="shared" si="81"/>
        <v>76279.332086886454</v>
      </c>
    </row>
    <row r="257" spans="12:84" x14ac:dyDescent="0.25">
      <c r="L257">
        <v>246</v>
      </c>
      <c r="M257">
        <f t="shared" si="93"/>
        <v>1.5456635855661869</v>
      </c>
      <c r="P257">
        <f t="shared" si="87"/>
        <v>20125.650477216645</v>
      </c>
      <c r="Q257">
        <f t="shared" si="88"/>
        <v>12498.4209464165</v>
      </c>
      <c r="V257">
        <f t="shared" si="89"/>
        <v>-19912.04466594835</v>
      </c>
      <c r="W257">
        <f t="shared" si="90"/>
        <v>13498.894662491552</v>
      </c>
      <c r="AB257">
        <f t="shared" si="91"/>
        <v>-4874.3495227833555</v>
      </c>
      <c r="AC257">
        <f t="shared" si="92"/>
        <v>-10001.5790535835</v>
      </c>
      <c r="AW257">
        <v>250</v>
      </c>
      <c r="AX257">
        <f t="shared" si="82"/>
        <v>125</v>
      </c>
      <c r="AZ257">
        <f t="shared" si="83"/>
        <v>62212.479607562171</v>
      </c>
      <c r="BB257">
        <f t="shared" si="84"/>
        <v>-50993.128533420902</v>
      </c>
      <c r="BD257">
        <f t="shared" si="85"/>
        <v>1.4885818826054731</v>
      </c>
      <c r="BF257">
        <f t="shared" si="86"/>
        <v>257.38321647727469</v>
      </c>
      <c r="BH257">
        <f t="shared" si="71"/>
        <v>-148.29579739093157</v>
      </c>
      <c r="BJ257">
        <f t="shared" si="72"/>
        <v>130.88946810406139</v>
      </c>
      <c r="BN257" s="20">
        <f t="shared" si="73"/>
        <v>-57.228892145463668</v>
      </c>
      <c r="BP257">
        <f t="shared" si="74"/>
        <v>79.301120787280141</v>
      </c>
      <c r="BR257">
        <f t="shared" si="75"/>
        <v>-13.668106771403295</v>
      </c>
      <c r="BT257">
        <f t="shared" si="76"/>
        <v>10.140316860605175</v>
      </c>
      <c r="BV257">
        <f t="shared" si="77"/>
        <v>-77.398798474064606</v>
      </c>
      <c r="BX257">
        <f t="shared" si="78"/>
        <v>41.448030456176056</v>
      </c>
      <c r="CB257">
        <f t="shared" si="79"/>
        <v>72134.177199481186</v>
      </c>
      <c r="CD257">
        <f t="shared" si="80"/>
        <v>102367.248334212</v>
      </c>
      <c r="CF257">
        <f t="shared" si="81"/>
        <v>76243.181443459704</v>
      </c>
    </row>
    <row r="258" spans="12:84" x14ac:dyDescent="0.25">
      <c r="L258">
        <v>247</v>
      </c>
      <c r="M258">
        <f t="shared" si="93"/>
        <v>1.5519467708733665</v>
      </c>
      <c r="P258">
        <f t="shared" si="87"/>
        <v>20094.242198576998</v>
      </c>
      <c r="Q258">
        <f t="shared" si="88"/>
        <v>12499.111761904045</v>
      </c>
      <c r="V258">
        <f t="shared" si="89"/>
        <v>-19934.030460996102</v>
      </c>
      <c r="W258">
        <f t="shared" si="90"/>
        <v>13499.378233332833</v>
      </c>
      <c r="AB258">
        <f t="shared" si="91"/>
        <v>-4905.7578014230021</v>
      </c>
      <c r="AC258">
        <f t="shared" si="92"/>
        <v>-10000.888238095955</v>
      </c>
      <c r="AW258">
        <v>251</v>
      </c>
      <c r="AX258">
        <f t="shared" si="82"/>
        <v>125.5</v>
      </c>
      <c r="AZ258">
        <f t="shared" si="83"/>
        <v>62194.686923829606</v>
      </c>
      <c r="BB258">
        <f t="shared" si="84"/>
        <v>-50848.075741669258</v>
      </c>
      <c r="BD258">
        <f t="shared" si="85"/>
        <v>-72.659316812860311</v>
      </c>
      <c r="BF258">
        <f t="shared" si="86"/>
        <v>322.82795052930538</v>
      </c>
      <c r="BH258">
        <f t="shared" si="71"/>
        <v>-148.84042775460415</v>
      </c>
      <c r="BJ258">
        <f t="shared" si="72"/>
        <v>131.08056157892054</v>
      </c>
      <c r="BN258" s="20">
        <f t="shared" si="73"/>
        <v>-57.504590948524623</v>
      </c>
      <c r="BP258">
        <f t="shared" si="74"/>
        <v>79.519069171320595</v>
      </c>
      <c r="BR258">
        <f t="shared" si="75"/>
        <v>-13.705351782225256</v>
      </c>
      <c r="BT258">
        <f t="shared" si="76"/>
        <v>10.145963376974551</v>
      </c>
      <c r="BV258">
        <f t="shared" si="77"/>
        <v>-77.630485023854277</v>
      </c>
      <c r="BX258">
        <f t="shared" si="78"/>
        <v>41.415529030625386</v>
      </c>
      <c r="CB258">
        <f t="shared" si="79"/>
        <v>72006.17714721126</v>
      </c>
      <c r="CD258">
        <f t="shared" si="80"/>
        <v>102266.5873096892</v>
      </c>
      <c r="CF258">
        <f t="shared" si="81"/>
        <v>76159.112948956623</v>
      </c>
    </row>
    <row r="259" spans="12:84" x14ac:dyDescent="0.25">
      <c r="L259">
        <v>248</v>
      </c>
      <c r="M259">
        <f t="shared" si="93"/>
        <v>1.5582299561805462</v>
      </c>
      <c r="P259">
        <f t="shared" si="87"/>
        <v>20062.83019941672</v>
      </c>
      <c r="Q259">
        <f t="shared" si="88"/>
        <v>12499.605221019081</v>
      </c>
      <c r="V259">
        <f t="shared" si="89"/>
        <v>-19956.018860408298</v>
      </c>
      <c r="W259">
        <f t="shared" si="90"/>
        <v>13499.723654713356</v>
      </c>
      <c r="AB259">
        <f t="shared" si="91"/>
        <v>-4937.1698005832804</v>
      </c>
      <c r="AC259">
        <f t="shared" si="92"/>
        <v>-10000.394778980919</v>
      </c>
      <c r="AW259">
        <v>252</v>
      </c>
      <c r="AX259">
        <f t="shared" si="82"/>
        <v>126</v>
      </c>
      <c r="AZ259">
        <f t="shared" si="83"/>
        <v>62139.752211953848</v>
      </c>
      <c r="BB259">
        <f t="shared" si="84"/>
        <v>-50670.276696207242</v>
      </c>
      <c r="BD259">
        <f t="shared" si="85"/>
        <v>-147.07953069016239</v>
      </c>
      <c r="BF259">
        <f t="shared" si="86"/>
        <v>388.36823131876565</v>
      </c>
      <c r="BH259">
        <f t="shared" si="71"/>
        <v>-149.56671651329401</v>
      </c>
      <c r="BJ259">
        <f t="shared" si="72"/>
        <v>131.43286146625081</v>
      </c>
      <c r="BN259" s="20">
        <f t="shared" si="73"/>
        <v>-57.845420194760329</v>
      </c>
      <c r="BP259">
        <f t="shared" si="74"/>
        <v>79.850590516359532</v>
      </c>
      <c r="BR259">
        <f t="shared" si="75"/>
        <v>-13.756305815217599</v>
      </c>
      <c r="BT259">
        <f t="shared" si="76"/>
        <v>10.160718259452414</v>
      </c>
      <c r="BV259">
        <f t="shared" si="77"/>
        <v>-77.964990503316102</v>
      </c>
      <c r="BX259">
        <f t="shared" si="78"/>
        <v>41.421552690438858</v>
      </c>
      <c r="CB259">
        <f t="shared" si="79"/>
        <v>71829.936707463276</v>
      </c>
      <c r="CD259">
        <f t="shared" si="80"/>
        <v>102116.70464637765</v>
      </c>
      <c r="CF259">
        <f t="shared" si="81"/>
        <v>76027.067329120007</v>
      </c>
    </row>
    <row r="260" spans="12:84" x14ac:dyDescent="0.25">
      <c r="L260">
        <v>249</v>
      </c>
      <c r="M260">
        <f t="shared" si="93"/>
        <v>1.5645131414877258</v>
      </c>
      <c r="P260">
        <f t="shared" si="87"/>
        <v>20031.41571982775</v>
      </c>
      <c r="Q260">
        <f t="shared" si="88"/>
        <v>12499.901304280687</v>
      </c>
      <c r="V260">
        <f t="shared" si="89"/>
        <v>-19978.008996120574</v>
      </c>
      <c r="W260">
        <f t="shared" si="90"/>
        <v>13499.93091299648</v>
      </c>
      <c r="AB260">
        <f t="shared" si="91"/>
        <v>-4968.5842801722492</v>
      </c>
      <c r="AC260">
        <f t="shared" si="92"/>
        <v>-10000.098695719313</v>
      </c>
      <c r="AW260">
        <v>253</v>
      </c>
      <c r="AX260">
        <f t="shared" si="82"/>
        <v>126.5</v>
      </c>
      <c r="AZ260">
        <f t="shared" si="83"/>
        <v>62047.516607044607</v>
      </c>
      <c r="BB260">
        <f t="shared" si="84"/>
        <v>-50459.66347286458</v>
      </c>
      <c r="BD260">
        <f t="shared" si="85"/>
        <v>-221.86288894680939</v>
      </c>
      <c r="BF260">
        <f t="shared" si="86"/>
        <v>454.08466205189109</v>
      </c>
      <c r="BH260">
        <f t="shared" si="71"/>
        <v>-150.47898973357709</v>
      </c>
      <c r="BJ260">
        <f t="shared" si="72"/>
        <v>131.94899547876759</v>
      </c>
      <c r="BN260" s="20">
        <f t="shared" si="73"/>
        <v>-58.253337281896066</v>
      </c>
      <c r="BP260">
        <f t="shared" si="74"/>
        <v>80.298293394675824</v>
      </c>
      <c r="BR260">
        <f t="shared" si="75"/>
        <v>-13.821230888589247</v>
      </c>
      <c r="BT260">
        <f t="shared" si="76"/>
        <v>10.184671064536763</v>
      </c>
      <c r="BV260">
        <f t="shared" si="77"/>
        <v>-78.404421563091788</v>
      </c>
      <c r="BX260">
        <f t="shared" si="78"/>
        <v>41.466031019555011</v>
      </c>
      <c r="CB260">
        <f t="shared" si="79"/>
        <v>71605.280829750292</v>
      </c>
      <c r="CD260">
        <f t="shared" si="80"/>
        <v>101917.44643894536</v>
      </c>
      <c r="CF260">
        <f t="shared" si="81"/>
        <v>75846.932810633356</v>
      </c>
    </row>
    <row r="261" spans="12:84" x14ac:dyDescent="0.25">
      <c r="L261">
        <v>250</v>
      </c>
      <c r="M261">
        <f t="shared" si="93"/>
        <v>1.5707963267949054</v>
      </c>
      <c r="P261">
        <f t="shared" si="87"/>
        <v>19999.999999999956</v>
      </c>
      <c r="Q261">
        <f t="shared" si="88"/>
        <v>12500</v>
      </c>
      <c r="V261">
        <f t="shared" si="89"/>
        <v>-20000.000000000029</v>
      </c>
      <c r="W261">
        <f t="shared" si="90"/>
        <v>13500</v>
      </c>
      <c r="AB261">
        <f t="shared" si="91"/>
        <v>-5000.0000000000437</v>
      </c>
      <c r="AC261">
        <f t="shared" si="92"/>
        <v>-10000</v>
      </c>
      <c r="AW261">
        <v>254</v>
      </c>
      <c r="AX261">
        <f t="shared" si="82"/>
        <v>127</v>
      </c>
      <c r="AZ261">
        <f t="shared" si="83"/>
        <v>61917.775288854507</v>
      </c>
      <c r="BB261">
        <f t="shared" si="84"/>
        <v>-50216.127517403795</v>
      </c>
      <c r="BD261">
        <f t="shared" si="85"/>
        <v>-297.10238381359795</v>
      </c>
      <c r="BF261">
        <f t="shared" si="86"/>
        <v>520.05915979127485</v>
      </c>
      <c r="BH261">
        <f t="shared" si="71"/>
        <v>-151.58283271955818</v>
      </c>
      <c r="BJ261">
        <f t="shared" si="72"/>
        <v>132.63271640978465</v>
      </c>
      <c r="BN261" s="20">
        <f t="shared" si="73"/>
        <v>-58.730722979307572</v>
      </c>
      <c r="BP261">
        <f t="shared" si="74"/>
        <v>80.865691781221997</v>
      </c>
      <c r="BR261">
        <f t="shared" si="75"/>
        <v>-13.900471465090922</v>
      </c>
      <c r="BT261">
        <f t="shared" si="76"/>
        <v>10.217960135543768</v>
      </c>
      <c r="BV261">
        <f t="shared" si="77"/>
        <v>-78.951638275159695</v>
      </c>
      <c r="BX261">
        <f t="shared" si="78"/>
        <v>41.549064493018896</v>
      </c>
      <c r="CB261">
        <f t="shared" si="79"/>
        <v>71331.979229319841</v>
      </c>
      <c r="CD261">
        <f t="shared" si="80"/>
        <v>101668.59850252436</v>
      </c>
      <c r="CF261">
        <f t="shared" si="81"/>
        <v>75618.544596756634</v>
      </c>
    </row>
    <row r="262" spans="12:84" x14ac:dyDescent="0.25">
      <c r="L262">
        <v>251</v>
      </c>
      <c r="M262">
        <f t="shared" si="93"/>
        <v>1.5770795121020851</v>
      </c>
      <c r="P262">
        <f t="shared" si="87"/>
        <v>19968.584280172159</v>
      </c>
      <c r="Q262">
        <f t="shared" si="88"/>
        <v>12499.901304280686</v>
      </c>
      <c r="V262">
        <f t="shared" si="89"/>
        <v>-20021.991003879488</v>
      </c>
      <c r="W262">
        <f t="shared" si="90"/>
        <v>13499.93091299648</v>
      </c>
      <c r="AB262">
        <f t="shared" si="91"/>
        <v>-5031.415719827839</v>
      </c>
      <c r="AC262">
        <f t="shared" si="92"/>
        <v>-10000.098695719314</v>
      </c>
      <c r="AW262">
        <v>255</v>
      </c>
      <c r="AX262">
        <f t="shared" si="82"/>
        <v>127.5</v>
      </c>
      <c r="AZ262">
        <f t="shared" si="83"/>
        <v>61750.276242857763</v>
      </c>
      <c r="BB262">
        <f t="shared" si="84"/>
        <v>-49939.518847956933</v>
      </c>
      <c r="BD262">
        <f t="shared" si="85"/>
        <v>-372.89380017337703</v>
      </c>
      <c r="BF262">
        <f t="shared" si="86"/>
        <v>586.37551799616722</v>
      </c>
      <c r="BH262">
        <f t="shared" si="71"/>
        <v>-152.88517320818084</v>
      </c>
      <c r="BJ262">
        <f t="shared" si="72"/>
        <v>133.48896523023433</v>
      </c>
      <c r="BN262" s="20">
        <f t="shared" si="73"/>
        <v>-59.280414771268482</v>
      </c>
      <c r="BP262">
        <f t="shared" si="74"/>
        <v>81.55726878936477</v>
      </c>
      <c r="BR262">
        <f t="shared" si="75"/>
        <v>-13.994459145247438</v>
      </c>
      <c r="BT262">
        <f t="shared" si="76"/>
        <v>10.260774473857596</v>
      </c>
      <c r="BV262">
        <f t="shared" si="77"/>
        <v>-79.61029929166493</v>
      </c>
      <c r="BX262">
        <f t="shared" si="78"/>
        <v>41.670921967011978</v>
      </c>
      <c r="CB262">
        <f t="shared" si="79"/>
        <v>71009.745048406796</v>
      </c>
      <c r="CD262">
        <f t="shared" si="80"/>
        <v>101369.88500293437</v>
      </c>
      <c r="CF262">
        <f t="shared" si="81"/>
        <v>75341.684052220124</v>
      </c>
    </row>
    <row r="263" spans="12:84" x14ac:dyDescent="0.25">
      <c r="L263">
        <v>252</v>
      </c>
      <c r="M263">
        <f t="shared" si="93"/>
        <v>1.5833626974092647</v>
      </c>
      <c r="P263">
        <f t="shared" si="87"/>
        <v>19937.169800583193</v>
      </c>
      <c r="Q263">
        <f t="shared" si="88"/>
        <v>12499.605221019079</v>
      </c>
      <c r="V263">
        <f t="shared" si="89"/>
        <v>-20043.981139591764</v>
      </c>
      <c r="W263">
        <f t="shared" si="90"/>
        <v>13499.723654713356</v>
      </c>
      <c r="AB263">
        <f t="shared" si="91"/>
        <v>-5062.8301994168078</v>
      </c>
      <c r="AC263">
        <f t="shared" si="92"/>
        <v>-10000.394778980921</v>
      </c>
      <c r="AW263">
        <v>256</v>
      </c>
      <c r="AX263">
        <f t="shared" si="82"/>
        <v>128</v>
      </c>
      <c r="AZ263">
        <f t="shared" si="83"/>
        <v>61544.71869612005</v>
      </c>
      <c r="BB263">
        <f t="shared" si="84"/>
        <v>-49629.644968305067</v>
      </c>
      <c r="BD263">
        <f t="shared" si="85"/>
        <v>-449.33638677746745</v>
      </c>
      <c r="BF263">
        <f t="shared" si="86"/>
        <v>653.12000061128435</v>
      </c>
      <c r="BH263">
        <f t="shared" si="71"/>
        <v>-154.39438712529852</v>
      </c>
      <c r="BJ263">
        <f t="shared" si="72"/>
        <v>134.52395484713861</v>
      </c>
      <c r="BN263" s="20">
        <f t="shared" si="73"/>
        <v>-59.905747318972196</v>
      </c>
      <c r="BP263">
        <f t="shared" si="74"/>
        <v>82.378559376633817</v>
      </c>
      <c r="BR263">
        <f t="shared" si="75"/>
        <v>-14.103718696203291</v>
      </c>
      <c r="BT263">
        <f t="shared" si="76"/>
        <v>10.313356303569712</v>
      </c>
      <c r="BV263">
        <f t="shared" si="77"/>
        <v>-80.384921110123017</v>
      </c>
      <c r="BX263">
        <f t="shared" si="78"/>
        <v>41.832039166935083</v>
      </c>
      <c r="CB263">
        <f t="shared" si="79"/>
        <v>70638.233172583889</v>
      </c>
      <c r="CD263">
        <f t="shared" si="80"/>
        <v>101020.9666667047</v>
      </c>
      <c r="CF263">
        <f t="shared" si="81"/>
        <v>75016.077589918059</v>
      </c>
    </row>
    <row r="264" spans="12:84" x14ac:dyDescent="0.25">
      <c r="L264">
        <v>253</v>
      </c>
      <c r="M264">
        <f t="shared" si="93"/>
        <v>1.5896458827164444</v>
      </c>
      <c r="P264">
        <f t="shared" si="87"/>
        <v>19905.757801422915</v>
      </c>
      <c r="Q264">
        <f t="shared" si="88"/>
        <v>12499.111761904045</v>
      </c>
      <c r="V264">
        <f t="shared" si="89"/>
        <v>-20065.96953900396</v>
      </c>
      <c r="W264">
        <f t="shared" si="90"/>
        <v>13499.378233332831</v>
      </c>
      <c r="AB264">
        <f t="shared" si="91"/>
        <v>-5094.2421985770861</v>
      </c>
      <c r="AC264">
        <f t="shared" si="92"/>
        <v>-10000.888238095955</v>
      </c>
      <c r="AW264">
        <v>257</v>
      </c>
      <c r="AX264">
        <f t="shared" si="82"/>
        <v>128.5</v>
      </c>
      <c r="AZ264">
        <f t="shared" si="83"/>
        <v>61300.75120434066</v>
      </c>
      <c r="BB264">
        <f t="shared" si="84"/>
        <v>-49286.269473643537</v>
      </c>
      <c r="BD264">
        <f t="shared" si="85"/>
        <v>-526.53358034011671</v>
      </c>
      <c r="BF264">
        <f t="shared" si="86"/>
        <v>720.38197803485366</v>
      </c>
      <c r="BH264">
        <f t="shared" ref="BH264:BH327" si="94">BN264+BR264+BV264</f>
        <v>-156.12042982942125</v>
      </c>
      <c r="BJ264">
        <f t="shared" ref="BJ264:BJ327" si="95">SUM(BP264,BT264,BX264)</f>
        <v>135.74527710195662</v>
      </c>
      <c r="BN264" s="20">
        <f t="shared" ref="BN264:BN327" si="96">$F$36*($F$32-AZ264)/(CB264^2+$F$37^2)^(3/2)</f>
        <v>-60.610601062029886</v>
      </c>
      <c r="BP264">
        <f t="shared" ref="BP264:BP327" si="97">$F$36*($G$32-BB264)/(CB264^2+($F$37)^2)^(3/2)</f>
        <v>83.336254777520836</v>
      </c>
      <c r="BR264">
        <f t="shared" ref="BR264:BR327" si="98">$F$47*($F$43-AZ264)/(CD264^2+($F$48)^2)^(3/2)</f>
        <v>-14.22887557600087</v>
      </c>
      <c r="BT264">
        <f t="shared" ref="BT264:BT327" si="99">$F$47*($G$43-BB264)/(CD264^2+($F$48)^2)^(3/2)</f>
        <v>10.376004393680114</v>
      </c>
      <c r="BV264">
        <f t="shared" ref="BV264:BV327" si="100">$F$58*($F$54-AZ264)/(CF264^2+($F$59)^2)^(3/2)</f>
        <v>-81.280953191390481</v>
      </c>
      <c r="BX264">
        <f t="shared" ref="BX264:BX327" si="101">$F$58*($G$54-BB264)/(CF264^2+($F$59)^2)^(3/2)</f>
        <v>42.033017930755655</v>
      </c>
      <c r="CB264">
        <f t="shared" ref="CB264:CB327" si="102">SQRT(($F$32-AZ264)^2+($G$32-BB264)^2)</f>
        <v>70217.03818003225</v>
      </c>
      <c r="CD264">
        <f t="shared" ref="CD264:CD327" si="103">SQRT(($F$43-AZ264)^2+($G$43-BB264)^2)</f>
        <v>100621.43854314336</v>
      </c>
      <c r="CF264">
        <f t="shared" ref="CF264:CF327" si="104">SQRT(($F$54-AZ264)^2+($G$54-BB264)^2)</f>
        <v>74641.395248743705</v>
      </c>
    </row>
    <row r="265" spans="12:84" x14ac:dyDescent="0.25">
      <c r="L265">
        <v>254</v>
      </c>
      <c r="M265">
        <f t="shared" si="93"/>
        <v>1.595929068023624</v>
      </c>
      <c r="P265">
        <f t="shared" si="87"/>
        <v>19874.349522783268</v>
      </c>
      <c r="Q265">
        <f t="shared" si="88"/>
        <v>12498.4209464165</v>
      </c>
      <c r="V265">
        <f t="shared" si="89"/>
        <v>-20087.955334051712</v>
      </c>
      <c r="W265">
        <f t="shared" si="90"/>
        <v>13498.894662491548</v>
      </c>
      <c r="AB265">
        <f t="shared" si="91"/>
        <v>-5125.6504772167327</v>
      </c>
      <c r="AC265">
        <f t="shared" si="92"/>
        <v>-10001.5790535835</v>
      </c>
      <c r="AW265">
        <v>258</v>
      </c>
      <c r="AX265">
        <f t="shared" ref="AX265:AX328" si="105">$F$17*AW265</f>
        <v>129</v>
      </c>
      <c r="AZ265">
        <f t="shared" ref="AZ265:AZ328" si="106">AZ264+BD264*$F$17+(BH264*0.5)*$F$17^2</f>
        <v>61017.96936044193</v>
      </c>
      <c r="BB265">
        <f t="shared" ref="BB265:BB328" si="107">BB264+(BF264*$F$17)+(BJ264*0.5)*$F$17^2</f>
        <v>-48909.110324988367</v>
      </c>
      <c r="BD265">
        <f t="shared" ref="BD265:BD328" si="108">BD264+BH264*$F$17</f>
        <v>-604.59379525482734</v>
      </c>
      <c r="BF265">
        <f t="shared" ref="BF265:BF328" si="109">BF264+BJ264*$F$17</f>
        <v>788.25461658583197</v>
      </c>
      <c r="BH265">
        <f t="shared" si="94"/>
        <v>-158.0749965782008</v>
      </c>
      <c r="BJ265">
        <f t="shared" si="95"/>
        <v>137.16203638010404</v>
      </c>
      <c r="BN265" s="20">
        <f t="shared" si="96"/>
        <v>-61.399460211416994</v>
      </c>
      <c r="BP265">
        <f t="shared" si="97"/>
        <v>84.438332247153411</v>
      </c>
      <c r="BR265">
        <f t="shared" si="98"/>
        <v>-14.370665158686144</v>
      </c>
      <c r="BT265">
        <f t="shared" si="99"/>
        <v>10.4490782225141</v>
      </c>
      <c r="BV265">
        <f t="shared" si="100"/>
        <v>-82.304871208097666</v>
      </c>
      <c r="BX265">
        <f t="shared" si="101"/>
        <v>42.274625910436519</v>
      </c>
      <c r="CB265">
        <f t="shared" si="102"/>
        <v>69745.691896423697</v>
      </c>
      <c r="CD265">
        <f t="shared" si="103"/>
        <v>100170.82728305261</v>
      </c>
      <c r="CF265">
        <f t="shared" si="104"/>
        <v>74217.24894866746</v>
      </c>
    </row>
    <row r="266" spans="12:84" x14ac:dyDescent="0.25">
      <c r="L266">
        <v>255</v>
      </c>
      <c r="M266">
        <f t="shared" si="93"/>
        <v>1.6022122533308036</v>
      </c>
      <c r="P266">
        <f t="shared" si="87"/>
        <v>19842.946204609314</v>
      </c>
      <c r="Q266">
        <f t="shared" si="88"/>
        <v>12497.532801828656</v>
      </c>
      <c r="V266">
        <f t="shared" si="89"/>
        <v>-20109.93765677348</v>
      </c>
      <c r="W266">
        <f t="shared" si="90"/>
        <v>13498.272961280059</v>
      </c>
      <c r="AB266">
        <f t="shared" si="91"/>
        <v>-5157.0537953906869</v>
      </c>
      <c r="AC266">
        <f t="shared" si="92"/>
        <v>-10002.467198171344</v>
      </c>
      <c r="AW266">
        <v>259</v>
      </c>
      <c r="AX266">
        <f t="shared" si="105"/>
        <v>129.5</v>
      </c>
      <c r="AZ266">
        <f t="shared" si="106"/>
        <v>60695.91308824224</v>
      </c>
      <c r="BB266">
        <f t="shared" si="107"/>
        <v>-48497.837762147938</v>
      </c>
      <c r="BD266">
        <f t="shared" si="108"/>
        <v>-683.63129354392777</v>
      </c>
      <c r="BF266">
        <f t="shared" si="109"/>
        <v>856.83563477588405</v>
      </c>
      <c r="BH266">
        <f t="shared" si="94"/>
        <v>-160.27171692575806</v>
      </c>
      <c r="BJ266">
        <f t="shared" si="95"/>
        <v>138.78501416500256</v>
      </c>
      <c r="BN266" s="20">
        <f t="shared" si="96"/>
        <v>-62.277481664200465</v>
      </c>
      <c r="BP266">
        <f t="shared" si="97"/>
        <v>85.694214721394545</v>
      </c>
      <c r="BR266">
        <f t="shared" si="98"/>
        <v>-14.529943920381745</v>
      </c>
      <c r="BT266">
        <f t="shared" si="99"/>
        <v>10.533003092958914</v>
      </c>
      <c r="BV266">
        <f t="shared" si="100"/>
        <v>-83.464291341175851</v>
      </c>
      <c r="BX266">
        <f t="shared" si="101"/>
        <v>42.557796350649127</v>
      </c>
      <c r="CB266">
        <f t="shared" si="102"/>
        <v>69223.660522408143</v>
      </c>
      <c r="CD266">
        <f t="shared" si="103"/>
        <v>99668.587890025447</v>
      </c>
      <c r="CF266">
        <f t="shared" si="104"/>
        <v>73743.190405874499</v>
      </c>
    </row>
    <row r="267" spans="12:84" x14ac:dyDescent="0.25">
      <c r="L267">
        <v>256</v>
      </c>
      <c r="M267">
        <f t="shared" si="93"/>
        <v>1.6084954386379833</v>
      </c>
      <c r="P267">
        <f t="shared" ref="P267:P330" si="110">COS(M267)*$F$33+$F$32</f>
        <v>19811.549086650281</v>
      </c>
      <c r="Q267">
        <f t="shared" ref="Q267:Q330" si="111">SIN(M267)*$F$33+$G$32</f>
        <v>12496.447363202944</v>
      </c>
      <c r="V267">
        <f t="shared" si="89"/>
        <v>-20131.915639344803</v>
      </c>
      <c r="W267">
        <f t="shared" si="90"/>
        <v>13497.51315424206</v>
      </c>
      <c r="AB267">
        <f t="shared" si="91"/>
        <v>-5188.4509133497186</v>
      </c>
      <c r="AC267">
        <f t="shared" si="92"/>
        <v>-10003.552636797056</v>
      </c>
      <c r="AW267">
        <v>260</v>
      </c>
      <c r="AX267">
        <f t="shared" si="105"/>
        <v>130</v>
      </c>
      <c r="AZ267">
        <f t="shared" si="106"/>
        <v>60334.06347685455</v>
      </c>
      <c r="BB267">
        <f t="shared" si="107"/>
        <v>-48052.071817989374</v>
      </c>
      <c r="BD267">
        <f t="shared" si="108"/>
        <v>-763.76715200680678</v>
      </c>
      <c r="BF267">
        <f t="shared" si="109"/>
        <v>926.22814185838536</v>
      </c>
      <c r="BH267">
        <f t="shared" si="94"/>
        <v>-162.72638894623788</v>
      </c>
      <c r="BJ267">
        <f t="shared" si="95"/>
        <v>140.6268700571693</v>
      </c>
      <c r="BN267" s="20">
        <f t="shared" si="96"/>
        <v>-63.250576707133682</v>
      </c>
      <c r="BP267">
        <f t="shared" si="97"/>
        <v>87.114966281050556</v>
      </c>
      <c r="BR267">
        <f t="shared" si="98"/>
        <v>-14.707702913255153</v>
      </c>
      <c r="BT267">
        <f t="shared" si="99"/>
        <v>10.628276335653503</v>
      </c>
      <c r="BV267">
        <f t="shared" si="100"/>
        <v>-84.768109325849053</v>
      </c>
      <c r="BX267">
        <f t="shared" si="101"/>
        <v>42.88362744046524</v>
      </c>
      <c r="CB267">
        <f t="shared" si="102"/>
        <v>68650.341294315367</v>
      </c>
      <c r="CD267">
        <f t="shared" si="103"/>
        <v>99114.099890299622</v>
      </c>
      <c r="CF267">
        <f t="shared" si="104"/>
        <v>73218.708687460385</v>
      </c>
    </row>
    <row r="268" spans="12:84" x14ac:dyDescent="0.25">
      <c r="L268">
        <v>257</v>
      </c>
      <c r="M268">
        <f t="shared" si="93"/>
        <v>1.6147786239451629</v>
      </c>
      <c r="P268">
        <f t="shared" si="110"/>
        <v>19780.159408410629</v>
      </c>
      <c r="Q268">
        <f t="shared" si="111"/>
        <v>12495.164673390622</v>
      </c>
      <c r="V268">
        <f t="shared" ref="V268:V331" si="112">COS(M268)*$F$44+$F$43</f>
        <v>-20153.88841411256</v>
      </c>
      <c r="W268">
        <f t="shared" ref="W268:W331" si="113">SIN(M268)*$F$44+$G$43</f>
        <v>13496.615271373435</v>
      </c>
      <c r="AB268">
        <f t="shared" ref="AB268:AB331" si="114">COS(M268)*$F$55+$F$54</f>
        <v>-5219.8405915893709</v>
      </c>
      <c r="AC268">
        <f t="shared" ref="AC268:AC331" si="115">SIN(M268)*$F$55+$G$54</f>
        <v>-10004.835326609378</v>
      </c>
      <c r="AW268">
        <v>261</v>
      </c>
      <c r="AX268">
        <f t="shared" si="105"/>
        <v>130.5</v>
      </c>
      <c r="AZ268">
        <f t="shared" si="106"/>
        <v>59931.839102232865</v>
      </c>
      <c r="BB268">
        <f t="shared" si="107"/>
        <v>-47571.37938830303</v>
      </c>
      <c r="BD268">
        <f t="shared" si="108"/>
        <v>-845.13034647992572</v>
      </c>
      <c r="BF268">
        <f t="shared" si="109"/>
        <v>996.54157688697001</v>
      </c>
      <c r="BH268">
        <f t="shared" si="94"/>
        <v>-165.45726064332382</v>
      </c>
      <c r="BJ268">
        <f t="shared" si="95"/>
        <v>142.70238626406419</v>
      </c>
      <c r="BN268" s="20">
        <f t="shared" si="96"/>
        <v>-64.325507785072503</v>
      </c>
      <c r="BP268">
        <f t="shared" si="97"/>
        <v>88.713530937243576</v>
      </c>
      <c r="BR268">
        <f t="shared" si="98"/>
        <v>-14.905083936841775</v>
      </c>
      <c r="BT268">
        <f t="shared" si="99"/>
        <v>10.735474771760236</v>
      </c>
      <c r="BV268">
        <f t="shared" si="100"/>
        <v>-86.226668921409527</v>
      </c>
      <c r="BX268">
        <f t="shared" si="101"/>
        <v>43.253380555060367</v>
      </c>
      <c r="CB268">
        <f t="shared" si="102"/>
        <v>68025.058631485357</v>
      </c>
      <c r="CD268">
        <f t="shared" si="103"/>
        <v>98506.662855550865</v>
      </c>
      <c r="CF268">
        <f t="shared" si="104"/>
        <v>72643.227381876612</v>
      </c>
    </row>
    <row r="269" spans="12:84" x14ac:dyDescent="0.25">
      <c r="L269">
        <v>258</v>
      </c>
      <c r="M269">
        <f t="shared" ref="M269:M332" si="116">M268+$O$5</f>
        <v>1.6210618092523426</v>
      </c>
      <c r="P269">
        <f t="shared" si="110"/>
        <v>19748.778409101105</v>
      </c>
      <c r="Q269">
        <f t="shared" si="111"/>
        <v>12493.684783030085</v>
      </c>
      <c r="V269">
        <f t="shared" si="112"/>
        <v>-20175.855113629226</v>
      </c>
      <c r="W269">
        <f t="shared" si="113"/>
        <v>13495.57934812106</v>
      </c>
      <c r="AB269">
        <f t="shared" si="114"/>
        <v>-5251.2215908988937</v>
      </c>
      <c r="AC269">
        <f t="shared" si="115"/>
        <v>-10006.315216969915</v>
      </c>
      <c r="AW269">
        <v>262</v>
      </c>
      <c r="AX269">
        <f t="shared" si="105"/>
        <v>131</v>
      </c>
      <c r="AZ269">
        <f t="shared" si="106"/>
        <v>59488.591771412488</v>
      </c>
      <c r="BB269">
        <f t="shared" si="107"/>
        <v>-47055.270801576538</v>
      </c>
      <c r="BD269">
        <f t="shared" si="108"/>
        <v>-927.85897680158769</v>
      </c>
      <c r="BF269">
        <f t="shared" si="109"/>
        <v>1067.892770019002</v>
      </c>
      <c r="BH269">
        <f t="shared" si="94"/>
        <v>-168.48536772753732</v>
      </c>
      <c r="BJ269">
        <f t="shared" si="95"/>
        <v>145.02876444631221</v>
      </c>
      <c r="BN269" s="20">
        <f t="shared" si="96"/>
        <v>-65.510003107784257</v>
      </c>
      <c r="BP269">
        <f t="shared" si="97"/>
        <v>90.505024348439918</v>
      </c>
      <c r="BR269">
        <f t="shared" si="98"/>
        <v>-15.123398919317571</v>
      </c>
      <c r="BT269">
        <f t="shared" si="99"/>
        <v>10.855263649195241</v>
      </c>
      <c r="BV269">
        <f t="shared" si="100"/>
        <v>-87.851965700435514</v>
      </c>
      <c r="BX269">
        <f t="shared" si="101"/>
        <v>43.66847644867704</v>
      </c>
      <c r="CB269">
        <f t="shared" si="102"/>
        <v>67347.059715496231</v>
      </c>
      <c r="CD269">
        <f t="shared" si="103"/>
        <v>97845.49119935726</v>
      </c>
      <c r="CF269">
        <f t="shared" si="104"/>
        <v>72016.101358115018</v>
      </c>
    </row>
    <row r="270" spans="12:84" x14ac:dyDescent="0.25">
      <c r="L270">
        <v>259</v>
      </c>
      <c r="M270">
        <f t="shared" si="116"/>
        <v>1.6273449945595222</v>
      </c>
      <c r="P270">
        <f t="shared" si="110"/>
        <v>19717.40732758983</v>
      </c>
      <c r="Q270">
        <f t="shared" si="111"/>
        <v>12492.007750544872</v>
      </c>
      <c r="V270">
        <f t="shared" si="112"/>
        <v>-20197.814870687118</v>
      </c>
      <c r="W270">
        <f t="shared" si="113"/>
        <v>13494.40542538141</v>
      </c>
      <c r="AB270">
        <f t="shared" si="114"/>
        <v>-5282.5926724101691</v>
      </c>
      <c r="AC270">
        <f t="shared" si="115"/>
        <v>-10007.992249455128</v>
      </c>
      <c r="AW270">
        <v>263</v>
      </c>
      <c r="AX270">
        <f t="shared" si="105"/>
        <v>131.5</v>
      </c>
      <c r="AZ270">
        <f t="shared" si="106"/>
        <v>59003.601612045757</v>
      </c>
      <c r="BB270">
        <f t="shared" si="107"/>
        <v>-46503.19582101125</v>
      </c>
      <c r="BD270">
        <f t="shared" si="108"/>
        <v>-1012.1016606653563</v>
      </c>
      <c r="BF270">
        <f t="shared" si="109"/>
        <v>1140.4071522421582</v>
      </c>
      <c r="BH270">
        <f t="shared" si="94"/>
        <v>-171.83493922748841</v>
      </c>
      <c r="BJ270">
        <f t="shared" si="95"/>
        <v>147.62598620999512</v>
      </c>
      <c r="BN270" s="20">
        <f t="shared" si="96"/>
        <v>-66.812892474983812</v>
      </c>
      <c r="BP270">
        <f t="shared" si="97"/>
        <v>92.50709079595363</v>
      </c>
      <c r="BR270">
        <f t="shared" si="98"/>
        <v>-15.364153151434849</v>
      </c>
      <c r="BT270">
        <f t="shared" si="99"/>
        <v>10.988407318473019</v>
      </c>
      <c r="BV270">
        <f t="shared" si="100"/>
        <v>-89.657893601069745</v>
      </c>
      <c r="BX270">
        <f t="shared" si="101"/>
        <v>44.130488095568452</v>
      </c>
      <c r="CB270">
        <f t="shared" si="102"/>
        <v>66615.509437319968</v>
      </c>
      <c r="CD270">
        <f t="shared" si="103"/>
        <v>97129.708151843952</v>
      </c>
      <c r="CF270">
        <f t="shared" si="104"/>
        <v>71336.613083678472</v>
      </c>
    </row>
    <row r="271" spans="12:84" x14ac:dyDescent="0.25">
      <c r="L271">
        <v>260</v>
      </c>
      <c r="M271">
        <f t="shared" si="116"/>
        <v>1.6336281798667018</v>
      </c>
      <c r="P271">
        <f t="shared" si="110"/>
        <v>19686.047402353386</v>
      </c>
      <c r="Q271">
        <f t="shared" si="111"/>
        <v>12490.133642141354</v>
      </c>
      <c r="V271">
        <f t="shared" si="112"/>
        <v>-20219.766818352629</v>
      </c>
      <c r="W271">
        <f t="shared" si="113"/>
        <v>13493.093549498948</v>
      </c>
      <c r="AB271">
        <f t="shared" si="114"/>
        <v>-5313.9525976466139</v>
      </c>
      <c r="AC271">
        <f t="shared" si="115"/>
        <v>-10009.866357858646</v>
      </c>
      <c r="AW271">
        <v>264</v>
      </c>
      <c r="AX271">
        <f t="shared" si="105"/>
        <v>132</v>
      </c>
      <c r="AZ271">
        <f t="shared" si="106"/>
        <v>58476.071414309641</v>
      </c>
      <c r="BB271">
        <f t="shared" si="107"/>
        <v>-45914.538996613919</v>
      </c>
      <c r="BD271">
        <f t="shared" si="108"/>
        <v>-1098.0191302791006</v>
      </c>
      <c r="BF271">
        <f t="shared" si="109"/>
        <v>1214.2201453471557</v>
      </c>
      <c r="BH271">
        <f t="shared" si="94"/>
        <v>-175.53388528334168</v>
      </c>
      <c r="BJ271">
        <f t="shared" si="95"/>
        <v>150.51725163791991</v>
      </c>
      <c r="BN271" s="20">
        <f t="shared" si="96"/>
        <v>-68.24426843748887</v>
      </c>
      <c r="BP271">
        <f t="shared" si="97"/>
        <v>94.740341301943261</v>
      </c>
      <c r="BR271">
        <f t="shared" si="98"/>
        <v>-15.62907318150847</v>
      </c>
      <c r="BT271">
        <f t="shared" si="99"/>
        <v>11.13578197963971</v>
      </c>
      <c r="BV271">
        <f t="shared" si="100"/>
        <v>-91.660543664344331</v>
      </c>
      <c r="BX271">
        <f t="shared" si="101"/>
        <v>44.641128356336928</v>
      </c>
      <c r="CB271">
        <f t="shared" si="102"/>
        <v>65829.48463796328</v>
      </c>
      <c r="CD271">
        <f t="shared" si="103"/>
        <v>96358.338797572083</v>
      </c>
      <c r="CF271">
        <f t="shared" si="104"/>
        <v>70603.968468972758</v>
      </c>
    </row>
    <row r="272" spans="12:84" x14ac:dyDescent="0.25">
      <c r="L272">
        <v>261</v>
      </c>
      <c r="M272">
        <f t="shared" si="116"/>
        <v>1.6399113651738815</v>
      </c>
      <c r="P272">
        <f t="shared" si="110"/>
        <v>19654.699871427925</v>
      </c>
      <c r="Q272">
        <f t="shared" si="111"/>
        <v>12488.062531806123</v>
      </c>
      <c r="V272">
        <f t="shared" si="112"/>
        <v>-20241.710090000452</v>
      </c>
      <c r="W272">
        <f t="shared" si="113"/>
        <v>13491.643772264286</v>
      </c>
      <c r="AB272">
        <f t="shared" si="114"/>
        <v>-5345.3001285720757</v>
      </c>
      <c r="AC272">
        <f t="shared" si="115"/>
        <v>-10011.937468193877</v>
      </c>
      <c r="AW272">
        <v>265</v>
      </c>
      <c r="AX272">
        <f t="shared" si="105"/>
        <v>132.5</v>
      </c>
      <c r="AZ272">
        <f t="shared" si="106"/>
        <v>57905.120113509671</v>
      </c>
      <c r="BB272">
        <f t="shared" si="107"/>
        <v>-45288.614267485602</v>
      </c>
      <c r="BD272">
        <f t="shared" si="108"/>
        <v>-1185.7860729207714</v>
      </c>
      <c r="BF272">
        <f t="shared" si="109"/>
        <v>1289.4787711661156</v>
      </c>
      <c r="BH272">
        <f t="shared" si="94"/>
        <v>-179.61438512776084</v>
      </c>
      <c r="BJ272">
        <f t="shared" si="95"/>
        <v>153.72951429425916</v>
      </c>
      <c r="BN272" s="20">
        <f t="shared" si="96"/>
        <v>-69.815677808284491</v>
      </c>
      <c r="BP272">
        <f t="shared" si="97"/>
        <v>97.228893474236855</v>
      </c>
      <c r="BR272">
        <f t="shared" si="98"/>
        <v>-15.920140392556874</v>
      </c>
      <c r="BT272">
        <f t="shared" si="99"/>
        <v>11.298390914047973</v>
      </c>
      <c r="BV272">
        <f t="shared" si="100"/>
        <v>-93.87856692691949</v>
      </c>
      <c r="BX272">
        <f t="shared" si="101"/>
        <v>45.202229905974349</v>
      </c>
      <c r="CB272">
        <f t="shared" si="102"/>
        <v>64987.967556317526</v>
      </c>
      <c r="CD272">
        <f t="shared" si="103"/>
        <v>95530.302038249545</v>
      </c>
      <c r="CF272">
        <f t="shared" si="104"/>
        <v>69817.292204292855</v>
      </c>
    </row>
    <row r="273" spans="12:84" x14ac:dyDescent="0.25">
      <c r="L273">
        <v>262</v>
      </c>
      <c r="M273">
        <f t="shared" si="116"/>
        <v>1.6461945504810611</v>
      </c>
      <c r="P273">
        <f t="shared" si="110"/>
        <v>19623.36597236029</v>
      </c>
      <c r="Q273">
        <f t="shared" si="111"/>
        <v>12485.794501303066</v>
      </c>
      <c r="V273">
        <f t="shared" si="112"/>
        <v>-20263.643819347799</v>
      </c>
      <c r="W273">
        <f t="shared" si="113"/>
        <v>13490.056150912147</v>
      </c>
      <c r="AB273">
        <f t="shared" si="114"/>
        <v>-5376.6340276397104</v>
      </c>
      <c r="AC273">
        <f t="shared" si="115"/>
        <v>-10014.205498696934</v>
      </c>
      <c r="AW273">
        <v>266</v>
      </c>
      <c r="AX273">
        <f t="shared" si="105"/>
        <v>133</v>
      </c>
      <c r="AZ273">
        <f t="shared" si="106"/>
        <v>57289.77527890831</v>
      </c>
      <c r="BB273">
        <f t="shared" si="107"/>
        <v>-44624.658692615762</v>
      </c>
      <c r="BD273">
        <f t="shared" si="108"/>
        <v>-1275.5932654846517</v>
      </c>
      <c r="BF273">
        <f t="shared" si="109"/>
        <v>1366.3435283132453</v>
      </c>
      <c r="BH273">
        <f t="shared" si="94"/>
        <v>-184.11359792250553</v>
      </c>
      <c r="BJ273">
        <f t="shared" si="95"/>
        <v>157.29413644605552</v>
      </c>
      <c r="BN273" s="20">
        <f t="shared" si="96"/>
        <v>-71.540349618165564</v>
      </c>
      <c r="BP273">
        <f t="shared" si="97"/>
        <v>100.00103992867115</v>
      </c>
      <c r="BR273">
        <f t="shared" si="98"/>
        <v>-16.239631558144438</v>
      </c>
      <c r="BT273">
        <f t="shared" si="99"/>
        <v>11.477382719206188</v>
      </c>
      <c r="BV273">
        <f t="shared" si="100"/>
        <v>-96.333616746195531</v>
      </c>
      <c r="BX273">
        <f t="shared" si="101"/>
        <v>45.815713798178173</v>
      </c>
      <c r="CB273">
        <f t="shared" si="102"/>
        <v>64089.838384670351</v>
      </c>
      <c r="CD273">
        <f t="shared" si="103"/>
        <v>94644.401313278489</v>
      </c>
      <c r="CF273">
        <f t="shared" si="104"/>
        <v>68975.62255573248</v>
      </c>
    </row>
    <row r="274" spans="12:84" x14ac:dyDescent="0.25">
      <c r="L274">
        <v>263</v>
      </c>
      <c r="M274">
        <f t="shared" si="116"/>
        <v>1.6524777357882408</v>
      </c>
      <c r="P274">
        <f t="shared" si="110"/>
        <v>19592.046942159166</v>
      </c>
      <c r="Q274">
        <f t="shared" si="111"/>
        <v>12483.329640170145</v>
      </c>
      <c r="V274">
        <f t="shared" si="112"/>
        <v>-20285.567140488583</v>
      </c>
      <c r="W274">
        <f t="shared" si="113"/>
        <v>13488.330748119102</v>
      </c>
      <c r="AB274">
        <f t="shared" si="114"/>
        <v>-5407.9530578408348</v>
      </c>
      <c r="AC274">
        <f t="shared" si="115"/>
        <v>-10016.670359829855</v>
      </c>
      <c r="AW274">
        <v>267</v>
      </c>
      <c r="AX274">
        <f t="shared" si="105"/>
        <v>133.5</v>
      </c>
      <c r="AZ274">
        <f t="shared" si="106"/>
        <v>56628.964446425671</v>
      </c>
      <c r="BB274">
        <f t="shared" si="107"/>
        <v>-43921.825161403387</v>
      </c>
      <c r="BD274">
        <f t="shared" si="108"/>
        <v>-1367.6500644459045</v>
      </c>
      <c r="BF274">
        <f t="shared" si="109"/>
        <v>1444.9905965362732</v>
      </c>
      <c r="BH274">
        <f t="shared" si="94"/>
        <v>-189.07452508987032</v>
      </c>
      <c r="BJ274">
        <f t="shared" si="95"/>
        <v>161.24769528020093</v>
      </c>
      <c r="BN274" s="20">
        <f t="shared" si="96"/>
        <v>-73.433466900904818</v>
      </c>
      <c r="BP274">
        <f t="shared" si="97"/>
        <v>103.09008056990015</v>
      </c>
      <c r="BR274">
        <f t="shared" si="98"/>
        <v>-16.590168033123927</v>
      </c>
      <c r="BT274">
        <f t="shared" si="99"/>
        <v>11.674073198598979</v>
      </c>
      <c r="BV274">
        <f t="shared" si="100"/>
        <v>-99.050890155841572</v>
      </c>
      <c r="BX274">
        <f t="shared" si="101"/>
        <v>46.483541511701794</v>
      </c>
      <c r="CB274">
        <f t="shared" si="102"/>
        <v>63133.866817639595</v>
      </c>
      <c r="CD274">
        <f t="shared" si="103"/>
        <v>93699.313876188695</v>
      </c>
      <c r="CF274">
        <f t="shared" si="104"/>
        <v>68077.90558915268</v>
      </c>
    </row>
    <row r="275" spans="12:84" x14ac:dyDescent="0.25">
      <c r="L275">
        <v>264</v>
      </c>
      <c r="M275">
        <f t="shared" si="116"/>
        <v>1.6587609210954204</v>
      </c>
      <c r="P275">
        <f t="shared" si="110"/>
        <v>19560.744017246237</v>
      </c>
      <c r="Q275">
        <f t="shared" si="111"/>
        <v>12480.668045715858</v>
      </c>
      <c r="V275">
        <f t="shared" si="112"/>
        <v>-20307.479187927634</v>
      </c>
      <c r="W275">
        <f t="shared" si="113"/>
        <v>13486.4676320011</v>
      </c>
      <c r="AB275">
        <f t="shared" si="114"/>
        <v>-5439.2559827537634</v>
      </c>
      <c r="AC275">
        <f t="shared" si="115"/>
        <v>-10019.331954284142</v>
      </c>
      <c r="AW275">
        <v>268</v>
      </c>
      <c r="AX275">
        <f t="shared" si="105"/>
        <v>134</v>
      </c>
      <c r="AZ275">
        <f t="shared" si="106"/>
        <v>55921.505098566486</v>
      </c>
      <c r="BB275">
        <f t="shared" si="107"/>
        <v>-43179.173901225229</v>
      </c>
      <c r="BD275">
        <f t="shared" si="108"/>
        <v>-1462.1873269908397</v>
      </c>
      <c r="BF275">
        <f t="shared" si="109"/>
        <v>1525.6144441763736</v>
      </c>
      <c r="BH275">
        <f t="shared" si="94"/>
        <v>-194.54706045042309</v>
      </c>
      <c r="BJ275">
        <f t="shared" si="95"/>
        <v>165.63298029888972</v>
      </c>
      <c r="BN275" s="20">
        <f t="shared" si="96"/>
        <v>-75.512491205396699</v>
      </c>
      <c r="BP275">
        <f t="shared" si="97"/>
        <v>106.53536545899799</v>
      </c>
      <c r="BR275">
        <f t="shared" si="98"/>
        <v>-16.974775709129968</v>
      </c>
      <c r="BT275">
        <f t="shared" si="99"/>
        <v>11.889971730646854</v>
      </c>
      <c r="BV275">
        <f t="shared" si="100"/>
        <v>-102.05979353589643</v>
      </c>
      <c r="BX275">
        <f t="shared" si="101"/>
        <v>47.20764310924487</v>
      </c>
      <c r="CB275">
        <f t="shared" si="102"/>
        <v>62118.702464370312</v>
      </c>
      <c r="CD275">
        <f t="shared" si="103"/>
        <v>92693.578381937608</v>
      </c>
      <c r="CF275">
        <f t="shared" si="104"/>
        <v>67122.988798400169</v>
      </c>
    </row>
    <row r="276" spans="12:84" x14ac:dyDescent="0.25">
      <c r="L276">
        <v>265</v>
      </c>
      <c r="M276">
        <f t="shared" si="116"/>
        <v>1.6650441064026</v>
      </c>
      <c r="P276">
        <f t="shared" si="110"/>
        <v>19529.458433407381</v>
      </c>
      <c r="Q276">
        <f t="shared" si="111"/>
        <v>12477.809823015396</v>
      </c>
      <c r="V276">
        <f t="shared" si="112"/>
        <v>-20329.379096614834</v>
      </c>
      <c r="W276">
        <f t="shared" si="113"/>
        <v>13484.466876110777</v>
      </c>
      <c r="AB276">
        <f t="shared" si="114"/>
        <v>-5470.5415665926193</v>
      </c>
      <c r="AC276">
        <f t="shared" si="115"/>
        <v>-10022.190176984604</v>
      </c>
      <c r="AW276">
        <v>269</v>
      </c>
      <c r="AX276">
        <f t="shared" si="105"/>
        <v>134.5</v>
      </c>
      <c r="AZ276">
        <f t="shared" si="106"/>
        <v>55166.093052514763</v>
      </c>
      <c r="BB276">
        <f t="shared" si="107"/>
        <v>-42395.66255659968</v>
      </c>
      <c r="BD276">
        <f t="shared" si="108"/>
        <v>-1559.4608572160512</v>
      </c>
      <c r="BF276">
        <f t="shared" si="109"/>
        <v>1608.4309343258185</v>
      </c>
      <c r="BH276">
        <f t="shared" si="94"/>
        <v>-200.58927436119069</v>
      </c>
      <c r="BJ276">
        <f t="shared" si="95"/>
        <v>170.50023476268669</v>
      </c>
      <c r="BN276" s="20">
        <f t="shared" si="96"/>
        <v>-77.797550451526661</v>
      </c>
      <c r="BP276">
        <f t="shared" si="97"/>
        <v>110.38361069177188</v>
      </c>
      <c r="BR276">
        <f t="shared" si="98"/>
        <v>-17.396958494055156</v>
      </c>
      <c r="BT276">
        <f t="shared" si="99"/>
        <v>12.126813164665187</v>
      </c>
      <c r="BV276">
        <f t="shared" si="100"/>
        <v>-105.39476541560889</v>
      </c>
      <c r="BX276">
        <f t="shared" si="101"/>
        <v>47.989810906249637</v>
      </c>
      <c r="CB276">
        <f t="shared" si="102"/>
        <v>61042.863977210232</v>
      </c>
      <c r="CD276">
        <f t="shared" si="103"/>
        <v>91625.580486697989</v>
      </c>
      <c r="CF276">
        <f t="shared" si="104"/>
        <v>66109.614127741981</v>
      </c>
    </row>
    <row r="277" spans="12:84" x14ac:dyDescent="0.25">
      <c r="L277">
        <v>266</v>
      </c>
      <c r="M277">
        <f t="shared" si="116"/>
        <v>1.6713272917097797</v>
      </c>
      <c r="P277">
        <f t="shared" si="110"/>
        <v>19498.191425743877</v>
      </c>
      <c r="Q277">
        <f t="shared" si="111"/>
        <v>12474.755084906496</v>
      </c>
      <c r="V277">
        <f t="shared" si="112"/>
        <v>-20351.266001979286</v>
      </c>
      <c r="W277">
        <f t="shared" si="113"/>
        <v>13482.328559434547</v>
      </c>
      <c r="AB277">
        <f t="shared" si="114"/>
        <v>-5501.8085742561225</v>
      </c>
      <c r="AC277">
        <f t="shared" si="115"/>
        <v>-10025.244915093504</v>
      </c>
      <c r="AW277">
        <v>270</v>
      </c>
      <c r="AX277">
        <f t="shared" si="105"/>
        <v>135</v>
      </c>
      <c r="AZ277">
        <f t="shared" si="106"/>
        <v>54361.288964611587</v>
      </c>
      <c r="BB277">
        <f t="shared" si="107"/>
        <v>-41570.134560091436</v>
      </c>
      <c r="BD277">
        <f t="shared" si="108"/>
        <v>-1659.7554943966466</v>
      </c>
      <c r="BF277">
        <f t="shared" si="109"/>
        <v>1693.6810517071619</v>
      </c>
      <c r="BH277">
        <f t="shared" si="94"/>
        <v>-207.26899079124419</v>
      </c>
      <c r="BJ277">
        <f t="shared" si="95"/>
        <v>175.90871132430732</v>
      </c>
      <c r="BN277" s="20">
        <f t="shared" si="96"/>
        <v>-80.311902595184947</v>
      </c>
      <c r="BP277">
        <f t="shared" si="97"/>
        <v>114.69057145037252</v>
      </c>
      <c r="BR277">
        <f t="shared" si="98"/>
        <v>-17.860788918813935</v>
      </c>
      <c r="BT277">
        <f t="shared" si="99"/>
        <v>12.386596584292217</v>
      </c>
      <c r="BV277">
        <f t="shared" si="100"/>
        <v>-109.09629927724531</v>
      </c>
      <c r="BX277">
        <f t="shared" si="101"/>
        <v>48.831543289642589</v>
      </c>
      <c r="CB277">
        <f t="shared" si="102"/>
        <v>59904.726733831434</v>
      </c>
      <c r="CD277">
        <f t="shared" si="103"/>
        <v>90493.53609526153</v>
      </c>
      <c r="CF277">
        <f t="shared" si="104"/>
        <v>65036.410402800386</v>
      </c>
    </row>
    <row r="278" spans="12:84" x14ac:dyDescent="0.25">
      <c r="L278">
        <v>267</v>
      </c>
      <c r="M278">
        <f t="shared" si="116"/>
        <v>1.6776104770169593</v>
      </c>
      <c r="P278">
        <f t="shared" si="110"/>
        <v>19466.944228623652</v>
      </c>
      <c r="Q278">
        <f t="shared" si="111"/>
        <v>12471.503951984989</v>
      </c>
      <c r="V278">
        <f t="shared" si="112"/>
        <v>-20373.139039963444</v>
      </c>
      <c r="W278">
        <f t="shared" si="113"/>
        <v>13480.052766389492</v>
      </c>
      <c r="AB278">
        <f t="shared" si="114"/>
        <v>-5533.0557713763483</v>
      </c>
      <c r="AC278">
        <f t="shared" si="115"/>
        <v>-10028.496048015011</v>
      </c>
      <c r="AW278">
        <v>271</v>
      </c>
      <c r="AX278">
        <f t="shared" si="105"/>
        <v>135.5</v>
      </c>
      <c r="AZ278">
        <f t="shared" si="106"/>
        <v>53505.502593564357</v>
      </c>
      <c r="BB278">
        <f t="shared" si="107"/>
        <v>-40701.305445322316</v>
      </c>
      <c r="BD278">
        <f t="shared" si="108"/>
        <v>-1763.3899897922686</v>
      </c>
      <c r="BF278">
        <f t="shared" si="109"/>
        <v>1781.6354073693155</v>
      </c>
      <c r="BH278">
        <f t="shared" si="94"/>
        <v>-214.66573268540895</v>
      </c>
      <c r="BJ278">
        <f t="shared" si="95"/>
        <v>181.92863574747847</v>
      </c>
      <c r="BN278" s="20">
        <f t="shared" si="96"/>
        <v>-83.082489342771723</v>
      </c>
      <c r="BP278">
        <f t="shared" si="97"/>
        <v>119.52318681940572</v>
      </c>
      <c r="BR278">
        <f t="shared" si="98"/>
        <v>-18.371020617880198</v>
      </c>
      <c r="BT278">
        <f t="shared" si="99"/>
        <v>12.67163266455929</v>
      </c>
      <c r="BV278">
        <f t="shared" si="100"/>
        <v>-113.21222272475701</v>
      </c>
      <c r="BX278">
        <f t="shared" si="101"/>
        <v>49.733816263513468</v>
      </c>
      <c r="CB278">
        <f t="shared" si="102"/>
        <v>58702.508895962928</v>
      </c>
      <c r="CD278">
        <f t="shared" si="103"/>
        <v>89295.47180788267</v>
      </c>
      <c r="CF278">
        <f t="shared" si="104"/>
        <v>63901.885225080179</v>
      </c>
    </row>
    <row r="279" spans="12:84" x14ac:dyDescent="0.25">
      <c r="L279">
        <v>268</v>
      </c>
      <c r="M279">
        <f t="shared" si="116"/>
        <v>1.683893662324139</v>
      </c>
      <c r="P279">
        <f t="shared" si="110"/>
        <v>19435.718075632543</v>
      </c>
      <c r="Q279">
        <f t="shared" si="111"/>
        <v>12468.056552600036</v>
      </c>
      <c r="V279">
        <f t="shared" si="112"/>
        <v>-20394.997347057219</v>
      </c>
      <c r="W279">
        <f t="shared" si="113"/>
        <v>13477.639586820025</v>
      </c>
      <c r="AB279">
        <f t="shared" si="114"/>
        <v>-5564.2819243674567</v>
      </c>
      <c r="AC279">
        <f t="shared" si="115"/>
        <v>-10031.943447399964</v>
      </c>
      <c r="AW279">
        <v>272</v>
      </c>
      <c r="AX279">
        <f t="shared" si="105"/>
        <v>136</v>
      </c>
      <c r="AZ279">
        <f t="shared" si="106"/>
        <v>52596.974382082546</v>
      </c>
      <c r="BB279">
        <f t="shared" si="107"/>
        <v>-39787.746662169222</v>
      </c>
      <c r="BD279">
        <f t="shared" si="108"/>
        <v>-1870.722856134973</v>
      </c>
      <c r="BF279">
        <f t="shared" si="109"/>
        <v>1872.5997252430548</v>
      </c>
      <c r="BH279">
        <f t="shared" si="94"/>
        <v>-222.87313201992444</v>
      </c>
      <c r="BJ279">
        <f t="shared" si="95"/>
        <v>188.64370559588781</v>
      </c>
      <c r="BN279" s="20">
        <f t="shared" si="96"/>
        <v>-86.140595406364909</v>
      </c>
      <c r="BP279">
        <f t="shared" si="97"/>
        <v>124.96235402582667</v>
      </c>
      <c r="BR279">
        <f t="shared" si="98"/>
        <v>-18.933228994443525</v>
      </c>
      <c r="BT279">
        <f t="shared" si="99"/>
        <v>12.984601861105137</v>
      </c>
      <c r="BV279">
        <f t="shared" si="100"/>
        <v>-117.79930761911601</v>
      </c>
      <c r="BX279">
        <f t="shared" si="101"/>
        <v>50.696749708955984</v>
      </c>
      <c r="CB279">
        <f t="shared" si="102"/>
        <v>57434.255660290772</v>
      </c>
      <c r="CD279">
        <f t="shared" si="103"/>
        <v>88029.202013474438</v>
      </c>
      <c r="CF279">
        <f t="shared" si="104"/>
        <v>62704.416451779172</v>
      </c>
    </row>
    <row r="280" spans="12:84" x14ac:dyDescent="0.25">
      <c r="L280">
        <v>269</v>
      </c>
      <c r="M280">
        <f t="shared" si="116"/>
        <v>1.6901768476313186</v>
      </c>
      <c r="P280">
        <f t="shared" si="110"/>
        <v>19404.514199525602</v>
      </c>
      <c r="Q280">
        <f t="shared" si="111"/>
        <v>12464.413022849061</v>
      </c>
      <c r="V280">
        <f t="shared" si="112"/>
        <v>-20416.840060332077</v>
      </c>
      <c r="W280">
        <f t="shared" si="113"/>
        <v>13475.089115994344</v>
      </c>
      <c r="AB280">
        <f t="shared" si="114"/>
        <v>-5595.4858004743974</v>
      </c>
      <c r="AC280">
        <f t="shared" si="115"/>
        <v>-10035.586977150939</v>
      </c>
      <c r="AW280">
        <v>273</v>
      </c>
      <c r="AX280">
        <f t="shared" si="105"/>
        <v>136.5</v>
      </c>
      <c r="AZ280">
        <f t="shared" si="106"/>
        <v>51633.753812512565</v>
      </c>
      <c r="BB280">
        <f t="shared" si="107"/>
        <v>-38827.866336348212</v>
      </c>
      <c r="BD280">
        <f t="shared" si="108"/>
        <v>-1982.1594221449352</v>
      </c>
      <c r="BF280">
        <f t="shared" si="109"/>
        <v>1966.9215780409986</v>
      </c>
      <c r="BH280">
        <f t="shared" si="94"/>
        <v>-232.00192770675523</v>
      </c>
      <c r="BJ280">
        <f t="shared" si="95"/>
        <v>196.1542970872803</v>
      </c>
      <c r="BN280" s="20">
        <f t="shared" si="96"/>
        <v>-89.5226285868617</v>
      </c>
      <c r="BP280">
        <f t="shared" si="97"/>
        <v>131.10655143336783</v>
      </c>
      <c r="BR280">
        <f t="shared" si="98"/>
        <v>-19.55398854544514</v>
      </c>
      <c r="BT280">
        <f t="shared" si="99"/>
        <v>13.328626355927533</v>
      </c>
      <c r="BV280">
        <f t="shared" si="100"/>
        <v>-122.92531057444837</v>
      </c>
      <c r="BX280">
        <f t="shared" si="101"/>
        <v>51.719119297984946</v>
      </c>
      <c r="CB280">
        <f t="shared" si="102"/>
        <v>56097.821522312246</v>
      </c>
      <c r="CD280">
        <f t="shared" si="103"/>
        <v>86692.301943321028</v>
      </c>
      <c r="CF280">
        <f t="shared" si="104"/>
        <v>61442.243489631444</v>
      </c>
    </row>
    <row r="281" spans="12:84" x14ac:dyDescent="0.25">
      <c r="L281">
        <v>270</v>
      </c>
      <c r="M281">
        <f t="shared" si="116"/>
        <v>1.6964600329384982</v>
      </c>
      <c r="P281">
        <f t="shared" si="110"/>
        <v>19373.333832178429</v>
      </c>
      <c r="Q281">
        <f t="shared" si="111"/>
        <v>12460.573506572382</v>
      </c>
      <c r="V281">
        <f t="shared" si="112"/>
        <v>-20438.666317475097</v>
      </c>
      <c r="W281">
        <f t="shared" si="113"/>
        <v>13472.401454600667</v>
      </c>
      <c r="AB281">
        <f t="shared" si="114"/>
        <v>-5626.6661678215705</v>
      </c>
      <c r="AC281">
        <f t="shared" si="115"/>
        <v>-10039.426493427618</v>
      </c>
      <c r="AW281">
        <v>274</v>
      </c>
      <c r="AX281">
        <f t="shared" si="105"/>
        <v>137</v>
      </c>
      <c r="AZ281">
        <f t="shared" si="106"/>
        <v>50613.673860476752</v>
      </c>
      <c r="BB281">
        <f t="shared" si="107"/>
        <v>-37819.886260191801</v>
      </c>
      <c r="BD281">
        <f t="shared" si="108"/>
        <v>-2098.1603859983129</v>
      </c>
      <c r="BF281">
        <f t="shared" si="109"/>
        <v>2064.9987265846389</v>
      </c>
      <c r="BH281">
        <f t="shared" si="94"/>
        <v>-242.1837078933176</v>
      </c>
      <c r="BJ281">
        <f t="shared" si="95"/>
        <v>204.58161902994044</v>
      </c>
      <c r="BN281" s="20">
        <f t="shared" si="96"/>
        <v>-93.271032457727912</v>
      </c>
      <c r="BP281">
        <f t="shared" si="97"/>
        <v>138.0766190173641</v>
      </c>
      <c r="BR281">
        <f t="shared" si="98"/>
        <v>-20.241098351748128</v>
      </c>
      <c r="BT281">
        <f t="shared" si="99"/>
        <v>13.707359609619608</v>
      </c>
      <c r="BV281">
        <f t="shared" si="100"/>
        <v>-128.67157708384156</v>
      </c>
      <c r="BX281">
        <f t="shared" si="101"/>
        <v>52.797640402956738</v>
      </c>
      <c r="CB281">
        <f t="shared" si="102"/>
        <v>54690.850403631128</v>
      </c>
      <c r="CD281">
        <f t="shared" si="103"/>
        <v>85282.075830806672</v>
      </c>
      <c r="CF281">
        <f t="shared" si="104"/>
        <v>60113.458802397705</v>
      </c>
    </row>
    <row r="282" spans="12:84" x14ac:dyDescent="0.25">
      <c r="L282">
        <v>271</v>
      </c>
      <c r="M282">
        <f t="shared" si="116"/>
        <v>1.7027432182456779</v>
      </c>
      <c r="P282">
        <f t="shared" si="110"/>
        <v>19342.178204538537</v>
      </c>
      <c r="Q282">
        <f t="shared" si="111"/>
        <v>12456.538155347527</v>
      </c>
      <c r="V282">
        <f t="shared" si="112"/>
        <v>-20460.475256823021</v>
      </c>
      <c r="W282">
        <f t="shared" si="113"/>
        <v>13469.576708743269</v>
      </c>
      <c r="AB282">
        <f t="shared" si="114"/>
        <v>-5657.821795461462</v>
      </c>
      <c r="AC282">
        <f t="shared" si="115"/>
        <v>-10043.461844652473</v>
      </c>
      <c r="AW282">
        <v>275</v>
      </c>
      <c r="AX282">
        <f t="shared" si="105"/>
        <v>137.5</v>
      </c>
      <c r="AZ282">
        <f t="shared" si="106"/>
        <v>49534.320703990932</v>
      </c>
      <c r="BB282">
        <f t="shared" si="107"/>
        <v>-36761.814194520739</v>
      </c>
      <c r="BD282">
        <f t="shared" si="108"/>
        <v>-2219.2522399449717</v>
      </c>
      <c r="BF282">
        <f t="shared" si="109"/>
        <v>2167.289536099609</v>
      </c>
      <c r="BH282">
        <f t="shared" si="94"/>
        <v>-253.57559348818961</v>
      </c>
      <c r="BJ282">
        <f t="shared" si="95"/>
        <v>214.07314708479541</v>
      </c>
      <c r="BN282" s="20">
        <f t="shared" si="96"/>
        <v>-97.435332949790052</v>
      </c>
      <c r="BP282">
        <f t="shared" si="97"/>
        <v>146.02213628777002</v>
      </c>
      <c r="BR282">
        <f t="shared" si="98"/>
        <v>-21.003871533916183</v>
      </c>
      <c r="BT282">
        <f t="shared" si="99"/>
        <v>14.125098628858821</v>
      </c>
      <c r="BV282">
        <f t="shared" si="100"/>
        <v>-135.13638900448339</v>
      </c>
      <c r="BX282">
        <f t="shared" si="101"/>
        <v>53.925912168166569</v>
      </c>
      <c r="CB282">
        <f t="shared" si="102"/>
        <v>53210.753567643311</v>
      </c>
      <c r="CD282">
        <f t="shared" si="103"/>
        <v>83795.519107696586</v>
      </c>
      <c r="CF282">
        <f t="shared" si="104"/>
        <v>58716.000303857363</v>
      </c>
    </row>
    <row r="283" spans="12:84" x14ac:dyDescent="0.25">
      <c r="L283">
        <v>272</v>
      </c>
      <c r="M283">
        <f t="shared" si="116"/>
        <v>1.7090264035528575</v>
      </c>
      <c r="P283">
        <f t="shared" si="110"/>
        <v>19311.04854657676</v>
      </c>
      <c r="Q283">
        <f t="shared" si="111"/>
        <v>12452.307128483249</v>
      </c>
      <c r="V283">
        <f t="shared" si="112"/>
        <v>-20482.266017396269</v>
      </c>
      <c r="W283">
        <f t="shared" si="113"/>
        <v>13466.614989938274</v>
      </c>
      <c r="AB283">
        <f t="shared" si="114"/>
        <v>-5688.9514534232394</v>
      </c>
      <c r="AC283">
        <f t="shared" si="115"/>
        <v>-10047.692871516751</v>
      </c>
      <c r="AW283">
        <v>276</v>
      </c>
      <c r="AX283">
        <f t="shared" si="105"/>
        <v>138</v>
      </c>
      <c r="AZ283">
        <f t="shared" si="106"/>
        <v>48392.997634832427</v>
      </c>
      <c r="BB283">
        <f t="shared" si="107"/>
        <v>-35651.410283085337</v>
      </c>
      <c r="BD283">
        <f t="shared" si="108"/>
        <v>-2346.0400366890667</v>
      </c>
      <c r="BF283">
        <f t="shared" si="109"/>
        <v>2274.3261096420065</v>
      </c>
      <c r="BH283">
        <f t="shared" si="94"/>
        <v>-266.36610518156539</v>
      </c>
      <c r="BJ283">
        <f t="shared" si="95"/>
        <v>224.80980853030329</v>
      </c>
      <c r="BN283" s="20">
        <f t="shared" si="96"/>
        <v>-102.07329557536916</v>
      </c>
      <c r="BP283">
        <f t="shared" si="97"/>
        <v>155.13003286823923</v>
      </c>
      <c r="BR283">
        <f t="shared" si="98"/>
        <v>-21.853510645189377</v>
      </c>
      <c r="BT283">
        <f t="shared" si="99"/>
        <v>14.586925783191806</v>
      </c>
      <c r="BV283">
        <f t="shared" si="100"/>
        <v>-142.43929896100687</v>
      </c>
      <c r="BX283">
        <f t="shared" si="101"/>
        <v>55.092849878872244</v>
      </c>
      <c r="CB283">
        <f t="shared" si="102"/>
        <v>51654.685403269687</v>
      </c>
      <c r="CD283">
        <f t="shared" si="103"/>
        <v>82229.273293108854</v>
      </c>
      <c r="CF283">
        <f t="shared" si="104"/>
        <v>57247.645742978319</v>
      </c>
    </row>
    <row r="284" spans="12:84" x14ac:dyDescent="0.25">
      <c r="L284">
        <v>273</v>
      </c>
      <c r="M284">
        <f t="shared" si="116"/>
        <v>1.7153095888600371</v>
      </c>
      <c r="P284">
        <f t="shared" si="110"/>
        <v>19279.946087238688</v>
      </c>
      <c r="Q284">
        <f t="shared" si="111"/>
        <v>12447.880593013248</v>
      </c>
      <c r="V284">
        <f t="shared" si="112"/>
        <v>-20504.037738932919</v>
      </c>
      <c r="W284">
        <f t="shared" si="113"/>
        <v>13463.516415109272</v>
      </c>
      <c r="AB284">
        <f t="shared" si="114"/>
        <v>-5720.0539127613101</v>
      </c>
      <c r="AC284">
        <f t="shared" si="115"/>
        <v>-10052.119406986752</v>
      </c>
      <c r="AW284">
        <v>277</v>
      </c>
      <c r="AX284">
        <f t="shared" si="105"/>
        <v>138.5</v>
      </c>
      <c r="AZ284">
        <f t="shared" si="106"/>
        <v>47186.681853340197</v>
      </c>
      <c r="BB284">
        <f t="shared" si="107"/>
        <v>-34486.146002198046</v>
      </c>
      <c r="BD284">
        <f t="shared" si="108"/>
        <v>-2479.2230892798493</v>
      </c>
      <c r="BF284">
        <f t="shared" si="109"/>
        <v>2386.7310139071583</v>
      </c>
      <c r="BH284">
        <f t="shared" si="94"/>
        <v>-280.78250009853571</v>
      </c>
      <c r="BJ284">
        <f t="shared" si="95"/>
        <v>237.01558876129565</v>
      </c>
      <c r="BN284" s="20">
        <f t="shared" si="96"/>
        <v>-107.25211737975972</v>
      </c>
      <c r="BP284">
        <f t="shared" si="97"/>
        <v>165.63636134941623</v>
      </c>
      <c r="BR284">
        <f t="shared" si="98"/>
        <v>-22.80359996824421</v>
      </c>
      <c r="BT284">
        <f t="shared" si="99"/>
        <v>15.098889386700638</v>
      </c>
      <c r="BV284">
        <f t="shared" si="100"/>
        <v>-150.72678275053178</v>
      </c>
      <c r="BX284">
        <f t="shared" si="101"/>
        <v>56.28033802517875</v>
      </c>
      <c r="CB284">
        <f t="shared" si="102"/>
        <v>50019.517453816246</v>
      </c>
      <c r="CD284">
        <f t="shared" si="103"/>
        <v>80579.571881406984</v>
      </c>
      <c r="CF284">
        <f t="shared" si="104"/>
        <v>55706.010886444972</v>
      </c>
    </row>
    <row r="285" spans="12:84" x14ac:dyDescent="0.25">
      <c r="L285">
        <v>274</v>
      </c>
      <c r="M285">
        <f t="shared" si="116"/>
        <v>1.7215927741672168</v>
      </c>
      <c r="P285">
        <f t="shared" si="110"/>
        <v>19248.872054396164</v>
      </c>
      <c r="Q285">
        <f t="shared" si="111"/>
        <v>12443.258723689563</v>
      </c>
      <c r="V285">
        <f t="shared" si="112"/>
        <v>-20525.789561922684</v>
      </c>
      <c r="W285">
        <f t="shared" si="113"/>
        <v>13460.281106582694</v>
      </c>
      <c r="AB285">
        <f t="shared" si="114"/>
        <v>-5751.1279456038355</v>
      </c>
      <c r="AC285">
        <f t="shared" si="115"/>
        <v>-10056.741276310437</v>
      </c>
      <c r="AW285">
        <v>278</v>
      </c>
      <c r="AX285">
        <f t="shared" si="105"/>
        <v>139</v>
      </c>
      <c r="AZ285">
        <f t="shared" si="106"/>
        <v>45911.972496187955</v>
      </c>
      <c r="BB285">
        <f t="shared" si="107"/>
        <v>-33263.153546649301</v>
      </c>
      <c r="BD285">
        <f t="shared" si="108"/>
        <v>-2619.6143393291172</v>
      </c>
      <c r="BF285">
        <f t="shared" si="109"/>
        <v>2505.238808287806</v>
      </c>
      <c r="BH285">
        <f t="shared" si="94"/>
        <v>-297.0998881428518</v>
      </c>
      <c r="BJ285">
        <f t="shared" si="95"/>
        <v>250.97052915835241</v>
      </c>
      <c r="BN285" s="20">
        <f t="shared" si="96"/>
        <v>-113.04946924903035</v>
      </c>
      <c r="BP285">
        <f t="shared" si="97"/>
        <v>177.84261209922855</v>
      </c>
      <c r="BR285">
        <f t="shared" si="98"/>
        <v>-23.870758998062001</v>
      </c>
      <c r="BT285">
        <f t="shared" si="99"/>
        <v>15.668235567793772</v>
      </c>
      <c r="BV285">
        <f t="shared" si="100"/>
        <v>-160.17965989575947</v>
      </c>
      <c r="BX285">
        <f t="shared" si="101"/>
        <v>57.459681491330102</v>
      </c>
      <c r="CB285">
        <f t="shared" si="102"/>
        <v>48301.811619347245</v>
      </c>
      <c r="CD285">
        <f t="shared" si="103"/>
        <v>78842.175091376004</v>
      </c>
      <c r="CF285">
        <f t="shared" si="104"/>
        <v>54088.554435491133</v>
      </c>
    </row>
    <row r="286" spans="12:84" x14ac:dyDescent="0.25">
      <c r="L286">
        <v>275</v>
      </c>
      <c r="M286">
        <f t="shared" si="116"/>
        <v>1.7278759594743964</v>
      </c>
      <c r="P286">
        <f t="shared" si="110"/>
        <v>19217.827674798795</v>
      </c>
      <c r="Q286">
        <f t="shared" si="111"/>
        <v>12438.441702975681</v>
      </c>
      <c r="V286">
        <f t="shared" si="112"/>
        <v>-20547.520627640843</v>
      </c>
      <c r="W286">
        <f t="shared" si="113"/>
        <v>13456.909192082976</v>
      </c>
      <c r="AB286">
        <f t="shared" si="114"/>
        <v>-5782.1723252012043</v>
      </c>
      <c r="AC286">
        <f t="shared" si="115"/>
        <v>-10061.558297024319</v>
      </c>
      <c r="AW286">
        <v>279</v>
      </c>
      <c r="AX286">
        <f t="shared" si="105"/>
        <v>139.5</v>
      </c>
      <c r="AZ286">
        <f t="shared" si="106"/>
        <v>44565.027840505543</v>
      </c>
      <c r="BB286">
        <f t="shared" si="107"/>
        <v>-31979.162826360604</v>
      </c>
      <c r="BD286">
        <f t="shared" si="108"/>
        <v>-2768.1642834005434</v>
      </c>
      <c r="BF286">
        <f t="shared" si="109"/>
        <v>2630.7240728669822</v>
      </c>
      <c r="BH286">
        <f t="shared" si="94"/>
        <v>-315.65239714125426</v>
      </c>
      <c r="BJ286">
        <f t="shared" si="95"/>
        <v>267.02853307495934</v>
      </c>
      <c r="BN286" s="20">
        <f t="shared" si="96"/>
        <v>-119.55398428962789</v>
      </c>
      <c r="BP286">
        <f t="shared" si="97"/>
        <v>192.13864698039123</v>
      </c>
      <c r="BR286">
        <f t="shared" si="98"/>
        <v>-25.0755214364045</v>
      </c>
      <c r="BT286">
        <f t="shared" si="99"/>
        <v>16.303708563946902</v>
      </c>
      <c r="BV286">
        <f t="shared" si="100"/>
        <v>-171.02289141522189</v>
      </c>
      <c r="BX286">
        <f t="shared" si="101"/>
        <v>58.586177530621228</v>
      </c>
      <c r="CB286">
        <f t="shared" si="102"/>
        <v>46497.794466782027</v>
      </c>
      <c r="CD286">
        <f t="shared" si="103"/>
        <v>77012.290783013013</v>
      </c>
      <c r="CF286">
        <f t="shared" si="104"/>
        <v>52392.594468246709</v>
      </c>
    </row>
    <row r="287" spans="12:84" x14ac:dyDescent="0.25">
      <c r="L287">
        <v>276</v>
      </c>
      <c r="M287">
        <f t="shared" si="116"/>
        <v>1.7341591447815761</v>
      </c>
      <c r="P287">
        <f t="shared" si="110"/>
        <v>19186.814174025531</v>
      </c>
      <c r="Q287">
        <f t="shared" si="111"/>
        <v>12433.429721039331</v>
      </c>
      <c r="V287">
        <f t="shared" si="112"/>
        <v>-20569.230078182129</v>
      </c>
      <c r="W287">
        <f t="shared" si="113"/>
        <v>13453.400804727533</v>
      </c>
      <c r="AB287">
        <f t="shared" si="114"/>
        <v>-5813.1858259744686</v>
      </c>
      <c r="AC287">
        <f t="shared" si="115"/>
        <v>-10066.570278960669</v>
      </c>
      <c r="AW287">
        <v>280</v>
      </c>
      <c r="AX287">
        <f t="shared" si="105"/>
        <v>140</v>
      </c>
      <c r="AZ287">
        <f t="shared" si="106"/>
        <v>43141.489149162611</v>
      </c>
      <c r="BB287">
        <f t="shared" si="107"/>
        <v>-30630.422223292742</v>
      </c>
      <c r="BD287">
        <f t="shared" si="108"/>
        <v>-2925.9904819711705</v>
      </c>
      <c r="BF287">
        <f t="shared" si="109"/>
        <v>2764.2383394044618</v>
      </c>
      <c r="BH287">
        <f t="shared" si="94"/>
        <v>-336.84644525573628</v>
      </c>
      <c r="BJ287">
        <f t="shared" si="95"/>
        <v>285.64207111323537</v>
      </c>
      <c r="BN287" s="20">
        <f t="shared" si="96"/>
        <v>-126.86434296600514</v>
      </c>
      <c r="BP287">
        <f t="shared" si="97"/>
        <v>209.03542253457093</v>
      </c>
      <c r="BR287">
        <f t="shared" si="98"/>
        <v>-26.443534738756572</v>
      </c>
      <c r="BT287">
        <f t="shared" si="99"/>
        <v>17.015943019238051</v>
      </c>
      <c r="BV287">
        <f t="shared" si="100"/>
        <v>-183.53856755097456</v>
      </c>
      <c r="BX287">
        <f t="shared" si="101"/>
        <v>59.590705559426375</v>
      </c>
      <c r="CB287">
        <f t="shared" si="102"/>
        <v>44603.336410714699</v>
      </c>
      <c r="CD287">
        <f t="shared" si="103"/>
        <v>75084.4781697047</v>
      </c>
      <c r="CF287">
        <f t="shared" si="104"/>
        <v>50615.344277969154</v>
      </c>
    </row>
    <row r="288" spans="12:84" x14ac:dyDescent="0.25">
      <c r="L288">
        <v>277</v>
      </c>
      <c r="M288">
        <f t="shared" si="116"/>
        <v>1.7404423300887557</v>
      </c>
      <c r="P288">
        <f t="shared" si="110"/>
        <v>19155.83277643628</v>
      </c>
      <c r="Q288">
        <f t="shared" si="111"/>
        <v>12428.222975744982</v>
      </c>
      <c r="V288">
        <f t="shared" si="112"/>
        <v>-20590.917056494603</v>
      </c>
      <c r="W288">
        <f t="shared" si="113"/>
        <v>13449.756083021486</v>
      </c>
      <c r="AB288">
        <f t="shared" si="114"/>
        <v>-5844.1672235637197</v>
      </c>
      <c r="AC288">
        <f t="shared" si="115"/>
        <v>-10071.777024255018</v>
      </c>
      <c r="AW288">
        <v>281</v>
      </c>
      <c r="AX288">
        <f t="shared" si="105"/>
        <v>140.5</v>
      </c>
      <c r="AZ288">
        <f t="shared" si="106"/>
        <v>41636.388102520061</v>
      </c>
      <c r="BB288">
        <f t="shared" si="107"/>
        <v>-29212.59779470136</v>
      </c>
      <c r="BD288">
        <f t="shared" si="108"/>
        <v>-3094.4137045990387</v>
      </c>
      <c r="BF288">
        <f t="shared" si="109"/>
        <v>2907.0593749610794</v>
      </c>
      <c r="BH288">
        <f t="shared" si="94"/>
        <v>-361.17555824799888</v>
      </c>
      <c r="BJ288">
        <f t="shared" si="95"/>
        <v>307.39689533761191</v>
      </c>
      <c r="BN288" s="20">
        <f t="shared" si="96"/>
        <v>-135.08519850548322</v>
      </c>
      <c r="BP288">
        <f t="shared" si="97"/>
        <v>229.21240538163434</v>
      </c>
      <c r="BR288">
        <f t="shared" si="98"/>
        <v>-28.007223241156368</v>
      </c>
      <c r="BT288">
        <f t="shared" si="99"/>
        <v>17.817980808271511</v>
      </c>
      <c r="BV288">
        <f t="shared" si="100"/>
        <v>-198.08313650135929</v>
      </c>
      <c r="BX288">
        <f t="shared" si="101"/>
        <v>60.366509147706054</v>
      </c>
      <c r="CB288">
        <f t="shared" si="102"/>
        <v>42613.942870360901</v>
      </c>
      <c r="CD288">
        <f t="shared" si="103"/>
        <v>73052.530169279518</v>
      </c>
      <c r="CF288">
        <f t="shared" si="104"/>
        <v>48753.980671559781</v>
      </c>
    </row>
    <row r="289" spans="12:84" x14ac:dyDescent="0.25">
      <c r="L289">
        <v>278</v>
      </c>
      <c r="M289">
        <f t="shared" si="116"/>
        <v>1.7467255153959353</v>
      </c>
      <c r="P289">
        <f t="shared" si="110"/>
        <v>19124.884705123568</v>
      </c>
      <c r="Q289">
        <f t="shared" si="111"/>
        <v>12422.821672646018</v>
      </c>
      <c r="V289">
        <f t="shared" si="112"/>
        <v>-20612.580706413501</v>
      </c>
      <c r="W289">
        <f t="shared" si="113"/>
        <v>13445.975170852213</v>
      </c>
      <c r="AB289">
        <f t="shared" si="114"/>
        <v>-5875.1152948764311</v>
      </c>
      <c r="AC289">
        <f t="shared" si="115"/>
        <v>-10077.178327353982</v>
      </c>
      <c r="AW289">
        <v>282</v>
      </c>
      <c r="AX289">
        <f t="shared" si="105"/>
        <v>141</v>
      </c>
      <c r="AZ289">
        <f t="shared" si="106"/>
        <v>40044.034305439542</v>
      </c>
      <c r="BB289">
        <f t="shared" si="107"/>
        <v>-27720.643495303619</v>
      </c>
      <c r="BD289">
        <f t="shared" si="108"/>
        <v>-3275.0014837230383</v>
      </c>
      <c r="BF289">
        <f t="shared" si="109"/>
        <v>3060.7578226298851</v>
      </c>
      <c r="BH289">
        <f t="shared" si="94"/>
        <v>-389.23458671455819</v>
      </c>
      <c r="BJ289">
        <f t="shared" si="95"/>
        <v>333.06139465670771</v>
      </c>
      <c r="BN289" s="20">
        <f t="shared" si="96"/>
        <v>-144.31631061381435</v>
      </c>
      <c r="BP289">
        <f t="shared" si="97"/>
        <v>253.58733921679922</v>
      </c>
      <c r="BR289">
        <f t="shared" si="98"/>
        <v>-29.808134430663287</v>
      </c>
      <c r="BT289">
        <f t="shared" si="99"/>
        <v>18.725957126722818</v>
      </c>
      <c r="BV289">
        <f t="shared" si="100"/>
        <v>-215.11014167008054</v>
      </c>
      <c r="BX289">
        <f t="shared" si="101"/>
        <v>60.748098313185686</v>
      </c>
      <c r="CB289">
        <f t="shared" si="102"/>
        <v>40524.770689800462</v>
      </c>
      <c r="CD289">
        <f t="shared" si="103"/>
        <v>70909.329438181769</v>
      </c>
      <c r="CF289">
        <f t="shared" si="104"/>
        <v>46805.766711423756</v>
      </c>
    </row>
    <row r="290" spans="12:84" x14ac:dyDescent="0.25">
      <c r="L290">
        <v>279</v>
      </c>
      <c r="M290">
        <f t="shared" si="116"/>
        <v>1.753008700703115</v>
      </c>
      <c r="P290">
        <f t="shared" si="110"/>
        <v>19093.971181864261</v>
      </c>
      <c r="Q290">
        <f t="shared" si="111"/>
        <v>12417.22602497664</v>
      </c>
      <c r="V290">
        <f t="shared" si="112"/>
        <v>-20634.220172695015</v>
      </c>
      <c r="W290">
        <f t="shared" si="113"/>
        <v>13442.058217483647</v>
      </c>
      <c r="AB290">
        <f t="shared" si="114"/>
        <v>-5906.0288181357373</v>
      </c>
      <c r="AC290">
        <f t="shared" si="115"/>
        <v>-10082.77397502336</v>
      </c>
      <c r="AW290">
        <v>283</v>
      </c>
      <c r="AX290">
        <f t="shared" si="105"/>
        <v>141.5</v>
      </c>
      <c r="AZ290">
        <f t="shared" si="106"/>
        <v>38357.879240238704</v>
      </c>
      <c r="BB290">
        <f t="shared" si="107"/>
        <v>-26148.631909656586</v>
      </c>
      <c r="BD290">
        <f t="shared" si="108"/>
        <v>-3469.6187770803172</v>
      </c>
      <c r="BF290">
        <f t="shared" si="109"/>
        <v>3227.2885199582388</v>
      </c>
      <c r="BH290">
        <f t="shared" si="94"/>
        <v>-421.7273599192597</v>
      </c>
      <c r="BJ290">
        <f t="shared" si="95"/>
        <v>363.65742191489574</v>
      </c>
      <c r="BN290" s="20">
        <f t="shared" si="96"/>
        <v>-154.62730257542052</v>
      </c>
      <c r="BP290">
        <f t="shared" si="97"/>
        <v>283.42038420968311</v>
      </c>
      <c r="BR290">
        <f t="shared" si="98"/>
        <v>-31.900312719271788</v>
      </c>
      <c r="BT290">
        <f t="shared" si="99"/>
        <v>19.760016595955641</v>
      </c>
      <c r="BV290">
        <f t="shared" si="100"/>
        <v>-235.19974462456739</v>
      </c>
      <c r="BX290">
        <f t="shared" si="101"/>
        <v>60.477021109257002</v>
      </c>
      <c r="CB290">
        <f t="shared" si="102"/>
        <v>38330.694744430955</v>
      </c>
      <c r="CD290">
        <f t="shared" si="103"/>
        <v>68646.672594949021</v>
      </c>
      <c r="CF290">
        <f t="shared" si="104"/>
        <v>44768.266502826926</v>
      </c>
    </row>
    <row r="291" spans="12:84" x14ac:dyDescent="0.25">
      <c r="L291">
        <v>280</v>
      </c>
      <c r="M291">
        <f t="shared" si="116"/>
        <v>1.7592918860102946</v>
      </c>
      <c r="P291">
        <f t="shared" si="110"/>
        <v>19063.093427071326</v>
      </c>
      <c r="Q291">
        <f t="shared" si="111"/>
        <v>12411.436253643435</v>
      </c>
      <c r="V291">
        <f t="shared" si="112"/>
        <v>-20655.834601050072</v>
      </c>
      <c r="W291">
        <f t="shared" si="113"/>
        <v>13438.005377550404</v>
      </c>
      <c r="AB291">
        <f t="shared" si="114"/>
        <v>-5936.906572928674</v>
      </c>
      <c r="AC291">
        <f t="shared" si="115"/>
        <v>-10088.563746356565</v>
      </c>
      <c r="AW291">
        <v>284</v>
      </c>
      <c r="AX291">
        <f t="shared" si="105"/>
        <v>142</v>
      </c>
      <c r="AZ291">
        <f t="shared" si="106"/>
        <v>36570.353931708632</v>
      </c>
      <c r="BB291">
        <f t="shared" si="107"/>
        <v>-24489.530471938106</v>
      </c>
      <c r="BD291">
        <f t="shared" si="108"/>
        <v>-3680.4824570399469</v>
      </c>
      <c r="BF291">
        <f t="shared" si="109"/>
        <v>3409.1172309156868</v>
      </c>
      <c r="BH291">
        <f t="shared" si="94"/>
        <v>-459.45277002452826</v>
      </c>
      <c r="BJ291">
        <f t="shared" si="95"/>
        <v>400.56229823810236</v>
      </c>
      <c r="BN291" s="20">
        <f t="shared" si="96"/>
        <v>-166.00192813834283</v>
      </c>
      <c r="BP291">
        <f t="shared" si="97"/>
        <v>320.47135266195426</v>
      </c>
      <c r="BR291">
        <f t="shared" si="98"/>
        <v>-34.355253363506947</v>
      </c>
      <c r="BT291">
        <f t="shared" si="99"/>
        <v>20.945539057122158</v>
      </c>
      <c r="BV291">
        <f t="shared" si="100"/>
        <v>-259.0955885226785</v>
      </c>
      <c r="BX291">
        <f t="shared" si="101"/>
        <v>59.145406519025912</v>
      </c>
      <c r="CB291">
        <f t="shared" si="102"/>
        <v>36026.472062042769</v>
      </c>
      <c r="CD291">
        <f t="shared" si="103"/>
        <v>66255.057589089221</v>
      </c>
      <c r="CF291">
        <f t="shared" si="104"/>
        <v>42639.717571594738</v>
      </c>
    </row>
    <row r="292" spans="12:84" x14ac:dyDescent="0.25">
      <c r="L292">
        <v>281</v>
      </c>
      <c r="M292">
        <f t="shared" si="116"/>
        <v>1.7655750713174743</v>
      </c>
      <c r="P292">
        <f t="shared" si="110"/>
        <v>19032.252659745649</v>
      </c>
      <c r="Q292">
        <f t="shared" si="111"/>
        <v>12405.45258721666</v>
      </c>
      <c r="V292">
        <f t="shared" si="112"/>
        <v>-20677.423138178048</v>
      </c>
      <c r="W292">
        <f t="shared" si="113"/>
        <v>13433.816811051662</v>
      </c>
      <c r="AB292">
        <f t="shared" si="114"/>
        <v>-5967.7473402543528</v>
      </c>
      <c r="AC292">
        <f t="shared" si="115"/>
        <v>-10094.54741278334</v>
      </c>
      <c r="AW292">
        <v>285</v>
      </c>
      <c r="AX292">
        <f t="shared" si="105"/>
        <v>142.5</v>
      </c>
      <c r="AZ292">
        <f t="shared" si="106"/>
        <v>34672.68110693559</v>
      </c>
      <c r="BB292">
        <f t="shared" si="107"/>
        <v>-22734.901569200498</v>
      </c>
      <c r="BD292">
        <f t="shared" si="108"/>
        <v>-3910.2088420522109</v>
      </c>
      <c r="BF292">
        <f t="shared" si="109"/>
        <v>3609.3983800347378</v>
      </c>
      <c r="BH292">
        <f t="shared" si="94"/>
        <v>-503.23288779832501</v>
      </c>
      <c r="BJ292">
        <f t="shared" si="95"/>
        <v>445.65435149053064</v>
      </c>
      <c r="BN292" s="20">
        <f t="shared" si="96"/>
        <v>-178.2168508235813</v>
      </c>
      <c r="BP292">
        <f t="shared" si="97"/>
        <v>367.23819616558387</v>
      </c>
      <c r="BR292">
        <f t="shared" si="98"/>
        <v>-37.269345267652497</v>
      </c>
      <c r="BT292">
        <f t="shared" si="99"/>
        <v>22.314770817602845</v>
      </c>
      <c r="BV292">
        <f t="shared" si="100"/>
        <v>-287.7466917070912</v>
      </c>
      <c r="BX292">
        <f t="shared" si="101"/>
        <v>56.101384507343909</v>
      </c>
      <c r="CB292">
        <f t="shared" si="102"/>
        <v>33607.095140238875</v>
      </c>
      <c r="CD292">
        <f t="shared" si="103"/>
        <v>63723.432426117142</v>
      </c>
      <c r="CF292">
        <f t="shared" si="104"/>
        <v>40419.677491264381</v>
      </c>
    </row>
    <row r="293" spans="12:84" x14ac:dyDescent="0.25">
      <c r="L293">
        <v>282</v>
      </c>
      <c r="M293">
        <f t="shared" si="116"/>
        <v>1.7718582566246539</v>
      </c>
      <c r="P293">
        <f t="shared" si="110"/>
        <v>19001.450097427914</v>
      </c>
      <c r="Q293">
        <f t="shared" si="111"/>
        <v>12399.275261921222</v>
      </c>
      <c r="V293">
        <f t="shared" si="112"/>
        <v>-20698.98493180046</v>
      </c>
      <c r="W293">
        <f t="shared" si="113"/>
        <v>13429.492683344857</v>
      </c>
      <c r="AB293">
        <f t="shared" si="114"/>
        <v>-5998.5499025720865</v>
      </c>
      <c r="AC293">
        <f t="shared" si="115"/>
        <v>-10100.724738078778</v>
      </c>
      <c r="AW293">
        <v>286</v>
      </c>
      <c r="AX293">
        <f t="shared" si="105"/>
        <v>143</v>
      </c>
      <c r="AZ293">
        <f t="shared" si="106"/>
        <v>32654.672574934692</v>
      </c>
      <c r="BB293">
        <f t="shared" si="107"/>
        <v>-20874.495585246816</v>
      </c>
      <c r="BD293">
        <f t="shared" si="108"/>
        <v>-4161.8252859513732</v>
      </c>
      <c r="BF293">
        <f t="shared" si="109"/>
        <v>3832.2255557800031</v>
      </c>
      <c r="BH293">
        <f t="shared" si="94"/>
        <v>-553.69572523199861</v>
      </c>
      <c r="BJ293">
        <f t="shared" si="95"/>
        <v>501.51230410884415</v>
      </c>
      <c r="BN293" s="20">
        <f t="shared" si="96"/>
        <v>-190.5770265140174</v>
      </c>
      <c r="BP293">
        <f t="shared" si="97"/>
        <v>427.31465120498063</v>
      </c>
      <c r="BR293">
        <f t="shared" si="98"/>
        <v>-40.775334929951804</v>
      </c>
      <c r="BT293">
        <f t="shared" si="99"/>
        <v>23.908949324300657</v>
      </c>
      <c r="BV293">
        <f t="shared" si="100"/>
        <v>-322.34336378802942</v>
      </c>
      <c r="BX293">
        <f t="shared" si="101"/>
        <v>50.288703579562892</v>
      </c>
      <c r="CB293">
        <f t="shared" si="102"/>
        <v>31068.516824850125</v>
      </c>
      <c r="CD293">
        <f t="shared" si="103"/>
        <v>61038.913994410199</v>
      </c>
      <c r="CF293">
        <f t="shared" si="104"/>
        <v>38110.156980870903</v>
      </c>
    </row>
    <row r="294" spans="12:84" x14ac:dyDescent="0.25">
      <c r="L294">
        <v>283</v>
      </c>
      <c r="M294">
        <f t="shared" si="116"/>
        <v>1.7781414419318335</v>
      </c>
      <c r="P294">
        <f t="shared" si="110"/>
        <v>18970.686956150541</v>
      </c>
      <c r="Q294">
        <f t="shared" si="111"/>
        <v>12392.90452162735</v>
      </c>
      <c r="V294">
        <f t="shared" si="112"/>
        <v>-20720.519130694622</v>
      </c>
      <c r="W294">
        <f t="shared" si="113"/>
        <v>13425.033165139144</v>
      </c>
      <c r="AB294">
        <f t="shared" si="114"/>
        <v>-6029.3130438494582</v>
      </c>
      <c r="AC294">
        <f t="shared" si="115"/>
        <v>-10107.09547837265</v>
      </c>
      <c r="AW294">
        <v>287</v>
      </c>
      <c r="AX294">
        <f t="shared" si="105"/>
        <v>143.5</v>
      </c>
      <c r="AZ294">
        <f t="shared" si="106"/>
        <v>30504.547966305006</v>
      </c>
      <c r="BB294">
        <f t="shared" si="107"/>
        <v>-18895.693769343208</v>
      </c>
      <c r="BD294">
        <f t="shared" si="108"/>
        <v>-4438.6731485673727</v>
      </c>
      <c r="BF294">
        <f t="shared" si="109"/>
        <v>4082.9817078344254</v>
      </c>
      <c r="BH294">
        <f t="shared" si="94"/>
        <v>-610.70278439218953</v>
      </c>
      <c r="BJ294">
        <f t="shared" si="95"/>
        <v>571.65455733644433</v>
      </c>
      <c r="BN294" s="20">
        <f t="shared" si="96"/>
        <v>-201.33019425718399</v>
      </c>
      <c r="BP294">
        <f t="shared" si="97"/>
        <v>505.89993697789805</v>
      </c>
      <c r="BR294">
        <f t="shared" si="98"/>
        <v>-45.060459264311781</v>
      </c>
      <c r="BT294">
        <f t="shared" si="99"/>
        <v>25.780910520696178</v>
      </c>
      <c r="BV294">
        <f t="shared" si="100"/>
        <v>-364.31213087069375</v>
      </c>
      <c r="BX294">
        <f t="shared" si="101"/>
        <v>39.973709837850159</v>
      </c>
      <c r="CB294">
        <f t="shared" si="102"/>
        <v>28409.121379256812</v>
      </c>
      <c r="CD294">
        <f t="shared" si="103"/>
        <v>58186.514620592825</v>
      </c>
      <c r="CF294">
        <f t="shared" si="104"/>
        <v>35717.633687524045</v>
      </c>
    </row>
    <row r="295" spans="12:84" x14ac:dyDescent="0.25">
      <c r="L295">
        <v>284</v>
      </c>
      <c r="M295">
        <f t="shared" si="116"/>
        <v>1.7844246272390132</v>
      </c>
      <c r="P295">
        <f t="shared" si="110"/>
        <v>18939.964450389674</v>
      </c>
      <c r="Q295">
        <f t="shared" si="111"/>
        <v>12386.340617840957</v>
      </c>
      <c r="V295">
        <f t="shared" si="112"/>
        <v>-20742.024884727227</v>
      </c>
      <c r="W295">
        <f t="shared" si="113"/>
        <v>13420.438432488671</v>
      </c>
      <c r="AB295">
        <f t="shared" si="114"/>
        <v>-6060.0355496103257</v>
      </c>
      <c r="AC295">
        <f t="shared" si="115"/>
        <v>-10113.659382159043</v>
      </c>
      <c r="AW295">
        <v>288</v>
      </c>
      <c r="AX295">
        <f t="shared" si="105"/>
        <v>144</v>
      </c>
      <c r="AZ295">
        <f t="shared" si="106"/>
        <v>28208.873543972295</v>
      </c>
      <c r="BB295">
        <f t="shared" si="107"/>
        <v>-16782.746095758939</v>
      </c>
      <c r="BD295">
        <f t="shared" si="108"/>
        <v>-4744.0245407634675</v>
      </c>
      <c r="BF295">
        <f t="shared" si="109"/>
        <v>4368.8089865026477</v>
      </c>
      <c r="BH295">
        <f t="shared" si="94"/>
        <v>-671.9184760079977</v>
      </c>
      <c r="BJ295">
        <f t="shared" si="95"/>
        <v>660.69369123190836</v>
      </c>
      <c r="BN295" s="20">
        <f t="shared" si="96"/>
        <v>-206.35082831363874</v>
      </c>
      <c r="BP295">
        <f t="shared" si="97"/>
        <v>610.40832749445826</v>
      </c>
      <c r="BR295">
        <f t="shared" si="98"/>
        <v>-50.395919042892601</v>
      </c>
      <c r="BT295">
        <f t="shared" si="99"/>
        <v>27.997773122765235</v>
      </c>
      <c r="BV295">
        <f t="shared" si="100"/>
        <v>-415.17172865146637</v>
      </c>
      <c r="BX295">
        <f t="shared" si="101"/>
        <v>22.287590614684806</v>
      </c>
      <c r="CB295">
        <f t="shared" si="102"/>
        <v>25632.740056654584</v>
      </c>
      <c r="CD295">
        <f t="shared" si="103"/>
        <v>55148.988901054225</v>
      </c>
      <c r="CF295">
        <f t="shared" si="104"/>
        <v>33256.690540423391</v>
      </c>
    </row>
    <row r="296" spans="12:84" x14ac:dyDescent="0.25">
      <c r="L296">
        <v>285</v>
      </c>
      <c r="M296">
        <f t="shared" si="116"/>
        <v>1.7907078125461928</v>
      </c>
      <c r="P296">
        <f t="shared" si="110"/>
        <v>18909.283793017235</v>
      </c>
      <c r="Q296">
        <f t="shared" si="111"/>
        <v>12379.583809693726</v>
      </c>
      <c r="V296">
        <f t="shared" si="112"/>
        <v>-20763.501344887936</v>
      </c>
      <c r="W296">
        <f t="shared" si="113"/>
        <v>13415.708666785607</v>
      </c>
      <c r="AB296">
        <f t="shared" si="114"/>
        <v>-6090.7162069827646</v>
      </c>
      <c r="AC296">
        <f t="shared" si="115"/>
        <v>-10120.416190306274</v>
      </c>
      <c r="AW296">
        <v>289</v>
      </c>
      <c r="AX296">
        <f t="shared" si="105"/>
        <v>144.5</v>
      </c>
      <c r="AZ296">
        <f t="shared" si="106"/>
        <v>25752.871464089563</v>
      </c>
      <c r="BB296">
        <f t="shared" si="107"/>
        <v>-14515.754891103627</v>
      </c>
      <c r="BD296">
        <f t="shared" si="108"/>
        <v>-5079.983778767466</v>
      </c>
      <c r="BF296">
        <f t="shared" si="109"/>
        <v>4699.1558321186021</v>
      </c>
      <c r="BH296">
        <f t="shared" si="94"/>
        <v>-729.3476068547759</v>
      </c>
      <c r="BJ296">
        <f t="shared" si="95"/>
        <v>773.85635717332002</v>
      </c>
      <c r="BN296" s="20">
        <f t="shared" si="96"/>
        <v>-196.16568676126093</v>
      </c>
      <c r="BP296">
        <f t="shared" si="97"/>
        <v>750.70957255680776</v>
      </c>
      <c r="BR296">
        <f t="shared" si="98"/>
        <v>-57.18601934013828</v>
      </c>
      <c r="BT296">
        <f t="shared" si="99"/>
        <v>30.641976961841799</v>
      </c>
      <c r="BV296">
        <f t="shared" si="100"/>
        <v>-475.99590075337665</v>
      </c>
      <c r="BX296">
        <f t="shared" si="101"/>
        <v>-7.4951923453295048</v>
      </c>
      <c r="CB296">
        <f t="shared" si="102"/>
        <v>22754.977334805</v>
      </c>
      <c r="CD296">
        <f t="shared" si="103"/>
        <v>51907.104379749144</v>
      </c>
      <c r="CF296">
        <f t="shared" si="104"/>
        <v>30756.683771374057</v>
      </c>
    </row>
    <row r="297" spans="12:84" x14ac:dyDescent="0.25">
      <c r="L297">
        <v>286</v>
      </c>
      <c r="M297">
        <f t="shared" si="116"/>
        <v>1.7969909978533725</v>
      </c>
      <c r="P297">
        <f t="shared" si="110"/>
        <v>18878.646195253041</v>
      </c>
      <c r="Q297">
        <f t="shared" si="111"/>
        <v>12372.634363932873</v>
      </c>
      <c r="V297">
        <f t="shared" si="112"/>
        <v>-20784.94766332287</v>
      </c>
      <c r="W297">
        <f t="shared" si="113"/>
        <v>13410.844054753012</v>
      </c>
      <c r="AB297">
        <f t="shared" si="114"/>
        <v>-6121.3538047469583</v>
      </c>
      <c r="AC297">
        <f t="shared" si="115"/>
        <v>-10127.365636067127</v>
      </c>
      <c r="AW297">
        <v>290</v>
      </c>
      <c r="AX297">
        <f t="shared" si="105"/>
        <v>145</v>
      </c>
      <c r="AZ297">
        <f t="shared" si="106"/>
        <v>23121.711123848985</v>
      </c>
      <c r="BB297">
        <f t="shared" si="107"/>
        <v>-12069.44493039766</v>
      </c>
      <c r="BD297">
        <f t="shared" si="108"/>
        <v>-5444.6575821948536</v>
      </c>
      <c r="BF297">
        <f t="shared" si="109"/>
        <v>5086.0840107052618</v>
      </c>
      <c r="BH297">
        <f t="shared" si="94"/>
        <v>-761.38551829887399</v>
      </c>
      <c r="BJ297">
        <f t="shared" si="95"/>
        <v>913.81690509006069</v>
      </c>
      <c r="BN297" s="20">
        <f t="shared" si="96"/>
        <v>-149.45366721130364</v>
      </c>
      <c r="BP297">
        <f t="shared" si="97"/>
        <v>936.89812865563226</v>
      </c>
      <c r="BR297">
        <f t="shared" si="98"/>
        <v>-66.051539335560818</v>
      </c>
      <c r="BT297">
        <f t="shared" si="99"/>
        <v>33.804799761945063</v>
      </c>
      <c r="BV297">
        <f t="shared" si="100"/>
        <v>-545.88031175200956</v>
      </c>
      <c r="BX297">
        <f t="shared" si="101"/>
        <v>-56.886023327516639</v>
      </c>
      <c r="CB297">
        <f t="shared" si="102"/>
        <v>19816.867946893857</v>
      </c>
      <c r="CD297">
        <f t="shared" si="103"/>
        <v>48441.122713914636</v>
      </c>
      <c r="CF297">
        <f t="shared" si="104"/>
        <v>28273.994934377133</v>
      </c>
    </row>
    <row r="298" spans="12:84" x14ac:dyDescent="0.25">
      <c r="L298">
        <v>287</v>
      </c>
      <c r="M298">
        <f t="shared" si="116"/>
        <v>1.8032741831605521</v>
      </c>
      <c r="P298">
        <f t="shared" si="110"/>
        <v>18848.052866616996</v>
      </c>
      <c r="Q298">
        <f t="shared" si="111"/>
        <v>12365.492554910619</v>
      </c>
      <c r="V298">
        <f t="shared" si="112"/>
        <v>-20806.362993368104</v>
      </c>
      <c r="W298">
        <f t="shared" si="113"/>
        <v>13405.844788437435</v>
      </c>
      <c r="AB298">
        <f t="shared" si="114"/>
        <v>-6151.9471333830052</v>
      </c>
      <c r="AC298">
        <f t="shared" si="115"/>
        <v>-10134.507445089381</v>
      </c>
      <c r="AW298">
        <v>291</v>
      </c>
      <c r="AX298">
        <f t="shared" si="105"/>
        <v>145.5</v>
      </c>
      <c r="AZ298">
        <f t="shared" si="106"/>
        <v>20304.209142964199</v>
      </c>
      <c r="BB298">
        <f t="shared" si="107"/>
        <v>-9412.1758119087717</v>
      </c>
      <c r="BD298">
        <f t="shared" si="108"/>
        <v>-5825.3503413442904</v>
      </c>
      <c r="BF298">
        <f t="shared" si="109"/>
        <v>5542.9924632502925</v>
      </c>
      <c r="BH298">
        <f t="shared" si="94"/>
        <v>-717.2154653890284</v>
      </c>
      <c r="BJ298">
        <f t="shared" si="95"/>
        <v>1068.1717413370361</v>
      </c>
      <c r="BN298" s="20">
        <f t="shared" si="96"/>
        <v>-20.994095428536184</v>
      </c>
      <c r="BP298">
        <f t="shared" si="97"/>
        <v>1167.1438584644361</v>
      </c>
      <c r="BR298">
        <f t="shared" si="98"/>
        <v>-77.970290420072104</v>
      </c>
      <c r="BT298">
        <f t="shared" si="99"/>
        <v>37.553720018948596</v>
      </c>
      <c r="BV298">
        <f t="shared" si="100"/>
        <v>-618.25107954042016</v>
      </c>
      <c r="BX298">
        <f t="shared" si="101"/>
        <v>-136.52583714634855</v>
      </c>
      <c r="CB298">
        <f t="shared" si="102"/>
        <v>16914.911584030673</v>
      </c>
      <c r="CD298">
        <f t="shared" si="103"/>
        <v>44735.465174649238</v>
      </c>
      <c r="CF298">
        <f t="shared" si="104"/>
        <v>25913.833747785957</v>
      </c>
    </row>
    <row r="299" spans="12:84" x14ac:dyDescent="0.25">
      <c r="L299">
        <v>288</v>
      </c>
      <c r="M299">
        <f t="shared" si="116"/>
        <v>1.8095573684677317</v>
      </c>
      <c r="P299">
        <f t="shared" si="110"/>
        <v>18817.505014881324</v>
      </c>
      <c r="Q299">
        <f t="shared" si="111"/>
        <v>12358.158664573357</v>
      </c>
      <c r="V299">
        <f t="shared" si="112"/>
        <v>-20827.746489583074</v>
      </c>
      <c r="W299">
        <f t="shared" si="113"/>
        <v>13400.711065201351</v>
      </c>
      <c r="AB299">
        <f t="shared" si="114"/>
        <v>-6182.4949851186757</v>
      </c>
      <c r="AC299">
        <f t="shared" si="115"/>
        <v>-10141.841335426643</v>
      </c>
      <c r="AW299">
        <v>292</v>
      </c>
      <c r="AX299">
        <f t="shared" si="105"/>
        <v>146</v>
      </c>
      <c r="AZ299">
        <f t="shared" si="106"/>
        <v>17301.882039118427</v>
      </c>
      <c r="BB299">
        <f t="shared" si="107"/>
        <v>-6507.1581126164965</v>
      </c>
      <c r="BD299">
        <f t="shared" si="108"/>
        <v>-6183.9580740388046</v>
      </c>
      <c r="BF299">
        <f t="shared" si="109"/>
        <v>6077.078333918811</v>
      </c>
      <c r="BH299">
        <f t="shared" si="94"/>
        <v>-501.36134156879001</v>
      </c>
      <c r="BJ299">
        <f t="shared" si="95"/>
        <v>1172.3631283145012</v>
      </c>
      <c r="BN299" s="20">
        <f t="shared" si="96"/>
        <v>267.21679921111667</v>
      </c>
      <c r="BP299">
        <f t="shared" si="97"/>
        <v>1387.2440016204666</v>
      </c>
      <c r="BR299">
        <f t="shared" si="98"/>
        <v>-94.497241673548373</v>
      </c>
      <c r="BT299">
        <f t="shared" si="99"/>
        <v>41.817753535211736</v>
      </c>
      <c r="BV299">
        <f t="shared" si="100"/>
        <v>-674.08089910635829</v>
      </c>
      <c r="BX299">
        <f t="shared" si="101"/>
        <v>-256.6986268411772</v>
      </c>
      <c r="CB299">
        <f t="shared" si="102"/>
        <v>14264.652779604201</v>
      </c>
      <c r="CD299">
        <f t="shared" si="103"/>
        <v>40791.134730664533</v>
      </c>
      <c r="CF299">
        <f t="shared" si="104"/>
        <v>23864.247438602561</v>
      </c>
    </row>
    <row r="300" spans="12:84" x14ac:dyDescent="0.25">
      <c r="L300">
        <v>289</v>
      </c>
      <c r="M300">
        <f t="shared" si="116"/>
        <v>1.8158405537749114</v>
      </c>
      <c r="P300">
        <f t="shared" si="110"/>
        <v>18787.003846022912</v>
      </c>
      <c r="Q300">
        <f t="shared" si="111"/>
        <v>12350.632982450516</v>
      </c>
      <c r="V300">
        <f t="shared" si="112"/>
        <v>-20849.097307783963</v>
      </c>
      <c r="W300">
        <f t="shared" si="113"/>
        <v>13395.443087715361</v>
      </c>
      <c r="AB300">
        <f t="shared" si="114"/>
        <v>-6212.9961539770902</v>
      </c>
      <c r="AC300">
        <f t="shared" si="115"/>
        <v>-10149.367017549484</v>
      </c>
      <c r="AW300">
        <v>293</v>
      </c>
      <c r="AX300">
        <f t="shared" si="105"/>
        <v>146.5</v>
      </c>
      <c r="AZ300">
        <f t="shared" si="106"/>
        <v>14147.232834402927</v>
      </c>
      <c r="BB300">
        <f t="shared" si="107"/>
        <v>-3322.0735546177784</v>
      </c>
      <c r="BD300">
        <f t="shared" si="108"/>
        <v>-6434.6387448231999</v>
      </c>
      <c r="BF300">
        <f t="shared" si="109"/>
        <v>6663.2598980760613</v>
      </c>
      <c r="BH300">
        <f t="shared" si="94"/>
        <v>-26.171697354754315</v>
      </c>
      <c r="BJ300">
        <f t="shared" si="95"/>
        <v>1054.8752508172965</v>
      </c>
      <c r="BN300" s="20">
        <f t="shared" si="96"/>
        <v>768.92521983278311</v>
      </c>
      <c r="BP300">
        <f t="shared" si="97"/>
        <v>1421.7830731324016</v>
      </c>
      <c r="BR300">
        <f t="shared" si="98"/>
        <v>-118.01853908138341</v>
      </c>
      <c r="BT300">
        <f t="shared" si="99"/>
        <v>46.043310919961229</v>
      </c>
      <c r="BV300">
        <f t="shared" si="100"/>
        <v>-677.07837810615399</v>
      </c>
      <c r="BX300">
        <f t="shared" si="101"/>
        <v>-412.95113323506621</v>
      </c>
      <c r="CB300">
        <f t="shared" si="102"/>
        <v>12303.339364426582</v>
      </c>
      <c r="CD300">
        <f t="shared" si="103"/>
        <v>36653.937769925506</v>
      </c>
      <c r="CF300">
        <f t="shared" si="104"/>
        <v>22427.44950453785</v>
      </c>
    </row>
    <row r="301" spans="12:84" x14ac:dyDescent="0.25">
      <c r="L301">
        <v>290</v>
      </c>
      <c r="M301">
        <f t="shared" si="116"/>
        <v>1.822123739082091</v>
      </c>
      <c r="P301">
        <f t="shared" si="110"/>
        <v>18756.550564175672</v>
      </c>
      <c r="Q301">
        <f t="shared" si="111"/>
        <v>12342.915805643142</v>
      </c>
      <c r="V301">
        <f t="shared" si="112"/>
        <v>-20870.414605077029</v>
      </c>
      <c r="W301">
        <f t="shared" si="113"/>
        <v>13390.041063950199</v>
      </c>
      <c r="AB301">
        <f t="shared" si="114"/>
        <v>-6243.4494358243264</v>
      </c>
      <c r="AC301">
        <f t="shared" si="115"/>
        <v>-10157.084194356858</v>
      </c>
      <c r="AW301">
        <v>294</v>
      </c>
      <c r="AX301">
        <f t="shared" si="105"/>
        <v>147</v>
      </c>
      <c r="AZ301">
        <f t="shared" si="106"/>
        <v>10926.641999821983</v>
      </c>
      <c r="BB301">
        <f t="shared" si="107"/>
        <v>141.41580077241429</v>
      </c>
      <c r="BD301">
        <f t="shared" si="108"/>
        <v>-6447.7245935005767</v>
      </c>
      <c r="BF301">
        <f t="shared" si="109"/>
        <v>7190.6975234847096</v>
      </c>
      <c r="BH301">
        <f t="shared" si="94"/>
        <v>562.21891410062551</v>
      </c>
      <c r="BJ301">
        <f t="shared" si="95"/>
        <v>544.57834280030602</v>
      </c>
      <c r="BN301" s="20">
        <f t="shared" si="96"/>
        <v>1306.4414655776086</v>
      </c>
      <c r="BP301">
        <f t="shared" si="97"/>
        <v>1059.5371113568431</v>
      </c>
      <c r="BR301">
        <f t="shared" si="98"/>
        <v>-151.69443740678656</v>
      </c>
      <c r="BT301">
        <f t="shared" si="99"/>
        <v>48.356119094270632</v>
      </c>
      <c r="BV301">
        <f t="shared" si="100"/>
        <v>-592.52811407019647</v>
      </c>
      <c r="BX301">
        <f t="shared" si="101"/>
        <v>-563.31488765080758</v>
      </c>
      <c r="CB301">
        <f t="shared" si="102"/>
        <v>11682.233811070395</v>
      </c>
      <c r="CD301">
        <f t="shared" si="103"/>
        <v>32459.957914304399</v>
      </c>
      <c r="CF301">
        <f t="shared" si="104"/>
        <v>21975.449889419193</v>
      </c>
    </row>
    <row r="302" spans="12:84" x14ac:dyDescent="0.25">
      <c r="L302">
        <v>291</v>
      </c>
      <c r="M302">
        <f t="shared" si="116"/>
        <v>1.8284069243892707</v>
      </c>
      <c r="P302">
        <f t="shared" si="110"/>
        <v>18726.146371583036</v>
      </c>
      <c r="Q302">
        <f t="shared" si="111"/>
        <v>12335.007438812161</v>
      </c>
      <c r="V302">
        <f t="shared" si="112"/>
        <v>-20891.697539891873</v>
      </c>
      <c r="W302">
        <f t="shared" si="113"/>
        <v>13384.505207168513</v>
      </c>
      <c r="AB302">
        <f t="shared" si="114"/>
        <v>-6273.8536284169641</v>
      </c>
      <c r="AC302">
        <f t="shared" si="115"/>
        <v>-10164.992561187839</v>
      </c>
      <c r="AW302">
        <v>295</v>
      </c>
      <c r="AX302">
        <f t="shared" si="105"/>
        <v>147.5</v>
      </c>
      <c r="AZ302">
        <f t="shared" si="106"/>
        <v>7773.0570673342718</v>
      </c>
      <c r="BB302">
        <f t="shared" si="107"/>
        <v>3804.836855364807</v>
      </c>
      <c r="BD302">
        <f t="shared" si="108"/>
        <v>-6166.6151364502639</v>
      </c>
      <c r="BF302">
        <f t="shared" si="109"/>
        <v>7462.986694884863</v>
      </c>
      <c r="BH302">
        <f t="shared" si="94"/>
        <v>864.86697913649857</v>
      </c>
      <c r="BJ302">
        <f t="shared" si="95"/>
        <v>-145.35912049537018</v>
      </c>
      <c r="BN302" s="20">
        <f t="shared" si="96"/>
        <v>1499.7041506701216</v>
      </c>
      <c r="BP302">
        <f t="shared" si="97"/>
        <v>453.23279383332027</v>
      </c>
      <c r="BR302">
        <f t="shared" si="98"/>
        <v>-198.21521112059227</v>
      </c>
      <c r="BT302">
        <f t="shared" si="99"/>
        <v>44.21463462460099</v>
      </c>
      <c r="BV302">
        <f t="shared" si="100"/>
        <v>-436.62196041303071</v>
      </c>
      <c r="BX302">
        <f t="shared" si="101"/>
        <v>-642.80654895329144</v>
      </c>
      <c r="CB302">
        <f t="shared" si="102"/>
        <v>12773.110981438102</v>
      </c>
      <c r="CD302">
        <f t="shared" si="103"/>
        <v>28455.627655246906</v>
      </c>
      <c r="CF302">
        <f t="shared" si="104"/>
        <v>22732.63900215425</v>
      </c>
    </row>
    <row r="303" spans="12:84" x14ac:dyDescent="0.25">
      <c r="L303">
        <v>292</v>
      </c>
      <c r="M303">
        <f t="shared" si="116"/>
        <v>1.8346901096964503</v>
      </c>
      <c r="P303">
        <f t="shared" si="110"/>
        <v>18695.792468550462</v>
      </c>
      <c r="Q303">
        <f t="shared" si="111"/>
        <v>12326.908194166355</v>
      </c>
      <c r="V303">
        <f t="shared" si="112"/>
        <v>-20912.945272014676</v>
      </c>
      <c r="W303">
        <f t="shared" si="113"/>
        <v>13378.835735916447</v>
      </c>
      <c r="AB303">
        <f t="shared" si="114"/>
        <v>-6304.2075314495378</v>
      </c>
      <c r="AC303">
        <f t="shared" si="115"/>
        <v>-10173.091805833645</v>
      </c>
      <c r="AW303">
        <v>296</v>
      </c>
      <c r="AX303">
        <f t="shared" si="105"/>
        <v>148</v>
      </c>
      <c r="AZ303">
        <f t="shared" si="106"/>
        <v>4797.8578715012018</v>
      </c>
      <c r="BB303">
        <f t="shared" si="107"/>
        <v>7518.1603127453172</v>
      </c>
      <c r="BD303">
        <f t="shared" si="108"/>
        <v>-5734.1816468820143</v>
      </c>
      <c r="BF303">
        <f t="shared" si="109"/>
        <v>7390.307134637178</v>
      </c>
      <c r="BH303">
        <f t="shared" si="94"/>
        <v>789.21708006094013</v>
      </c>
      <c r="BJ303">
        <f t="shared" si="95"/>
        <v>-608.34923616791468</v>
      </c>
      <c r="BN303" s="20">
        <f t="shared" si="96"/>
        <v>1321.1554081086035</v>
      </c>
      <c r="BP303">
        <f t="shared" si="97"/>
        <v>-1.5782378031739088</v>
      </c>
      <c r="BR303">
        <f t="shared" si="98"/>
        <v>-256.74619245604816</v>
      </c>
      <c r="BT303">
        <f t="shared" si="99"/>
        <v>25.695884430455223</v>
      </c>
      <c r="BV303">
        <f t="shared" si="100"/>
        <v>-275.19213559161523</v>
      </c>
      <c r="BX303">
        <f t="shared" si="101"/>
        <v>-632.46688279519594</v>
      </c>
      <c r="CB303">
        <f t="shared" si="102"/>
        <v>15202.152975550438</v>
      </c>
      <c r="CD303">
        <f t="shared" si="103"/>
        <v>24921.743182378043</v>
      </c>
      <c r="CF303">
        <f t="shared" si="104"/>
        <v>24557.39323993156</v>
      </c>
    </row>
    <row r="304" spans="12:84" x14ac:dyDescent="0.25">
      <c r="L304">
        <v>293</v>
      </c>
      <c r="M304">
        <f t="shared" si="116"/>
        <v>1.8409732950036299</v>
      </c>
      <c r="P304">
        <f t="shared" si="110"/>
        <v>18665.490053398069</v>
      </c>
      <c r="Q304">
        <f t="shared" si="111"/>
        <v>12318.618391450033</v>
      </c>
      <c r="V304">
        <f t="shared" si="112"/>
        <v>-20934.156962621353</v>
      </c>
      <c r="W304">
        <f t="shared" si="113"/>
        <v>13373.032874015023</v>
      </c>
      <c r="AB304">
        <f t="shared" si="114"/>
        <v>-6334.509946601931</v>
      </c>
      <c r="AC304">
        <f t="shared" si="115"/>
        <v>-10181.381608549967</v>
      </c>
      <c r="AW304">
        <v>297</v>
      </c>
      <c r="AX304">
        <f t="shared" si="105"/>
        <v>148.5</v>
      </c>
      <c r="AZ304">
        <f t="shared" si="106"/>
        <v>2029.4191830678121</v>
      </c>
      <c r="BB304">
        <f t="shared" si="107"/>
        <v>11137.270225542918</v>
      </c>
      <c r="BD304">
        <f t="shared" si="108"/>
        <v>-5339.5731068515443</v>
      </c>
      <c r="BF304">
        <f t="shared" si="109"/>
        <v>7086.1325165532207</v>
      </c>
      <c r="BH304">
        <f t="shared" si="94"/>
        <v>560.53967895155756</v>
      </c>
      <c r="BJ304">
        <f t="shared" si="95"/>
        <v>-795.22261716909952</v>
      </c>
      <c r="BN304" s="20">
        <f t="shared" si="96"/>
        <v>1032.9392844025599</v>
      </c>
      <c r="BP304">
        <f t="shared" si="97"/>
        <v>-209.06832907765872</v>
      </c>
      <c r="BR304">
        <f t="shared" si="98"/>
        <v>-319.18956823603747</v>
      </c>
      <c r="BT304">
        <f t="shared" si="99"/>
        <v>-16.47818261762237</v>
      </c>
      <c r="BV304">
        <f t="shared" si="100"/>
        <v>-153.21003721496481</v>
      </c>
      <c r="BX304">
        <f t="shared" si="101"/>
        <v>-569.67610547381844</v>
      </c>
      <c r="CB304">
        <f t="shared" si="102"/>
        <v>18334.98049062262</v>
      </c>
      <c r="CD304">
        <f t="shared" si="103"/>
        <v>22058.755475076618</v>
      </c>
      <c r="CF304">
        <f t="shared" si="104"/>
        <v>27066.023514626857</v>
      </c>
    </row>
    <row r="305" spans="12:84" x14ac:dyDescent="0.25">
      <c r="L305">
        <v>294</v>
      </c>
      <c r="M305">
        <f t="shared" si="116"/>
        <v>1.8472564803108096</v>
      </c>
      <c r="P305">
        <f t="shared" si="110"/>
        <v>18635.24032241332</v>
      </c>
      <c r="Q305">
        <f t="shared" si="111"/>
        <v>12310.138357930413</v>
      </c>
      <c r="V305">
        <f t="shared" si="112"/>
        <v>-20955.331774310675</v>
      </c>
      <c r="W305">
        <f t="shared" si="113"/>
        <v>13367.09685055129</v>
      </c>
      <c r="AB305">
        <f t="shared" si="114"/>
        <v>-6364.7596775866805</v>
      </c>
      <c r="AC305">
        <f t="shared" si="115"/>
        <v>-10189.861642069587</v>
      </c>
      <c r="AW305">
        <v>298</v>
      </c>
      <c r="AX305">
        <f t="shared" si="105"/>
        <v>149</v>
      </c>
      <c r="AZ305">
        <f t="shared" si="106"/>
        <v>-570.29991048901525</v>
      </c>
      <c r="BB305">
        <f t="shared" si="107"/>
        <v>14580.933656673391</v>
      </c>
      <c r="BD305">
        <f t="shared" si="108"/>
        <v>-5059.3032673757652</v>
      </c>
      <c r="BF305">
        <f t="shared" si="109"/>
        <v>6688.5212079686708</v>
      </c>
      <c r="BH305">
        <f t="shared" si="94"/>
        <v>342.12847956285049</v>
      </c>
      <c r="BJ305">
        <f t="shared" si="95"/>
        <v>-850.76396461954721</v>
      </c>
      <c r="BN305" s="20">
        <f t="shared" si="96"/>
        <v>784.68008060084412</v>
      </c>
      <c r="BP305">
        <f t="shared" si="97"/>
        <v>-270.11116107327666</v>
      </c>
      <c r="BR305">
        <f t="shared" si="98"/>
        <v>-368.61406477949117</v>
      </c>
      <c r="BT305">
        <f t="shared" si="99"/>
        <v>-86.908010308565494</v>
      </c>
      <c r="BV305">
        <f t="shared" si="100"/>
        <v>-73.937536258502462</v>
      </c>
      <c r="BX305">
        <f t="shared" si="101"/>
        <v>-493.74479323770504</v>
      </c>
      <c r="CB305">
        <f t="shared" si="102"/>
        <v>21754.927254708859</v>
      </c>
      <c r="CD305">
        <f t="shared" si="103"/>
        <v>19962.419661333297</v>
      </c>
      <c r="CF305">
        <f t="shared" si="104"/>
        <v>29910.765267433835</v>
      </c>
    </row>
    <row r="306" spans="12:84" x14ac:dyDescent="0.25">
      <c r="L306">
        <v>295</v>
      </c>
      <c r="M306">
        <f t="shared" si="116"/>
        <v>1.8535396656179892</v>
      </c>
      <c r="P306">
        <f t="shared" si="110"/>
        <v>18605.044469803801</v>
      </c>
      <c r="Q306">
        <f t="shared" si="111"/>
        <v>12301.4684283847</v>
      </c>
      <c r="V306">
        <f t="shared" si="112"/>
        <v>-20976.468871137338</v>
      </c>
      <c r="W306">
        <f t="shared" si="113"/>
        <v>13361.02789986929</v>
      </c>
      <c r="AB306">
        <f t="shared" si="114"/>
        <v>-6394.9555301962</v>
      </c>
      <c r="AC306">
        <f t="shared" si="115"/>
        <v>-10198.5315716153</v>
      </c>
      <c r="AW306">
        <v>299</v>
      </c>
      <c r="AX306">
        <f t="shared" si="105"/>
        <v>149.5</v>
      </c>
      <c r="AZ306">
        <f t="shared" si="106"/>
        <v>-3057.185484231542</v>
      </c>
      <c r="BB306">
        <f t="shared" si="107"/>
        <v>17818.848765080282</v>
      </c>
      <c r="BD306">
        <f t="shared" si="108"/>
        <v>-4888.2390275943399</v>
      </c>
      <c r="BF306">
        <f t="shared" si="109"/>
        <v>6263.139225658897</v>
      </c>
      <c r="BH306">
        <f t="shared" si="94"/>
        <v>192.57226764257589</v>
      </c>
      <c r="BJ306">
        <f t="shared" si="95"/>
        <v>-870.29779277792852</v>
      </c>
      <c r="BN306" s="20">
        <f t="shared" si="96"/>
        <v>602.03414886494011</v>
      </c>
      <c r="BP306">
        <f t="shared" si="97"/>
        <v>-269.43008017173833</v>
      </c>
      <c r="BR306">
        <f t="shared" si="98"/>
        <v>-384.39287550367754</v>
      </c>
      <c r="BT306">
        <f t="shared" si="99"/>
        <v>-177.39141021348007</v>
      </c>
      <c r="BV306">
        <f t="shared" si="100"/>
        <v>-25.069005718686661</v>
      </c>
      <c r="BX306">
        <f t="shared" si="101"/>
        <v>-423.47630239271012</v>
      </c>
      <c r="CB306">
        <f t="shared" si="102"/>
        <v>25260.887599030571</v>
      </c>
      <c r="CD306">
        <f t="shared" si="103"/>
        <v>18659.939971150277</v>
      </c>
      <c r="CF306">
        <f t="shared" si="104"/>
        <v>32876.303966654952</v>
      </c>
    </row>
    <row r="307" spans="12:84" x14ac:dyDescent="0.25">
      <c r="L307">
        <v>296</v>
      </c>
      <c r="M307">
        <f t="shared" si="116"/>
        <v>1.8598228509251689</v>
      </c>
      <c r="P307">
        <f t="shared" si="110"/>
        <v>18574.903687650065</v>
      </c>
      <c r="Q307">
        <f t="shared" si="111"/>
        <v>12292.608945086864</v>
      </c>
      <c r="V307">
        <f t="shared" si="112"/>
        <v>-20997.567418644954</v>
      </c>
      <c r="W307">
        <f t="shared" si="113"/>
        <v>13354.826261560804</v>
      </c>
      <c r="AB307">
        <f t="shared" si="114"/>
        <v>-6425.096312349935</v>
      </c>
      <c r="AC307">
        <f t="shared" si="115"/>
        <v>-10207.391054913136</v>
      </c>
      <c r="AW307">
        <v>300</v>
      </c>
      <c r="AX307">
        <f t="shared" si="105"/>
        <v>150</v>
      </c>
      <c r="AZ307">
        <f t="shared" si="106"/>
        <v>-5477.2334645733899</v>
      </c>
      <c r="BB307">
        <f t="shared" si="107"/>
        <v>20841.631153812486</v>
      </c>
      <c r="BD307">
        <f t="shared" si="108"/>
        <v>-4791.952893773052</v>
      </c>
      <c r="BF307">
        <f t="shared" si="109"/>
        <v>5827.9903292699328</v>
      </c>
      <c r="BH307">
        <f t="shared" si="94"/>
        <v>121.74961318819489</v>
      </c>
      <c r="BJ307">
        <f t="shared" si="95"/>
        <v>-877.14214502072502</v>
      </c>
      <c r="BN307" s="20">
        <f t="shared" si="96"/>
        <v>472.57317442346158</v>
      </c>
      <c r="BP307">
        <f t="shared" si="97"/>
        <v>-247.47180635256981</v>
      </c>
      <c r="BR307">
        <f t="shared" si="98"/>
        <v>-355.67226084641459</v>
      </c>
      <c r="BT307">
        <f t="shared" si="99"/>
        <v>-265.51879453084774</v>
      </c>
      <c r="BV307">
        <f t="shared" si="100"/>
        <v>4.8486996111478984</v>
      </c>
      <c r="BX307">
        <f t="shared" si="101"/>
        <v>-364.1515441373075</v>
      </c>
      <c r="CB307">
        <f t="shared" si="102"/>
        <v>28759.147185769576</v>
      </c>
      <c r="CD307">
        <f t="shared" si="103"/>
        <v>18123.236849906931</v>
      </c>
      <c r="CF307">
        <f t="shared" si="104"/>
        <v>35844.808209078903</v>
      </c>
    </row>
    <row r="308" spans="12:84" x14ac:dyDescent="0.25">
      <c r="L308">
        <v>297</v>
      </c>
      <c r="M308">
        <f t="shared" si="116"/>
        <v>1.8661060362323485</v>
      </c>
      <c r="P308">
        <f t="shared" si="110"/>
        <v>18544.819165858586</v>
      </c>
      <c r="Q308">
        <f t="shared" si="111"/>
        <v>12283.560257794135</v>
      </c>
      <c r="V308">
        <f t="shared" si="112"/>
        <v>-21018.626583898989</v>
      </c>
      <c r="W308">
        <f t="shared" si="113"/>
        <v>13348.492180455894</v>
      </c>
      <c r="AB308">
        <f t="shared" si="114"/>
        <v>-6455.1808341414135</v>
      </c>
      <c r="AC308">
        <f t="shared" si="115"/>
        <v>-10216.439742205865</v>
      </c>
      <c r="AW308">
        <v>301</v>
      </c>
      <c r="AX308">
        <f t="shared" si="105"/>
        <v>150.5</v>
      </c>
      <c r="AZ308">
        <f t="shared" si="106"/>
        <v>-7857.9912098113919</v>
      </c>
      <c r="BB308">
        <f t="shared" si="107"/>
        <v>23645.983550319863</v>
      </c>
      <c r="BD308">
        <f t="shared" si="108"/>
        <v>-4731.0780871789548</v>
      </c>
      <c r="BF308">
        <f t="shared" si="109"/>
        <v>5389.4192567595701</v>
      </c>
      <c r="BH308">
        <f t="shared" si="94"/>
        <v>112.58726449995686</v>
      </c>
      <c r="BJ308">
        <f t="shared" si="95"/>
        <v>-863.67462868748908</v>
      </c>
      <c r="BN308" s="20">
        <f t="shared" si="96"/>
        <v>380.5791407236909</v>
      </c>
      <c r="BP308">
        <f t="shared" si="97"/>
        <v>-220.57672785665238</v>
      </c>
      <c r="BR308">
        <f t="shared" si="98"/>
        <v>-291.33698047576496</v>
      </c>
      <c r="BT308">
        <f t="shared" si="99"/>
        <v>-327.42355172602322</v>
      </c>
      <c r="BV308">
        <f t="shared" si="100"/>
        <v>23.345104252030925</v>
      </c>
      <c r="BX308">
        <f t="shared" si="101"/>
        <v>-315.67434910481342</v>
      </c>
      <c r="CB308">
        <f t="shared" si="102"/>
        <v>32198.764868440659</v>
      </c>
      <c r="CD308">
        <f t="shared" si="103"/>
        <v>18265.849132099433</v>
      </c>
      <c r="CF308">
        <f t="shared" si="104"/>
        <v>38751.518142221896</v>
      </c>
    </row>
    <row r="309" spans="12:84" x14ac:dyDescent="0.25">
      <c r="L309">
        <v>298</v>
      </c>
      <c r="M309">
        <f t="shared" si="116"/>
        <v>1.8723892215395281</v>
      </c>
      <c r="P309">
        <f t="shared" si="110"/>
        <v>18514.792092114771</v>
      </c>
      <c r="Q309">
        <f t="shared" si="111"/>
        <v>12274.322723733199</v>
      </c>
      <c r="V309">
        <f t="shared" si="112"/>
        <v>-21039.645535519659</v>
      </c>
      <c r="W309">
        <f t="shared" si="113"/>
        <v>13342.025906613238</v>
      </c>
      <c r="AB309">
        <f t="shared" si="114"/>
        <v>-6485.2079078852285</v>
      </c>
      <c r="AC309">
        <f t="shared" si="115"/>
        <v>-10225.677276266801</v>
      </c>
      <c r="AW309">
        <v>302</v>
      </c>
      <c r="AX309">
        <f t="shared" si="105"/>
        <v>151</v>
      </c>
      <c r="AZ309">
        <f t="shared" si="106"/>
        <v>-10209.456845338374</v>
      </c>
      <c r="BB309">
        <f t="shared" si="107"/>
        <v>26232.733850113709</v>
      </c>
      <c r="BD309">
        <f t="shared" si="108"/>
        <v>-4674.7844549289766</v>
      </c>
      <c r="BF309">
        <f t="shared" si="109"/>
        <v>4957.5819424158253</v>
      </c>
      <c r="BH309">
        <f t="shared" si="94"/>
        <v>135.99845018188037</v>
      </c>
      <c r="BJ309">
        <f t="shared" si="95"/>
        <v>-824.48965418596299</v>
      </c>
      <c r="BN309" s="20">
        <f t="shared" si="96"/>
        <v>314.15654858012385</v>
      </c>
      <c r="BP309">
        <f t="shared" si="97"/>
        <v>-194.80691235035874</v>
      </c>
      <c r="BR309">
        <f t="shared" si="98"/>
        <v>-213.07892886663242</v>
      </c>
      <c r="BT309">
        <f t="shared" si="99"/>
        <v>-353.28515351188383</v>
      </c>
      <c r="BV309">
        <f t="shared" si="100"/>
        <v>34.920830468388935</v>
      </c>
      <c r="BX309">
        <f t="shared" si="101"/>
        <v>-276.3975883237203</v>
      </c>
      <c r="CB309">
        <f t="shared" si="102"/>
        <v>35546.119343601458</v>
      </c>
      <c r="CD309">
        <f t="shared" si="103"/>
        <v>18956.697589820837</v>
      </c>
      <c r="CF309">
        <f t="shared" si="104"/>
        <v>41560.51950322272</v>
      </c>
    </row>
    <row r="310" spans="12:84" x14ac:dyDescent="0.25">
      <c r="L310">
        <v>299</v>
      </c>
      <c r="M310">
        <f t="shared" si="116"/>
        <v>1.8786724068467078</v>
      </c>
      <c r="P310">
        <f t="shared" si="110"/>
        <v>18484.823651836075</v>
      </c>
      <c r="Q310">
        <f t="shared" si="111"/>
        <v>12264.896707586076</v>
      </c>
      <c r="V310">
        <f t="shared" si="112"/>
        <v>-21060.623443714747</v>
      </c>
      <c r="W310">
        <f t="shared" si="113"/>
        <v>13335.427695310253</v>
      </c>
      <c r="AB310">
        <f t="shared" si="114"/>
        <v>-6515.1763481639246</v>
      </c>
      <c r="AC310">
        <f t="shared" si="115"/>
        <v>-10235.103292413924</v>
      </c>
      <c r="AW310">
        <v>303</v>
      </c>
      <c r="AX310">
        <f t="shared" si="105"/>
        <v>151.5</v>
      </c>
      <c r="AZ310">
        <f t="shared" si="106"/>
        <v>-12529.849266530127</v>
      </c>
      <c r="BB310">
        <f t="shared" si="107"/>
        <v>28608.463614548378</v>
      </c>
      <c r="BD310">
        <f t="shared" si="108"/>
        <v>-4606.7852298380367</v>
      </c>
      <c r="BF310">
        <f t="shared" si="109"/>
        <v>4545.3371153228436</v>
      </c>
      <c r="BH310">
        <f t="shared" si="94"/>
        <v>167.37906608477931</v>
      </c>
      <c r="BJ310">
        <f t="shared" si="95"/>
        <v>-765.42431642984559</v>
      </c>
      <c r="BN310" s="20">
        <f t="shared" si="96"/>
        <v>265.1992464563441</v>
      </c>
      <c r="BP310">
        <f t="shared" si="97"/>
        <v>-172.08652270605819</v>
      </c>
      <c r="BR310">
        <f t="shared" si="98"/>
        <v>-140.0375606341689</v>
      </c>
      <c r="BT310">
        <f t="shared" si="99"/>
        <v>-348.83952743489232</v>
      </c>
      <c r="BV310">
        <f t="shared" si="100"/>
        <v>42.217380262604095</v>
      </c>
      <c r="BX310">
        <f t="shared" si="101"/>
        <v>-244.498266288895</v>
      </c>
      <c r="CB310">
        <f t="shared" si="102"/>
        <v>38778.322932662821</v>
      </c>
      <c r="CD310">
        <f t="shared" si="103"/>
        <v>20051.884451959406</v>
      </c>
      <c r="CF310">
        <f t="shared" si="104"/>
        <v>44253.776435441694</v>
      </c>
    </row>
    <row r="311" spans="12:84" x14ac:dyDescent="0.25">
      <c r="L311">
        <v>300</v>
      </c>
      <c r="M311">
        <f t="shared" si="116"/>
        <v>1.8849555921538874</v>
      </c>
      <c r="P311">
        <f t="shared" si="110"/>
        <v>18454.915028125208</v>
      </c>
      <c r="Q311">
        <f t="shared" si="111"/>
        <v>12255.282581475749</v>
      </c>
      <c r="V311">
        <f t="shared" si="112"/>
        <v>-21081.559480312353</v>
      </c>
      <c r="W311">
        <f t="shared" si="113"/>
        <v>13328.697807033026</v>
      </c>
      <c r="AB311">
        <f t="shared" si="114"/>
        <v>-6545.0849718747913</v>
      </c>
      <c r="AC311">
        <f t="shared" si="115"/>
        <v>-10244.717418524251</v>
      </c>
      <c r="AW311">
        <v>304</v>
      </c>
      <c r="AX311">
        <f t="shared" si="105"/>
        <v>152</v>
      </c>
      <c r="AZ311">
        <f t="shared" si="106"/>
        <v>-14812.31949818855</v>
      </c>
      <c r="BB311">
        <f t="shared" si="107"/>
        <v>30785.454132656068</v>
      </c>
      <c r="BD311">
        <f t="shared" si="108"/>
        <v>-4523.0956967956472</v>
      </c>
      <c r="BF311">
        <f t="shared" si="109"/>
        <v>4162.6249571079206</v>
      </c>
      <c r="BH311">
        <f t="shared" si="94"/>
        <v>193.73172788266183</v>
      </c>
      <c r="BJ311">
        <f t="shared" si="95"/>
        <v>-697.18668423186432</v>
      </c>
      <c r="BN311" s="20">
        <f t="shared" si="96"/>
        <v>228.31179664962042</v>
      </c>
      <c r="BP311">
        <f t="shared" si="97"/>
        <v>-152.71443975761713</v>
      </c>
      <c r="BR311">
        <f t="shared" si="98"/>
        <v>-81.383843040411875</v>
      </c>
      <c r="BT311">
        <f t="shared" si="99"/>
        <v>-326.08024647336777</v>
      </c>
      <c r="BV311">
        <f t="shared" si="100"/>
        <v>46.803774273453293</v>
      </c>
      <c r="BX311">
        <f t="shared" si="101"/>
        <v>-218.39199800087943</v>
      </c>
      <c r="CB311">
        <f t="shared" si="102"/>
        <v>41882.095972002018</v>
      </c>
      <c r="CD311">
        <f t="shared" si="103"/>
        <v>21423.051428067476</v>
      </c>
      <c r="CF311">
        <f t="shared" si="104"/>
        <v>46825.09395685271</v>
      </c>
    </row>
    <row r="312" spans="12:84" x14ac:dyDescent="0.25">
      <c r="L312">
        <v>301</v>
      </c>
      <c r="M312">
        <f t="shared" si="116"/>
        <v>1.8912387774610671</v>
      </c>
      <c r="P312">
        <f t="shared" si="110"/>
        <v>18425.06740172342</v>
      </c>
      <c r="Q312">
        <f t="shared" si="111"/>
        <v>12245.480724951454</v>
      </c>
      <c r="V312">
        <f t="shared" si="112"/>
        <v>-21102.452818793605</v>
      </c>
      <c r="W312">
        <f t="shared" si="113"/>
        <v>13321.836507466018</v>
      </c>
      <c r="AB312">
        <f t="shared" si="114"/>
        <v>-6574.9325982765786</v>
      </c>
      <c r="AC312">
        <f t="shared" si="115"/>
        <v>-10254.519275048546</v>
      </c>
      <c r="AW312">
        <v>305</v>
      </c>
      <c r="AX312">
        <f t="shared" si="105"/>
        <v>152.5</v>
      </c>
      <c r="AZ312">
        <f t="shared" si="106"/>
        <v>-17049.650880601039</v>
      </c>
      <c r="BB312">
        <f t="shared" si="107"/>
        <v>32779.618275681045</v>
      </c>
      <c r="BD312">
        <f t="shared" si="108"/>
        <v>-4426.2298328543166</v>
      </c>
      <c r="BF312">
        <f t="shared" si="109"/>
        <v>3814.0316149919886</v>
      </c>
      <c r="BH312">
        <f t="shared" si="94"/>
        <v>211.27149366884291</v>
      </c>
      <c r="BJ312">
        <f t="shared" si="95"/>
        <v>-628.67889114764853</v>
      </c>
      <c r="BN312" s="20">
        <f t="shared" si="96"/>
        <v>199.90487716662449</v>
      </c>
      <c r="BP312">
        <f t="shared" si="97"/>
        <v>-136.3985588556562</v>
      </c>
      <c r="BR312">
        <f t="shared" si="98"/>
        <v>-38.268074058987182</v>
      </c>
      <c r="BT312">
        <f t="shared" si="99"/>
        <v>-295.46744603120305</v>
      </c>
      <c r="BV312">
        <f t="shared" si="100"/>
        <v>49.634690561205588</v>
      </c>
      <c r="BX312">
        <f t="shared" si="101"/>
        <v>-196.8128862607893</v>
      </c>
      <c r="CB312">
        <f t="shared" si="102"/>
        <v>44852.377089052578</v>
      </c>
      <c r="CD312">
        <f t="shared" si="103"/>
        <v>22969.883950775202</v>
      </c>
      <c r="CF312">
        <f t="shared" si="104"/>
        <v>49275.612719824843</v>
      </c>
    </row>
    <row r="313" spans="12:84" x14ac:dyDescent="0.25">
      <c r="L313">
        <v>302</v>
      </c>
      <c r="M313">
        <f t="shared" si="116"/>
        <v>1.8975219627682467</v>
      </c>
      <c r="P313">
        <f t="shared" si="110"/>
        <v>18395.281950963898</v>
      </c>
      <c r="Q313">
        <f t="shared" si="111"/>
        <v>12235.491524973702</v>
      </c>
      <c r="V313">
        <f t="shared" si="112"/>
        <v>-21123.302634325271</v>
      </c>
      <c r="W313">
        <f t="shared" si="113"/>
        <v>13314.844067481592</v>
      </c>
      <c r="AB313">
        <f t="shared" si="114"/>
        <v>-6604.7180490361025</v>
      </c>
      <c r="AC313">
        <f t="shared" si="115"/>
        <v>-10264.508475026298</v>
      </c>
      <c r="AW313">
        <v>306</v>
      </c>
      <c r="AX313">
        <f t="shared" si="105"/>
        <v>153</v>
      </c>
      <c r="AZ313">
        <f t="shared" si="106"/>
        <v>-19236.356860319593</v>
      </c>
      <c r="BB313">
        <f t="shared" si="107"/>
        <v>34608.049221783578</v>
      </c>
      <c r="BD313">
        <f t="shared" si="108"/>
        <v>-4320.5940860198953</v>
      </c>
      <c r="BF313">
        <f t="shared" si="109"/>
        <v>3499.6921694181642</v>
      </c>
      <c r="BH313">
        <f t="shared" si="94"/>
        <v>220.69996797080569</v>
      </c>
      <c r="BJ313">
        <f t="shared" si="95"/>
        <v>-565.02126906112142</v>
      </c>
      <c r="BN313" s="20">
        <f t="shared" si="96"/>
        <v>177.5715863376073</v>
      </c>
      <c r="BP313">
        <f t="shared" si="97"/>
        <v>-122.68262621747506</v>
      </c>
      <c r="BR313">
        <f t="shared" si="98"/>
        <v>-8.1786717972242791</v>
      </c>
      <c r="BT313">
        <f t="shared" si="99"/>
        <v>-263.55393991902832</v>
      </c>
      <c r="BV313">
        <f t="shared" si="100"/>
        <v>51.307053430422648</v>
      </c>
      <c r="BX313">
        <f t="shared" si="101"/>
        <v>-178.78470292461807</v>
      </c>
      <c r="CB313">
        <f t="shared" si="102"/>
        <v>47690.020258760531</v>
      </c>
      <c r="CD313">
        <f t="shared" si="103"/>
        <v>24619.895153036381</v>
      </c>
      <c r="CF313">
        <f t="shared" si="104"/>
        <v>51610.390467862875</v>
      </c>
    </row>
    <row r="314" spans="12:84" x14ac:dyDescent="0.25">
      <c r="L314">
        <v>303</v>
      </c>
      <c r="M314">
        <f t="shared" si="116"/>
        <v>1.9038051480754263</v>
      </c>
      <c r="P314">
        <f t="shared" si="110"/>
        <v>18365.559851725233</v>
      </c>
      <c r="Q314">
        <f t="shared" si="111"/>
        <v>12225.315375899005</v>
      </c>
      <c r="V314">
        <f t="shared" si="112"/>
        <v>-21144.108103792336</v>
      </c>
      <c r="W314">
        <f t="shared" si="113"/>
        <v>13307.720763129304</v>
      </c>
      <c r="AB314">
        <f t="shared" si="114"/>
        <v>-6634.4401482747671</v>
      </c>
      <c r="AC314">
        <f t="shared" si="115"/>
        <v>-10274.684624100995</v>
      </c>
      <c r="AW314">
        <v>307</v>
      </c>
      <c r="AX314">
        <f t="shared" si="105"/>
        <v>153.5</v>
      </c>
      <c r="AZ314">
        <f t="shared" si="106"/>
        <v>-21369.06640733319</v>
      </c>
      <c r="BB314">
        <f t="shared" si="107"/>
        <v>36287.267647860019</v>
      </c>
      <c r="BD314">
        <f t="shared" si="108"/>
        <v>-4210.2441020344922</v>
      </c>
      <c r="BF314">
        <f t="shared" si="109"/>
        <v>3217.1815348876034</v>
      </c>
      <c r="BH314">
        <f t="shared" si="94"/>
        <v>224.04845208937999</v>
      </c>
      <c r="BJ314">
        <f t="shared" si="95"/>
        <v>-508.30590963744476</v>
      </c>
      <c r="BN314" s="20">
        <f t="shared" si="96"/>
        <v>159.67693552441216</v>
      </c>
      <c r="BP314">
        <f t="shared" si="97"/>
        <v>-111.1135222359411</v>
      </c>
      <c r="BR314">
        <f t="shared" si="98"/>
        <v>12.167567965506063</v>
      </c>
      <c r="BT314">
        <f t="shared" si="99"/>
        <v>-233.62790440226101</v>
      </c>
      <c r="BV314">
        <f t="shared" si="100"/>
        <v>52.203948599461768</v>
      </c>
      <c r="BX314">
        <f t="shared" si="101"/>
        <v>-163.56448299924259</v>
      </c>
      <c r="CB314">
        <f t="shared" si="102"/>
        <v>50399.468588903503</v>
      </c>
      <c r="CD314">
        <f t="shared" si="103"/>
        <v>26322.894658793062</v>
      </c>
      <c r="CF314">
        <f t="shared" si="104"/>
        <v>53836.141743543551</v>
      </c>
    </row>
    <row r="315" spans="12:84" x14ac:dyDescent="0.25">
      <c r="L315">
        <v>304</v>
      </c>
      <c r="M315">
        <f t="shared" si="116"/>
        <v>1.910088333382606</v>
      </c>
      <c r="P315">
        <f t="shared" si="110"/>
        <v>18335.902277385012</v>
      </c>
      <c r="Q315">
        <f t="shared" si="111"/>
        <v>12214.952679464302</v>
      </c>
      <c r="V315">
        <f t="shared" si="112"/>
        <v>-21164.868405830493</v>
      </c>
      <c r="W315">
        <f t="shared" si="113"/>
        <v>13300.466875625012</v>
      </c>
      <c r="AB315">
        <f t="shared" si="114"/>
        <v>-6664.097722614988</v>
      </c>
      <c r="AC315">
        <f t="shared" si="115"/>
        <v>-10285.047320535698</v>
      </c>
      <c r="AW315">
        <v>308</v>
      </c>
      <c r="AX315">
        <f t="shared" si="105"/>
        <v>154</v>
      </c>
      <c r="AZ315">
        <f t="shared" si="106"/>
        <v>-23446.182401839265</v>
      </c>
      <c r="BB315">
        <f t="shared" si="107"/>
        <v>37832.32017659914</v>
      </c>
      <c r="BD315">
        <f t="shared" si="108"/>
        <v>-4098.2198759898019</v>
      </c>
      <c r="BF315">
        <f t="shared" si="109"/>
        <v>2963.0285800688812</v>
      </c>
      <c r="BH315">
        <f t="shared" si="94"/>
        <v>223.29620606409503</v>
      </c>
      <c r="BJ315">
        <f t="shared" si="95"/>
        <v>-458.856649863879</v>
      </c>
      <c r="BN315" s="20">
        <f t="shared" si="96"/>
        <v>145.09207103295338</v>
      </c>
      <c r="BP315">
        <f t="shared" si="97"/>
        <v>-101.29725813311263</v>
      </c>
      <c r="BR315">
        <f t="shared" si="98"/>
        <v>25.627145486969248</v>
      </c>
      <c r="BT315">
        <f t="shared" si="99"/>
        <v>-206.97189969542518</v>
      </c>
      <c r="BV315">
        <f t="shared" si="100"/>
        <v>52.576989544172399</v>
      </c>
      <c r="BX315">
        <f t="shared" si="101"/>
        <v>-150.5874920353412</v>
      </c>
      <c r="CB315">
        <f t="shared" si="102"/>
        <v>52986.983426022765</v>
      </c>
      <c r="CD315">
        <f t="shared" si="103"/>
        <v>28044.860840436955</v>
      </c>
      <c r="CF315">
        <f t="shared" si="104"/>
        <v>55959.947287721858</v>
      </c>
    </row>
    <row r="316" spans="12:84" x14ac:dyDescent="0.25">
      <c r="L316">
        <v>305</v>
      </c>
      <c r="M316">
        <f t="shared" si="116"/>
        <v>1.9163715186897856</v>
      </c>
      <c r="P316">
        <f t="shared" si="110"/>
        <v>18306.310398773487</v>
      </c>
      <c r="Q316">
        <f t="shared" si="111"/>
        <v>12204.403844771106</v>
      </c>
      <c r="V316">
        <f t="shared" si="112"/>
        <v>-21185.582720858558</v>
      </c>
      <c r="W316">
        <f t="shared" si="113"/>
        <v>13293.082691339776</v>
      </c>
      <c r="AB316">
        <f t="shared" si="114"/>
        <v>-6693.6896012265115</v>
      </c>
      <c r="AC316">
        <f t="shared" si="115"/>
        <v>-10295.596155228894</v>
      </c>
      <c r="AW316">
        <v>309</v>
      </c>
      <c r="AX316">
        <f t="shared" si="105"/>
        <v>154.5</v>
      </c>
      <c r="AZ316">
        <f t="shared" si="106"/>
        <v>-25467.380314076156</v>
      </c>
      <c r="BB316">
        <f t="shared" si="107"/>
        <v>39256.477385400598</v>
      </c>
      <c r="BD316">
        <f t="shared" si="108"/>
        <v>-3986.5717729577545</v>
      </c>
      <c r="BF316">
        <f t="shared" si="109"/>
        <v>2733.6002551369415</v>
      </c>
      <c r="BH316">
        <f t="shared" si="94"/>
        <v>219.97153754629653</v>
      </c>
      <c r="BJ316">
        <f t="shared" si="95"/>
        <v>-416.16034552333406</v>
      </c>
      <c r="BN316" s="20">
        <f t="shared" si="96"/>
        <v>133.02331156410108</v>
      </c>
      <c r="BP316">
        <f t="shared" si="97"/>
        <v>-92.909504709438139</v>
      </c>
      <c r="BR316">
        <f t="shared" si="98"/>
        <v>34.353459279732078</v>
      </c>
      <c r="BT316">
        <f t="shared" si="99"/>
        <v>-183.82866140483424</v>
      </c>
      <c r="BV316">
        <f t="shared" si="100"/>
        <v>52.59476670246336</v>
      </c>
      <c r="BX316">
        <f t="shared" si="101"/>
        <v>-139.42217940906173</v>
      </c>
      <c r="CB316">
        <f t="shared" si="102"/>
        <v>55459.503500791456</v>
      </c>
      <c r="CD316">
        <f t="shared" si="103"/>
        <v>29762.958799507891</v>
      </c>
      <c r="CF316">
        <f t="shared" si="104"/>
        <v>57988.61090932873</v>
      </c>
    </row>
    <row r="317" spans="12:84" x14ac:dyDescent="0.25">
      <c r="L317">
        <v>306</v>
      </c>
      <c r="M317">
        <f t="shared" si="116"/>
        <v>1.9226547039969653</v>
      </c>
      <c r="P317">
        <f t="shared" si="110"/>
        <v>18276.785384127361</v>
      </c>
      <c r="Q317">
        <f t="shared" si="111"/>
        <v>12193.66928826935</v>
      </c>
      <c r="V317">
        <f t="shared" si="112"/>
        <v>-21206.250231110847</v>
      </c>
      <c r="W317">
        <f t="shared" si="113"/>
        <v>13285.568501788544</v>
      </c>
      <c r="AB317">
        <f t="shared" si="114"/>
        <v>-6723.2146158726409</v>
      </c>
      <c r="AC317">
        <f t="shared" si="115"/>
        <v>-10306.33071173065</v>
      </c>
      <c r="AW317">
        <v>310</v>
      </c>
      <c r="AX317">
        <f t="shared" si="105"/>
        <v>155</v>
      </c>
      <c r="AZ317">
        <f t="shared" si="106"/>
        <v>-27433.169758361746</v>
      </c>
      <c r="BB317">
        <f t="shared" si="107"/>
        <v>40571.257469778655</v>
      </c>
      <c r="BD317">
        <f t="shared" si="108"/>
        <v>-3876.5860041846063</v>
      </c>
      <c r="BF317">
        <f t="shared" si="109"/>
        <v>2525.5200823752743</v>
      </c>
      <c r="BH317">
        <f t="shared" si="94"/>
        <v>215.14319972579193</v>
      </c>
      <c r="BJ317">
        <f t="shared" si="95"/>
        <v>-379.39917579098369</v>
      </c>
      <c r="BN317" s="20">
        <f t="shared" si="96"/>
        <v>122.90205267516654</v>
      </c>
      <c r="BP317">
        <f t="shared" si="97"/>
        <v>-85.68951744719142</v>
      </c>
      <c r="BR317">
        <f t="shared" si="98"/>
        <v>39.868982041387603</v>
      </c>
      <c r="BT317">
        <f t="shared" si="99"/>
        <v>-163.97377628489306</v>
      </c>
      <c r="BV317">
        <f t="shared" si="100"/>
        <v>52.372165009237776</v>
      </c>
      <c r="BX317">
        <f t="shared" si="101"/>
        <v>-129.73588205889925</v>
      </c>
      <c r="CB317">
        <f t="shared" si="102"/>
        <v>57823.988654864981</v>
      </c>
      <c r="CD317">
        <f t="shared" si="103"/>
        <v>31461.942024295335</v>
      </c>
      <c r="CF317">
        <f t="shared" si="104"/>
        <v>59928.388616580589</v>
      </c>
    </row>
    <row r="318" spans="12:84" x14ac:dyDescent="0.25">
      <c r="L318">
        <v>307</v>
      </c>
      <c r="M318">
        <f t="shared" si="116"/>
        <v>1.9289378893041449</v>
      </c>
      <c r="P318">
        <f t="shared" si="110"/>
        <v>18247.32839904365</v>
      </c>
      <c r="Q318">
        <f t="shared" si="111"/>
        <v>12182.749433740941</v>
      </c>
      <c r="V318">
        <f t="shared" si="112"/>
        <v>-21226.870120669446</v>
      </c>
      <c r="W318">
        <f t="shared" si="113"/>
        <v>13277.92460361866</v>
      </c>
      <c r="AB318">
        <f t="shared" si="114"/>
        <v>-6752.6716009563506</v>
      </c>
      <c r="AC318">
        <f t="shared" si="115"/>
        <v>-10317.250566259059</v>
      </c>
      <c r="AW318">
        <v>311</v>
      </c>
      <c r="AX318">
        <f t="shared" si="105"/>
        <v>155.5</v>
      </c>
      <c r="AZ318">
        <f t="shared" si="106"/>
        <v>-29344.569860488326</v>
      </c>
      <c r="BB318">
        <f t="shared" si="107"/>
        <v>41786.592613992412</v>
      </c>
      <c r="BD318">
        <f t="shared" si="108"/>
        <v>-3769.0144043217101</v>
      </c>
      <c r="BF318">
        <f t="shared" si="109"/>
        <v>2335.8204944797826</v>
      </c>
      <c r="BH318">
        <f t="shared" si="94"/>
        <v>209.52069774661533</v>
      </c>
      <c r="BJ318">
        <f t="shared" si="95"/>
        <v>-347.71252182891232</v>
      </c>
      <c r="BN318" s="20">
        <f t="shared" si="96"/>
        <v>114.31333208077</v>
      </c>
      <c r="BP318">
        <f t="shared" si="97"/>
        <v>-79.429502749395411</v>
      </c>
      <c r="BR318">
        <f t="shared" si="98"/>
        <v>43.218783158743804</v>
      </c>
      <c r="BT318">
        <f t="shared" si="99"/>
        <v>-147.01349276098998</v>
      </c>
      <c r="BV318">
        <f t="shared" si="100"/>
        <v>51.988582507101519</v>
      </c>
      <c r="BX318">
        <f t="shared" si="101"/>
        <v>-121.26952631852693</v>
      </c>
      <c r="CB318">
        <f t="shared" si="102"/>
        <v>60087.078542682466</v>
      </c>
      <c r="CD318">
        <f t="shared" si="103"/>
        <v>33131.683565515712</v>
      </c>
      <c r="CF318">
        <f t="shared" si="104"/>
        <v>61784.910636819201</v>
      </c>
    </row>
    <row r="319" spans="12:84" x14ac:dyDescent="0.25">
      <c r="L319">
        <v>308</v>
      </c>
      <c r="M319">
        <f t="shared" si="116"/>
        <v>1.9352210746113245</v>
      </c>
      <c r="P319">
        <f t="shared" si="110"/>
        <v>18217.940606433691</v>
      </c>
      <c r="Q319">
        <f t="shared" si="111"/>
        <v>12171.64471228304</v>
      </c>
      <c r="V319">
        <f t="shared" si="112"/>
        <v>-21247.441575496417</v>
      </c>
      <c r="W319">
        <f t="shared" si="113"/>
        <v>13270.151298598128</v>
      </c>
      <c r="AB319">
        <f t="shared" si="114"/>
        <v>-6782.0593935663092</v>
      </c>
      <c r="AC319">
        <f t="shared" si="115"/>
        <v>-10328.35528771696</v>
      </c>
      <c r="AW319">
        <v>312</v>
      </c>
      <c r="AX319">
        <f t="shared" si="105"/>
        <v>156</v>
      </c>
      <c r="AZ319">
        <f t="shared" si="106"/>
        <v>-31202.886975430851</v>
      </c>
      <c r="BB319">
        <f t="shared" si="107"/>
        <v>42911.03879600369</v>
      </c>
      <c r="BD319">
        <f t="shared" si="108"/>
        <v>-3664.2540554484026</v>
      </c>
      <c r="BF319">
        <f t="shared" si="109"/>
        <v>2161.9642335653266</v>
      </c>
      <c r="BH319">
        <f t="shared" si="94"/>
        <v>203.55997518017392</v>
      </c>
      <c r="BJ319">
        <f t="shared" si="95"/>
        <v>-320.30864708092133</v>
      </c>
      <c r="BN319" s="20">
        <f t="shared" si="96"/>
        <v>106.94891454500652</v>
      </c>
      <c r="BP319">
        <f t="shared" si="97"/>
        <v>-73.964035738081378</v>
      </c>
      <c r="BR319">
        <f t="shared" si="98"/>
        <v>45.111533195576982</v>
      </c>
      <c r="BT319">
        <f t="shared" si="99"/>
        <v>-132.52543048973709</v>
      </c>
      <c r="BV319">
        <f t="shared" si="100"/>
        <v>51.499527439590437</v>
      </c>
      <c r="BX319">
        <f t="shared" si="101"/>
        <v>-113.81918085310288</v>
      </c>
      <c r="CB319">
        <f t="shared" si="102"/>
        <v>62254.937982708048</v>
      </c>
      <c r="CD319">
        <f t="shared" si="103"/>
        <v>34765.516697099993</v>
      </c>
      <c r="CF319">
        <f t="shared" si="104"/>
        <v>63563.194541176483</v>
      </c>
    </row>
    <row r="320" spans="12:84" x14ac:dyDescent="0.25">
      <c r="L320">
        <v>309</v>
      </c>
      <c r="M320">
        <f t="shared" si="116"/>
        <v>1.9415042599185042</v>
      </c>
      <c r="P320">
        <f t="shared" si="110"/>
        <v>18188.623166477217</v>
      </c>
      <c r="Q320">
        <f t="shared" si="111"/>
        <v>12160.355562291033</v>
      </c>
      <c r="V320">
        <f t="shared" si="112"/>
        <v>-21267.963783465948</v>
      </c>
      <c r="W320">
        <f t="shared" si="113"/>
        <v>13262.248893603723</v>
      </c>
      <c r="AB320">
        <f t="shared" si="114"/>
        <v>-6811.3768335227842</v>
      </c>
      <c r="AC320">
        <f t="shared" si="115"/>
        <v>-10339.644437708967</v>
      </c>
      <c r="AW320">
        <v>313</v>
      </c>
      <c r="AX320">
        <f t="shared" si="105"/>
        <v>156.5</v>
      </c>
      <c r="AZ320">
        <f t="shared" si="106"/>
        <v>-33009.56900625753</v>
      </c>
      <c r="BB320">
        <f t="shared" si="107"/>
        <v>43951.982331901243</v>
      </c>
      <c r="BD320">
        <f t="shared" si="108"/>
        <v>-3562.4740678583157</v>
      </c>
      <c r="BF320">
        <f t="shared" si="109"/>
        <v>2001.809910024866</v>
      </c>
      <c r="BH320">
        <f t="shared" si="94"/>
        <v>197.54648524293628</v>
      </c>
      <c r="BJ320">
        <f t="shared" si="95"/>
        <v>-296.50169649077702</v>
      </c>
      <c r="BN320" s="20">
        <f t="shared" si="96"/>
        <v>100.57601773268425</v>
      </c>
      <c r="BP320">
        <f t="shared" si="97"/>
        <v>-69.161007911081398</v>
      </c>
      <c r="BR320">
        <f t="shared" si="98"/>
        <v>46.026306609052071</v>
      </c>
      <c r="BT320">
        <f t="shared" si="99"/>
        <v>-120.11807216992068</v>
      </c>
      <c r="BV320">
        <f t="shared" si="100"/>
        <v>50.944160901199943</v>
      </c>
      <c r="BX320">
        <f t="shared" si="101"/>
        <v>-107.22261640977497</v>
      </c>
      <c r="CB320">
        <f t="shared" si="102"/>
        <v>64333.206216964027</v>
      </c>
      <c r="CD320">
        <f t="shared" si="103"/>
        <v>36359.125264427232</v>
      </c>
      <c r="CF320">
        <f t="shared" si="104"/>
        <v>65267.696272942703</v>
      </c>
    </row>
    <row r="321" spans="12:84" x14ac:dyDescent="0.25">
      <c r="L321">
        <v>310</v>
      </c>
      <c r="M321">
        <f t="shared" si="116"/>
        <v>1.9477874452256838</v>
      </c>
      <c r="P321">
        <f t="shared" si="110"/>
        <v>18159.377236576554</v>
      </c>
      <c r="Q321">
        <f t="shared" si="111"/>
        <v>12148.882429441235</v>
      </c>
      <c r="V321">
        <f t="shared" si="112"/>
        <v>-21288.435934396413</v>
      </c>
      <c r="W321">
        <f t="shared" si="113"/>
        <v>13254.217700608864</v>
      </c>
      <c r="AB321">
        <f t="shared" si="114"/>
        <v>-6840.6227634234456</v>
      </c>
      <c r="AC321">
        <f t="shared" si="115"/>
        <v>-10351.117570558765</v>
      </c>
      <c r="AW321">
        <v>314</v>
      </c>
      <c r="AX321">
        <f t="shared" si="105"/>
        <v>157</v>
      </c>
      <c r="AZ321">
        <f t="shared" si="106"/>
        <v>-34766.11272953132</v>
      </c>
      <c r="BB321">
        <f t="shared" si="107"/>
        <v>44915.824574852326</v>
      </c>
      <c r="BD321">
        <f t="shared" si="108"/>
        <v>-3463.7008252368478</v>
      </c>
      <c r="BF321">
        <f t="shared" si="109"/>
        <v>1853.5590617794774</v>
      </c>
      <c r="BH321">
        <f t="shared" si="94"/>
        <v>191.65391632550131</v>
      </c>
      <c r="BJ321">
        <f t="shared" si="95"/>
        <v>-275.71483348700968</v>
      </c>
      <c r="BN321" s="20">
        <f t="shared" si="96"/>
        <v>95.016122882613331</v>
      </c>
      <c r="BP321">
        <f t="shared" si="97"/>
        <v>-64.914349556189435</v>
      </c>
      <c r="BR321">
        <f t="shared" si="98"/>
        <v>46.287495845691431</v>
      </c>
      <c r="BT321">
        <f t="shared" si="99"/>
        <v>-109.45101900279653</v>
      </c>
      <c r="BV321">
        <f t="shared" si="100"/>
        <v>50.35029759719653</v>
      </c>
      <c r="BX321">
        <f t="shared" si="101"/>
        <v>-101.34946492802375</v>
      </c>
      <c r="CB321">
        <f t="shared" si="102"/>
        <v>66327.000777359557</v>
      </c>
      <c r="CD321">
        <f t="shared" si="103"/>
        <v>37909.799404416379</v>
      </c>
      <c r="CF321">
        <f t="shared" si="104"/>
        <v>66902.372913908257</v>
      </c>
    </row>
    <row r="322" spans="12:84" x14ac:dyDescent="0.25">
      <c r="L322">
        <v>311</v>
      </c>
      <c r="M322">
        <f t="shared" si="116"/>
        <v>1.9540706305328635</v>
      </c>
      <c r="P322">
        <f t="shared" si="110"/>
        <v>18130.203971310941</v>
      </c>
      <c r="Q322">
        <f t="shared" si="111"/>
        <v>12137.225766673284</v>
      </c>
      <c r="V322">
        <f t="shared" si="112"/>
        <v>-21308.85722008234</v>
      </c>
      <c r="W322">
        <f t="shared" si="113"/>
        <v>13246.058036671298</v>
      </c>
      <c r="AB322">
        <f t="shared" si="114"/>
        <v>-6869.7960286890575</v>
      </c>
      <c r="AC322">
        <f t="shared" si="115"/>
        <v>-10362.774233326716</v>
      </c>
      <c r="AW322">
        <v>315</v>
      </c>
      <c r="AX322">
        <f t="shared" si="105"/>
        <v>157.5</v>
      </c>
      <c r="AZ322">
        <f t="shared" si="106"/>
        <v>-36474.006402609062</v>
      </c>
      <c r="BB322">
        <f t="shared" si="107"/>
        <v>45808.139751556191</v>
      </c>
      <c r="BD322">
        <f t="shared" si="108"/>
        <v>-3367.8738670740972</v>
      </c>
      <c r="BF322">
        <f t="shared" si="109"/>
        <v>1715.7016450359724</v>
      </c>
      <c r="BH322">
        <f t="shared" si="94"/>
        <v>185.98375566817111</v>
      </c>
      <c r="BJ322">
        <f t="shared" si="95"/>
        <v>-257.46983537952599</v>
      </c>
      <c r="BN322" s="20">
        <f t="shared" si="96"/>
        <v>90.130377420771055</v>
      </c>
      <c r="BP322">
        <f t="shared" si="97"/>
        <v>-61.138341584631902</v>
      </c>
      <c r="BR322">
        <f t="shared" si="98"/>
        <v>46.115599536699712</v>
      </c>
      <c r="BT322">
        <f t="shared" si="99"/>
        <v>-100.23753740167403</v>
      </c>
      <c r="BV322">
        <f t="shared" si="100"/>
        <v>49.737778710700354</v>
      </c>
      <c r="BX322">
        <f t="shared" si="101"/>
        <v>-96.09395639322004</v>
      </c>
      <c r="CB322">
        <f t="shared" si="102"/>
        <v>68240.947900704661</v>
      </c>
      <c r="CD322">
        <f t="shared" si="103"/>
        <v>39415.932811747371</v>
      </c>
      <c r="CF322">
        <f t="shared" si="104"/>
        <v>68470.745133058575</v>
      </c>
    </row>
    <row r="323" spans="12:84" x14ac:dyDescent="0.25">
      <c r="L323">
        <v>312</v>
      </c>
      <c r="M323">
        <f t="shared" si="116"/>
        <v>1.9603538158400431</v>
      </c>
      <c r="P323">
        <f t="shared" si="110"/>
        <v>18101.104522390939</v>
      </c>
      <c r="Q323">
        <f t="shared" si="111"/>
        <v>12125.386034172268</v>
      </c>
      <c r="V323">
        <f t="shared" si="112"/>
        <v>-21329.226834326342</v>
      </c>
      <c r="W323">
        <f t="shared" si="113"/>
        <v>13237.770223920586</v>
      </c>
      <c r="AB323">
        <f t="shared" si="114"/>
        <v>-6898.8954776090613</v>
      </c>
      <c r="AC323">
        <f t="shared" si="115"/>
        <v>-10374.613965827732</v>
      </c>
      <c r="AW323">
        <v>316</v>
      </c>
      <c r="AX323">
        <f t="shared" si="105"/>
        <v>158</v>
      </c>
      <c r="AZ323">
        <f t="shared" si="106"/>
        <v>-38134.695366687592</v>
      </c>
      <c r="BB323">
        <f t="shared" si="107"/>
        <v>46633.806844651735</v>
      </c>
      <c r="BD323">
        <f t="shared" si="108"/>
        <v>-3274.8819892400115</v>
      </c>
      <c r="BF323">
        <f t="shared" si="109"/>
        <v>1586.9667273462094</v>
      </c>
      <c r="BH323">
        <f t="shared" si="94"/>
        <v>180.59132944069475</v>
      </c>
      <c r="BJ323">
        <f t="shared" si="95"/>
        <v>-241.37264078010611</v>
      </c>
      <c r="BN323" s="20">
        <f t="shared" si="96"/>
        <v>85.809372375989781</v>
      </c>
      <c r="BP323">
        <f t="shared" si="97"/>
        <v>-57.763223542184598</v>
      </c>
      <c r="BR323">
        <f t="shared" si="98"/>
        <v>45.661175044964949</v>
      </c>
      <c r="BT323">
        <f t="shared" si="99"/>
        <v>-92.239909911572681</v>
      </c>
      <c r="BV323">
        <f t="shared" si="100"/>
        <v>49.120782019740012</v>
      </c>
      <c r="BX323">
        <f t="shared" si="101"/>
        <v>-91.369507326348824</v>
      </c>
      <c r="CB323">
        <f t="shared" si="102"/>
        <v>70079.224050584919</v>
      </c>
      <c r="CD323">
        <f t="shared" si="103"/>
        <v>40876.680148635023</v>
      </c>
      <c r="CF323">
        <f t="shared" si="104"/>
        <v>69975.954321516954</v>
      </c>
    </row>
    <row r="324" spans="12:84" x14ac:dyDescent="0.25">
      <c r="L324">
        <v>313</v>
      </c>
      <c r="M324">
        <f t="shared" si="116"/>
        <v>1.9666370011472227</v>
      </c>
      <c r="P324">
        <f t="shared" si="110"/>
        <v>18072.080038612963</v>
      </c>
      <c r="Q324">
        <f t="shared" si="111"/>
        <v>12113.36369935055</v>
      </c>
      <c r="V324">
        <f t="shared" si="112"/>
        <v>-21349.543972970929</v>
      </c>
      <c r="W324">
        <f t="shared" si="113"/>
        <v>13229.354589545386</v>
      </c>
      <c r="AB324">
        <f t="shared" si="114"/>
        <v>-6927.9199613870387</v>
      </c>
      <c r="AC324">
        <f t="shared" si="115"/>
        <v>-10386.63630064945</v>
      </c>
      <c r="AW324">
        <v>317</v>
      </c>
      <c r="AX324">
        <f t="shared" si="105"/>
        <v>158.5</v>
      </c>
      <c r="AZ324">
        <f t="shared" si="106"/>
        <v>-39749.562445127507</v>
      </c>
      <c r="BB324">
        <f t="shared" si="107"/>
        <v>47397.118628227327</v>
      </c>
      <c r="BD324">
        <f t="shared" si="108"/>
        <v>-3184.5863245196642</v>
      </c>
      <c r="BF324">
        <f t="shared" si="109"/>
        <v>1466.2804069561564</v>
      </c>
      <c r="BH324">
        <f t="shared" si="94"/>
        <v>175.50275018211013</v>
      </c>
      <c r="BJ324">
        <f t="shared" si="95"/>
        <v>-227.09896352903391</v>
      </c>
      <c r="BN324" s="20">
        <f t="shared" si="96"/>
        <v>81.965869283048946</v>
      </c>
      <c r="BP324">
        <f t="shared" si="97"/>
        <v>-54.731815203748972</v>
      </c>
      <c r="BR324">
        <f t="shared" si="98"/>
        <v>45.02745483215832</v>
      </c>
      <c r="BT324">
        <f t="shared" si="99"/>
        <v>-85.262500096593953</v>
      </c>
      <c r="BV324">
        <f t="shared" si="100"/>
        <v>48.509426066902883</v>
      </c>
      <c r="BX324">
        <f t="shared" si="101"/>
        <v>-87.104648228690991</v>
      </c>
      <c r="CB324">
        <f t="shared" si="102"/>
        <v>71845.600333068651</v>
      </c>
      <c r="CD324">
        <f t="shared" si="103"/>
        <v>42291.721393999775</v>
      </c>
      <c r="CF324">
        <f t="shared" si="104"/>
        <v>71420.81281554341</v>
      </c>
    </row>
    <row r="325" spans="12:84" x14ac:dyDescent="0.25">
      <c r="L325">
        <v>314</v>
      </c>
      <c r="M325">
        <f t="shared" si="116"/>
        <v>1.9729201864544024</v>
      </c>
      <c r="P325">
        <f t="shared" si="110"/>
        <v>18043.131665813933</v>
      </c>
      <c r="Q325">
        <f t="shared" si="111"/>
        <v>12101.159236829328</v>
      </c>
      <c r="V325">
        <f t="shared" si="112"/>
        <v>-21369.807833930248</v>
      </c>
      <c r="W325">
        <f t="shared" si="113"/>
        <v>13220.811465780529</v>
      </c>
      <c r="AB325">
        <f t="shared" si="114"/>
        <v>-6956.8683341860688</v>
      </c>
      <c r="AC325">
        <f t="shared" si="115"/>
        <v>-10398.840763170672</v>
      </c>
      <c r="AW325">
        <v>318</v>
      </c>
      <c r="AX325">
        <f t="shared" si="105"/>
        <v>159</v>
      </c>
      <c r="AZ325">
        <f t="shared" si="106"/>
        <v>-41319.917763614576</v>
      </c>
      <c r="BB325">
        <f t="shared" si="107"/>
        <v>48101.871461264273</v>
      </c>
      <c r="BD325">
        <f t="shared" si="108"/>
        <v>-3096.834949428609</v>
      </c>
      <c r="BF325">
        <f t="shared" si="109"/>
        <v>1352.7309251916395</v>
      </c>
      <c r="BH325">
        <f t="shared" si="94"/>
        <v>170.72588856589181</v>
      </c>
      <c r="BJ325">
        <f t="shared" si="95"/>
        <v>-214.38153270478659</v>
      </c>
      <c r="BN325" s="20">
        <f t="shared" si="96"/>
        <v>78.529547109557797</v>
      </c>
      <c r="BP325">
        <f t="shared" si="97"/>
        <v>-51.996915422242992</v>
      </c>
      <c r="BR325">
        <f t="shared" si="98"/>
        <v>44.28544349648628</v>
      </c>
      <c r="BT325">
        <f t="shared" si="99"/>
        <v>-79.144689694249905</v>
      </c>
      <c r="BV325">
        <f t="shared" si="100"/>
        <v>47.910897959847723</v>
      </c>
      <c r="BX325">
        <f t="shared" si="101"/>
        <v>-83.23992758829371</v>
      </c>
      <c r="CB325">
        <f t="shared" si="102"/>
        <v>73543.485644164844</v>
      </c>
      <c r="CD325">
        <f t="shared" si="103"/>
        <v>43661.09827177957</v>
      </c>
      <c r="CF325">
        <f t="shared" si="104"/>
        <v>72807.847161344107</v>
      </c>
    </row>
    <row r="326" spans="12:84" x14ac:dyDescent="0.25">
      <c r="L326">
        <v>315</v>
      </c>
      <c r="M326">
        <f t="shared" si="116"/>
        <v>1.979203371761582</v>
      </c>
      <c r="P326">
        <f t="shared" si="110"/>
        <v>18014.260546826041</v>
      </c>
      <c r="Q326">
        <f t="shared" si="111"/>
        <v>12088.773128419882</v>
      </c>
      <c r="V326">
        <f t="shared" si="112"/>
        <v>-21390.017617221773</v>
      </c>
      <c r="W326">
        <f t="shared" si="113"/>
        <v>13212.141189893917</v>
      </c>
      <c r="AB326">
        <f t="shared" si="114"/>
        <v>-6985.7394531739592</v>
      </c>
      <c r="AC326">
        <f t="shared" si="115"/>
        <v>-10411.226871580118</v>
      </c>
      <c r="AW326">
        <v>319</v>
      </c>
      <c r="AX326">
        <f t="shared" si="105"/>
        <v>159.5</v>
      </c>
      <c r="AZ326">
        <f t="shared" si="106"/>
        <v>-42846.994502258145</v>
      </c>
      <c r="BB326">
        <f t="shared" si="107"/>
        <v>48751.439232271994</v>
      </c>
      <c r="BD326">
        <f t="shared" si="108"/>
        <v>-3011.4720051456629</v>
      </c>
      <c r="BF326">
        <f t="shared" si="109"/>
        <v>1245.5401588392463</v>
      </c>
      <c r="BH326">
        <f t="shared" si="94"/>
        <v>166.25745758679244</v>
      </c>
      <c r="BJ326">
        <f t="shared" si="95"/>
        <v>-202.99936242781601</v>
      </c>
      <c r="BN326" s="20">
        <f t="shared" si="96"/>
        <v>75.443153964001368</v>
      </c>
      <c r="BP326">
        <f t="shared" si="97"/>
        <v>-49.519292145706679</v>
      </c>
      <c r="BR326">
        <f t="shared" si="98"/>
        <v>43.484048527216359</v>
      </c>
      <c r="BT326">
        <f t="shared" si="99"/>
        <v>-73.75453536827537</v>
      </c>
      <c r="BV326">
        <f t="shared" si="100"/>
        <v>47.330255095574728</v>
      </c>
      <c r="BX326">
        <f t="shared" si="101"/>
        <v>-79.725534913833968</v>
      </c>
      <c r="CB326">
        <f t="shared" si="102"/>
        <v>75175.966616337537</v>
      </c>
      <c r="CD326">
        <f t="shared" si="103"/>
        <v>44985.099759350131</v>
      </c>
      <c r="CF326">
        <f t="shared" si="104"/>
        <v>74139.335018868544</v>
      </c>
    </row>
    <row r="327" spans="12:84" x14ac:dyDescent="0.25">
      <c r="L327">
        <v>316</v>
      </c>
      <c r="M327">
        <f t="shared" si="116"/>
        <v>1.9854865570687616</v>
      </c>
      <c r="P327">
        <f t="shared" si="110"/>
        <v>17985.46782143163</v>
      </c>
      <c r="Q327">
        <f t="shared" si="111"/>
        <v>12076.205863104562</v>
      </c>
      <c r="V327">
        <f t="shared" si="112"/>
        <v>-21410.172524997859</v>
      </c>
      <c r="W327">
        <f t="shared" si="113"/>
        <v>13203.344104173195</v>
      </c>
      <c r="AB327">
        <f t="shared" si="114"/>
        <v>-7014.53217856837</v>
      </c>
      <c r="AC327">
        <f t="shared" si="115"/>
        <v>-10423.794136895438</v>
      </c>
      <c r="AW327">
        <v>320</v>
      </c>
      <c r="AX327">
        <f t="shared" si="105"/>
        <v>160</v>
      </c>
      <c r="AZ327">
        <f t="shared" si="106"/>
        <v>-44331.948322632627</v>
      </c>
      <c r="BB327">
        <f t="shared" si="107"/>
        <v>49348.83439138814</v>
      </c>
      <c r="BD327">
        <f t="shared" si="108"/>
        <v>-2928.3432763522669</v>
      </c>
      <c r="BF327">
        <f t="shared" si="109"/>
        <v>1144.0404776253383</v>
      </c>
      <c r="BH327">
        <f t="shared" si="94"/>
        <v>162.08757652303544</v>
      </c>
      <c r="BJ327">
        <f t="shared" si="95"/>
        <v>-192.76897040634742</v>
      </c>
      <c r="BN327" s="20">
        <f t="shared" si="96"/>
        <v>72.65965016963878</v>
      </c>
      <c r="BP327">
        <f t="shared" si="97"/>
        <v>-47.266121206772993</v>
      </c>
      <c r="BR327">
        <f t="shared" si="98"/>
        <v>42.656925589196305</v>
      </c>
      <c r="BT327">
        <f t="shared" si="99"/>
        <v>-68.983390824226646</v>
      </c>
      <c r="BV327">
        <f t="shared" si="100"/>
        <v>46.771000764200359</v>
      </c>
      <c r="BX327">
        <f t="shared" si="101"/>
        <v>-76.519458375347767</v>
      </c>
      <c r="CB327">
        <f t="shared" si="102"/>
        <v>76745.843632757766</v>
      </c>
      <c r="CD327">
        <f t="shared" si="103"/>
        <v>46264.181362433665</v>
      </c>
      <c r="CF327">
        <f t="shared" si="104"/>
        <v>75417.336510808571</v>
      </c>
    </row>
    <row r="328" spans="12:84" x14ac:dyDescent="0.25">
      <c r="L328">
        <v>317</v>
      </c>
      <c r="M328">
        <f t="shared" si="116"/>
        <v>1.9917697423759413</v>
      </c>
      <c r="P328">
        <f t="shared" si="110"/>
        <v>17956.754626318198</v>
      </c>
      <c r="Q328">
        <f t="shared" si="111"/>
        <v>12063.457937017489</v>
      </c>
      <c r="V328">
        <f t="shared" si="112"/>
        <v>-21430.27176157726</v>
      </c>
      <c r="W328">
        <f t="shared" si="113"/>
        <v>13194.420555912242</v>
      </c>
      <c r="AB328">
        <f t="shared" si="114"/>
        <v>-7043.2453736818015</v>
      </c>
      <c r="AC328">
        <f t="shared" si="115"/>
        <v>-10436.542062982511</v>
      </c>
      <c r="AW328">
        <v>321</v>
      </c>
      <c r="AX328">
        <f t="shared" si="105"/>
        <v>160.5</v>
      </c>
      <c r="AZ328">
        <f t="shared" si="106"/>
        <v>-45775.859013743386</v>
      </c>
      <c r="BB328">
        <f t="shared" si="107"/>
        <v>49896.75850890002</v>
      </c>
      <c r="BD328">
        <f t="shared" si="108"/>
        <v>-2847.299488090749</v>
      </c>
      <c r="BF328">
        <f t="shared" si="109"/>
        <v>1047.6559924221647</v>
      </c>
      <c r="BH328">
        <f t="shared" ref="BH328:BH391" si="117">BN328+BR328+BV328</f>
        <v>158.20270129287991</v>
      </c>
      <c r="BJ328">
        <f t="shared" ref="BJ328:BJ391" si="118">SUM(BP328,BT328,BX328)</f>
        <v>-183.53729097103206</v>
      </c>
      <c r="BN328" s="20">
        <f t="shared" ref="BN328:BN391" si="119">$F$36*($F$32-AZ328)/(CB328^2+$F$37^2)^(3/2)</f>
        <v>70.140060781737716</v>
      </c>
      <c r="BP328">
        <f t="shared" ref="BP328:BP391" si="120">$F$36*($G$32-BB328)/(CB328^2+($F$37)^2)^(3/2)</f>
        <v>-45.209766369475588</v>
      </c>
      <c r="BR328">
        <f t="shared" ref="BR328:BR391" si="121">$F$47*($F$43-AZ328)/(CD328^2+($F$48)^2)^(3/2)</f>
        <v>41.827139431266012</v>
      </c>
      <c r="BT328">
        <f t="shared" ref="BT328:BT391" si="122">$F$47*($G$43-BB328)/(CD328^2+($F$48)^2)^(3/2)</f>
        <v>-64.741480783144524</v>
      </c>
      <c r="BV328">
        <f t="shared" ref="BV328:BV391" si="123">$F$58*($F$54-AZ328)/(CF328^2+($F$59)^2)^(3/2)</f>
        <v>46.235501079876158</v>
      </c>
      <c r="BX328">
        <f t="shared" ref="BX328:BX391" si="124">$F$58*($G$54-BB328)/(CF328^2+($F$59)^2)^(3/2)</f>
        <v>-73.586043818411966</v>
      </c>
      <c r="CB328">
        <f t="shared" ref="CB328:CB391" si="125">SQRT(($F$32-AZ328)^2+($G$32-BB328)^2)</f>
        <v>78255.662805050932</v>
      </c>
      <c r="CD328">
        <f t="shared" ref="CD328:CD391" si="126">SQRT(($F$43-AZ328)^2+($G$43-BB328)^2)</f>
        <v>47498.90785495875</v>
      </c>
      <c r="CF328">
        <f t="shared" ref="CF328:CF391" si="127">SQRT(($F$54-AZ328)^2+($G$54-BB328)^2)</f>
        <v>76643.720833941537</v>
      </c>
    </row>
    <row r="329" spans="12:84" x14ac:dyDescent="0.25">
      <c r="L329">
        <v>318</v>
      </c>
      <c r="M329">
        <f t="shared" si="116"/>
        <v>1.9980529276831209</v>
      </c>
      <c r="P329">
        <f t="shared" si="110"/>
        <v>17928.122095033523</v>
      </c>
      <c r="Q329">
        <f t="shared" si="111"/>
        <v>12050.529853424952</v>
      </c>
      <c r="V329">
        <f t="shared" si="112"/>
        <v>-21450.314533476536</v>
      </c>
      <c r="W329">
        <f t="shared" si="113"/>
        <v>13185.370897397466</v>
      </c>
      <c r="AB329">
        <f t="shared" si="114"/>
        <v>-7071.8779049664772</v>
      </c>
      <c r="AC329">
        <f t="shared" si="115"/>
        <v>-10449.470146575048</v>
      </c>
      <c r="AW329">
        <v>322</v>
      </c>
      <c r="AX329">
        <f t="shared" ref="AX329:AX392" si="128">$F$17*AW329</f>
        <v>161</v>
      </c>
      <c r="AZ329">
        <f t="shared" ref="AZ329:AZ392" si="129">AZ328+BD328*$F$17+(BH328*0.5)*$F$17^2</f>
        <v>-47179.733420127151</v>
      </c>
      <c r="BB329">
        <f t="shared" ref="BB329:BB392" si="130">BB328+(BF328*$F$17)+(BJ328*0.5)*$F$17^2</f>
        <v>50397.644343739725</v>
      </c>
      <c r="BD329">
        <f t="shared" ref="BD329:BD392" si="131">BD328+BH328*$F$17</f>
        <v>-2768.1981374443089</v>
      </c>
      <c r="BF329">
        <f t="shared" ref="BF329:BF392" si="132">BF328+BJ328*$F$17</f>
        <v>955.88734693664867</v>
      </c>
      <c r="BH329">
        <f t="shared" si="117"/>
        <v>154.58749442912631</v>
      </c>
      <c r="BJ329">
        <f t="shared" si="118"/>
        <v>-175.17599314653197</v>
      </c>
      <c r="BN329" s="20">
        <f t="shared" si="119"/>
        <v>67.851842536346851</v>
      </c>
      <c r="BP329">
        <f t="shared" si="120"/>
        <v>-43.326819875703642</v>
      </c>
      <c r="BR329">
        <f t="shared" si="121"/>
        <v>41.01036253228704</v>
      </c>
      <c r="BT329">
        <f t="shared" si="122"/>
        <v>-60.954315275230933</v>
      </c>
      <c r="BV329">
        <f t="shared" si="123"/>
        <v>45.725289360492397</v>
      </c>
      <c r="BX329">
        <f t="shared" si="124"/>
        <v>-70.894857995597391</v>
      </c>
      <c r="CB329">
        <f t="shared" si="125"/>
        <v>79707.744119635798</v>
      </c>
      <c r="CD329">
        <f t="shared" si="126"/>
        <v>48689.912480024679</v>
      </c>
      <c r="CF329">
        <f t="shared" si="127"/>
        <v>77820.188878614674</v>
      </c>
    </row>
    <row r="330" spans="12:84" x14ac:dyDescent="0.25">
      <c r="L330">
        <v>319</v>
      </c>
      <c r="M330">
        <f t="shared" si="116"/>
        <v>2.0043361129903006</v>
      </c>
      <c r="P330">
        <f t="shared" si="110"/>
        <v>17899.571357940913</v>
      </c>
      <c r="Q330">
        <f t="shared" si="111"/>
        <v>12037.422122705559</v>
      </c>
      <c r="V330">
        <f t="shared" si="112"/>
        <v>-21470.300049441361</v>
      </c>
      <c r="W330">
        <f t="shared" si="113"/>
        <v>13176.195485893892</v>
      </c>
      <c r="AB330">
        <f t="shared" si="114"/>
        <v>-7100.4286420590879</v>
      </c>
      <c r="AC330">
        <f t="shared" si="115"/>
        <v>-10462.577877294441</v>
      </c>
      <c r="AW330">
        <v>323</v>
      </c>
      <c r="AX330">
        <f t="shared" si="128"/>
        <v>161.5</v>
      </c>
      <c r="AZ330">
        <f t="shared" si="129"/>
        <v>-48544.509052045665</v>
      </c>
      <c r="BB330">
        <f t="shared" si="130"/>
        <v>50853.691018064732</v>
      </c>
      <c r="BD330">
        <f t="shared" si="131"/>
        <v>-2690.9043902297458</v>
      </c>
      <c r="BF330">
        <f t="shared" si="132"/>
        <v>868.2993503633827</v>
      </c>
      <c r="BH330">
        <f t="shared" si="117"/>
        <v>151.22600559526518</v>
      </c>
      <c r="BJ330">
        <f t="shared" si="118"/>
        <v>-167.57693517124048</v>
      </c>
      <c r="BN330" s="20">
        <f t="shared" si="119"/>
        <v>65.767628484635452</v>
      </c>
      <c r="BP330">
        <f t="shared" si="120"/>
        <v>-41.597342861538287</v>
      </c>
      <c r="BR330">
        <f t="shared" si="121"/>
        <v>40.217087227174964</v>
      </c>
      <c r="BT330">
        <f t="shared" si="122"/>
        <v>-57.559807815570601</v>
      </c>
      <c r="BV330">
        <f t="shared" si="123"/>
        <v>45.241289883454748</v>
      </c>
      <c r="BX330">
        <f t="shared" si="124"/>
        <v>-68.419784494131591</v>
      </c>
      <c r="CB330">
        <f t="shared" si="125"/>
        <v>81104.206093616362</v>
      </c>
      <c r="CD330">
        <f t="shared" si="126"/>
        <v>49837.867799714506</v>
      </c>
      <c r="CF330">
        <f t="shared" si="127"/>
        <v>78948.292503932142</v>
      </c>
    </row>
    <row r="331" spans="12:84" x14ac:dyDescent="0.25">
      <c r="L331">
        <v>320</v>
      </c>
      <c r="M331">
        <f t="shared" si="116"/>
        <v>2.0106192982974802</v>
      </c>
      <c r="P331">
        <f t="shared" ref="P331:P394" si="133">COS(M331)*$F$33+$F$32</f>
        <v>17871.10354217458</v>
      </c>
      <c r="Q331">
        <f t="shared" ref="Q331:Q394" si="134">SIN(M331)*$F$33+$G$32</f>
        <v>12024.13526233007</v>
      </c>
      <c r="V331">
        <f t="shared" si="112"/>
        <v>-21490.227520477794</v>
      </c>
      <c r="W331">
        <f t="shared" si="113"/>
        <v>13166.89468363105</v>
      </c>
      <c r="AB331">
        <f t="shared" si="114"/>
        <v>-7128.8964578254199</v>
      </c>
      <c r="AC331">
        <f t="shared" si="115"/>
        <v>-10475.86473766993</v>
      </c>
      <c r="AW331">
        <v>324</v>
      </c>
      <c r="AX331">
        <f t="shared" si="128"/>
        <v>162</v>
      </c>
      <c r="AZ331">
        <f t="shared" si="129"/>
        <v>-49871.057996461124</v>
      </c>
      <c r="BB331">
        <f t="shared" si="130"/>
        <v>51266.893576350012</v>
      </c>
      <c r="BD331">
        <f t="shared" si="131"/>
        <v>-2615.291387432113</v>
      </c>
      <c r="BF331">
        <f t="shared" si="132"/>
        <v>784.5108827777625</v>
      </c>
      <c r="BH331">
        <f t="shared" si="117"/>
        <v>148.10240334582235</v>
      </c>
      <c r="BJ331">
        <f t="shared" si="118"/>
        <v>-160.64852627623344</v>
      </c>
      <c r="BN331" s="20">
        <f t="shared" si="119"/>
        <v>63.864253172022757</v>
      </c>
      <c r="BP331">
        <f t="shared" si="120"/>
        <v>-40.004260019285297</v>
      </c>
      <c r="BR331">
        <f t="shared" si="121"/>
        <v>39.454166803866833</v>
      </c>
      <c r="BT331">
        <f t="shared" si="122"/>
        <v>-54.505967041128038</v>
      </c>
      <c r="BV331">
        <f t="shared" si="123"/>
        <v>44.783983369932777</v>
      </c>
      <c r="BX331">
        <f t="shared" si="124"/>
        <v>-66.138299215820112</v>
      </c>
      <c r="CB331">
        <f t="shared" si="125"/>
        <v>82446.98732439155</v>
      </c>
      <c r="CD331">
        <f t="shared" si="126"/>
        <v>50943.464853401383</v>
      </c>
      <c r="CF331">
        <f t="shared" si="127"/>
        <v>80029.451016366933</v>
      </c>
    </row>
    <row r="332" spans="12:84" x14ac:dyDescent="0.25">
      <c r="L332">
        <v>321</v>
      </c>
      <c r="M332">
        <f t="shared" si="116"/>
        <v>2.0169024836046598</v>
      </c>
      <c r="P332">
        <f t="shared" si="133"/>
        <v>17842.719771595148</v>
      </c>
      <c r="Q332">
        <f t="shared" si="134"/>
        <v>12010.669796840986</v>
      </c>
      <c r="V332">
        <f t="shared" ref="V332:V395" si="135">COS(M332)*$F$44+$F$43</f>
        <v>-21510.096159883396</v>
      </c>
      <c r="W332">
        <f t="shared" ref="W332:W395" si="136">SIN(M332)*$F$44+$G$43</f>
        <v>13157.468857788692</v>
      </c>
      <c r="AB332">
        <f t="shared" ref="AB332:AB395" si="137">COS(M332)*$F$55+$F$54</f>
        <v>-7157.2802284048521</v>
      </c>
      <c r="AC332">
        <f t="shared" ref="AC332:AC395" si="138">SIN(M332)*$F$55+$G$54</f>
        <v>-10489.330203159014</v>
      </c>
      <c r="AW332">
        <v>325</v>
      </c>
      <c r="AX332">
        <f t="shared" si="128"/>
        <v>162.5</v>
      </c>
      <c r="AZ332">
        <f t="shared" si="129"/>
        <v>-51160.190889758953</v>
      </c>
      <c r="BB332">
        <f t="shared" si="130"/>
        <v>51639.067951954363</v>
      </c>
      <c r="BD332">
        <f t="shared" si="131"/>
        <v>-2541.2401857592017</v>
      </c>
      <c r="BF332">
        <f t="shared" si="132"/>
        <v>704.18661963964576</v>
      </c>
      <c r="BH332">
        <f t="shared" si="117"/>
        <v>145.20141491105986</v>
      </c>
      <c r="BJ332">
        <f t="shared" si="118"/>
        <v>-154.31280815822453</v>
      </c>
      <c r="BN332" s="20">
        <f t="shared" si="119"/>
        <v>62.121988502549996</v>
      </c>
      <c r="BP332">
        <f t="shared" si="120"/>
        <v>-38.532874034479278</v>
      </c>
      <c r="BR332">
        <f t="shared" si="121"/>
        <v>38.725896397961733</v>
      </c>
      <c r="BT332">
        <f t="shared" si="122"/>
        <v>-51.74904856391742</v>
      </c>
      <c r="BV332">
        <f t="shared" si="123"/>
        <v>44.35353001054812</v>
      </c>
      <c r="BX332">
        <f t="shared" si="124"/>
        <v>-64.030885559827837</v>
      </c>
      <c r="CB332">
        <f t="shared" si="125"/>
        <v>83737.865312737573</v>
      </c>
      <c r="CD332">
        <f t="shared" si="126"/>
        <v>52007.398283260525</v>
      </c>
      <c r="CF332">
        <f t="shared" si="127"/>
        <v>81064.965308597879</v>
      </c>
    </row>
    <row r="333" spans="12:84" x14ac:dyDescent="0.25">
      <c r="L333">
        <v>322</v>
      </c>
      <c r="M333">
        <f t="shared" ref="M333:M396" si="139">M332+$O$5</f>
        <v>2.0231856689118395</v>
      </c>
      <c r="P333">
        <f t="shared" si="133"/>
        <v>17814.42116674528</v>
      </c>
      <c r="Q333">
        <f t="shared" si="134"/>
        <v>11997.026257831829</v>
      </c>
      <c r="V333">
        <f t="shared" si="135"/>
        <v>-21529.905183278304</v>
      </c>
      <c r="W333">
        <f t="shared" si="136"/>
        <v>13147.918380482279</v>
      </c>
      <c r="AB333">
        <f t="shared" si="137"/>
        <v>-7185.5788332547218</v>
      </c>
      <c r="AC333">
        <f t="shared" si="138"/>
        <v>-10502.973742168171</v>
      </c>
      <c r="AW333">
        <v>326</v>
      </c>
      <c r="AX333">
        <f t="shared" si="128"/>
        <v>163</v>
      </c>
      <c r="AZ333">
        <f t="shared" si="129"/>
        <v>-52412.660805774671</v>
      </c>
      <c r="BB333">
        <f t="shared" si="130"/>
        <v>51971.872160754407</v>
      </c>
      <c r="BD333">
        <f t="shared" si="131"/>
        <v>-2468.6394783036717</v>
      </c>
      <c r="BF333">
        <f t="shared" si="132"/>
        <v>627.03021556053352</v>
      </c>
      <c r="BH333">
        <f t="shared" si="117"/>
        <v>142.50857651739551</v>
      </c>
      <c r="BJ333">
        <f t="shared" si="118"/>
        <v>-148.50310604624158</v>
      </c>
      <c r="BN333" s="20">
        <f t="shared" si="119"/>
        <v>60.523939461503417</v>
      </c>
      <c r="BP333">
        <f t="shared" si="120"/>
        <v>-37.170473622239435</v>
      </c>
      <c r="BR333">
        <f t="shared" si="121"/>
        <v>38.03477572832594</v>
      </c>
      <c r="BT333">
        <f t="shared" si="122"/>
        <v>-49.252073259219941</v>
      </c>
      <c r="BV333">
        <f t="shared" si="123"/>
        <v>43.949861327566168</v>
      </c>
      <c r="BX333">
        <f t="shared" si="124"/>
        <v>-62.080559164782215</v>
      </c>
      <c r="CB333">
        <f t="shared" si="125"/>
        <v>84978.472911994948</v>
      </c>
      <c r="CD333">
        <f t="shared" si="126"/>
        <v>53030.355770906463</v>
      </c>
      <c r="CF333">
        <f t="shared" si="127"/>
        <v>82056.030036797849</v>
      </c>
    </row>
    <row r="334" spans="12:84" x14ac:dyDescent="0.25">
      <c r="L334">
        <v>323</v>
      </c>
      <c r="M334">
        <f t="shared" si="139"/>
        <v>2.0294688542190191</v>
      </c>
      <c r="P334">
        <f t="shared" si="133"/>
        <v>17786.208844805435</v>
      </c>
      <c r="Q334">
        <f t="shared" si="134"/>
        <v>11983.205183926151</v>
      </c>
      <c r="V334">
        <f t="shared" si="135"/>
        <v>-21549.653808636194</v>
      </c>
      <c r="W334">
        <f t="shared" si="136"/>
        <v>13138.243628748305</v>
      </c>
      <c r="AB334">
        <f t="shared" si="137"/>
        <v>-7213.7911551945645</v>
      </c>
      <c r="AC334">
        <f t="shared" si="138"/>
        <v>-10516.794816073849</v>
      </c>
      <c r="AW334">
        <v>327</v>
      </c>
      <c r="AX334">
        <f t="shared" si="128"/>
        <v>163.5</v>
      </c>
      <c r="AZ334">
        <f t="shared" si="129"/>
        <v>-53629.166972861829</v>
      </c>
      <c r="BB334">
        <f t="shared" si="130"/>
        <v>52266.824380278893</v>
      </c>
      <c r="BD334">
        <f t="shared" si="131"/>
        <v>-2397.385190044974</v>
      </c>
      <c r="BF334">
        <f t="shared" si="132"/>
        <v>552.77866253741274</v>
      </c>
      <c r="BH334">
        <f t="shared" si="117"/>
        <v>140.01036150134141</v>
      </c>
      <c r="BJ334">
        <f t="shared" si="118"/>
        <v>-143.16213068257963</v>
      </c>
      <c r="BN334" s="20">
        <f t="shared" si="119"/>
        <v>59.055562309011655</v>
      </c>
      <c r="BP334">
        <f t="shared" si="120"/>
        <v>-35.906015173858549</v>
      </c>
      <c r="BR334">
        <f t="shared" si="121"/>
        <v>37.382050178594625</v>
      </c>
      <c r="BT334">
        <f t="shared" si="122"/>
        <v>-46.983636292521972</v>
      </c>
      <c r="BV334">
        <f t="shared" si="123"/>
        <v>43.572749013735127</v>
      </c>
      <c r="BX334">
        <f t="shared" si="124"/>
        <v>-60.272479216199116</v>
      </c>
      <c r="CB334">
        <f t="shared" si="125"/>
        <v>86170.312719708163</v>
      </c>
      <c r="CD334">
        <f t="shared" si="126"/>
        <v>54013.010603760638</v>
      </c>
      <c r="CF334">
        <f t="shared" si="127"/>
        <v>83003.744148572951</v>
      </c>
    </row>
    <row r="335" spans="12:84" x14ac:dyDescent="0.25">
      <c r="L335">
        <v>324</v>
      </c>
      <c r="M335">
        <f t="shared" si="139"/>
        <v>2.0357520395261988</v>
      </c>
      <c r="P335">
        <f t="shared" si="133"/>
        <v>17758.083919549783</v>
      </c>
      <c r="Q335">
        <f t="shared" si="134"/>
        <v>11969.207120756291</v>
      </c>
      <c r="V335">
        <f t="shared" si="135"/>
        <v>-21569.341256315154</v>
      </c>
      <c r="W335">
        <f t="shared" si="136"/>
        <v>13128.444984529404</v>
      </c>
      <c r="AB335">
        <f t="shared" si="137"/>
        <v>-7241.9160804502189</v>
      </c>
      <c r="AC335">
        <f t="shared" si="138"/>
        <v>-10530.792879243709</v>
      </c>
      <c r="AW335">
        <v>328</v>
      </c>
      <c r="AX335">
        <f t="shared" si="128"/>
        <v>164</v>
      </c>
      <c r="AZ335">
        <f t="shared" si="129"/>
        <v>-54810.358272696649</v>
      </c>
      <c r="BB335">
        <f t="shared" si="130"/>
        <v>52525.31844521228</v>
      </c>
      <c r="BD335">
        <f t="shared" si="131"/>
        <v>-2327.3800092943034</v>
      </c>
      <c r="BF335">
        <f t="shared" si="132"/>
        <v>481.19759719612296</v>
      </c>
      <c r="BH335">
        <f t="shared" si="117"/>
        <v>137.69423045823319</v>
      </c>
      <c r="BJ335">
        <f t="shared" si="118"/>
        <v>-138.24043794525787</v>
      </c>
      <c r="BN335" s="20">
        <f t="shared" si="119"/>
        <v>57.704277457460648</v>
      </c>
      <c r="BP335">
        <f t="shared" si="120"/>
        <v>-34.729862657552488</v>
      </c>
      <c r="BR335">
        <f t="shared" si="121"/>
        <v>36.768096337892906</v>
      </c>
      <c r="BT335">
        <f t="shared" si="122"/>
        <v>-44.916946649742542</v>
      </c>
      <c r="BV335">
        <f t="shared" si="123"/>
        <v>43.221856662879638</v>
      </c>
      <c r="BX335">
        <f t="shared" si="124"/>
        <v>-58.593628637962844</v>
      </c>
      <c r="CB335">
        <f t="shared" si="125"/>
        <v>87314.769689795343</v>
      </c>
      <c r="CD335">
        <f t="shared" si="126"/>
        <v>54956.016521762307</v>
      </c>
      <c r="CF335">
        <f t="shared" si="127"/>
        <v>83909.120019111899</v>
      </c>
    </row>
    <row r="336" spans="12:84" x14ac:dyDescent="0.25">
      <c r="L336">
        <v>325</v>
      </c>
      <c r="M336">
        <f t="shared" si="139"/>
        <v>2.0420352248333784</v>
      </c>
      <c r="P336">
        <f t="shared" si="133"/>
        <v>17730.047501302208</v>
      </c>
      <c r="Q336">
        <f t="shared" si="134"/>
        <v>11955.032620941809</v>
      </c>
      <c r="V336">
        <f t="shared" si="135"/>
        <v>-21588.966749088453</v>
      </c>
      <c r="W336">
        <f t="shared" si="136"/>
        <v>13118.522834659267</v>
      </c>
      <c r="AB336">
        <f t="shared" si="137"/>
        <v>-7269.9524986977904</v>
      </c>
      <c r="AC336">
        <f t="shared" si="138"/>
        <v>-10544.967379058191</v>
      </c>
      <c r="AW336">
        <v>329</v>
      </c>
      <c r="AX336">
        <f t="shared" si="128"/>
        <v>164.5</v>
      </c>
      <c r="AZ336">
        <f t="shared" si="129"/>
        <v>-55956.836498536519</v>
      </c>
      <c r="BB336">
        <f t="shared" si="130"/>
        <v>52748.637189067187</v>
      </c>
      <c r="BD336">
        <f t="shared" si="131"/>
        <v>-2258.5328940651866</v>
      </c>
      <c r="BF336">
        <f t="shared" si="132"/>
        <v>412.07737822349401</v>
      </c>
      <c r="BH336">
        <f t="shared" si="117"/>
        <v>135.54863256402152</v>
      </c>
      <c r="BJ336">
        <f t="shared" si="118"/>
        <v>-133.69517297480746</v>
      </c>
      <c r="BN336" s="20">
        <f t="shared" si="119"/>
        <v>56.459156178284296</v>
      </c>
      <c r="BP336">
        <f t="shared" si="120"/>
        <v>-33.633573904322475</v>
      </c>
      <c r="BR336">
        <f t="shared" si="121"/>
        <v>36.192697662292481</v>
      </c>
      <c r="BT336">
        <f t="shared" si="122"/>
        <v>-43.029049602901353</v>
      </c>
      <c r="BV336">
        <f t="shared" si="123"/>
        <v>42.896778723444747</v>
      </c>
      <c r="BX336">
        <f t="shared" si="124"/>
        <v>-57.032549467583621</v>
      </c>
      <c r="CB336">
        <f t="shared" si="125"/>
        <v>88413.122206679502</v>
      </c>
      <c r="CD336">
        <f t="shared" si="126"/>
        <v>55860.004229367776</v>
      </c>
      <c r="CF336">
        <f t="shared" si="127"/>
        <v>84773.091408267283</v>
      </c>
    </row>
    <row r="337" spans="12:84" x14ac:dyDescent="0.25">
      <c r="L337">
        <v>326</v>
      </c>
      <c r="M337">
        <f t="shared" si="139"/>
        <v>2.048318410140558</v>
      </c>
      <c r="P337">
        <f t="shared" si="133"/>
        <v>17702.100696892503</v>
      </c>
      <c r="Q337">
        <f t="shared" si="134"/>
        <v>11940.682244067693</v>
      </c>
      <c r="V337">
        <f t="shared" si="135"/>
        <v>-21608.529512175246</v>
      </c>
      <c r="W337">
        <f t="shared" si="136"/>
        <v>13108.477570847384</v>
      </c>
      <c r="AB337">
        <f t="shared" si="137"/>
        <v>-7297.8993031074961</v>
      </c>
      <c r="AC337">
        <f t="shared" si="138"/>
        <v>-10559.317755932307</v>
      </c>
      <c r="AW337">
        <v>330</v>
      </c>
      <c r="AX337">
        <f t="shared" si="128"/>
        <v>165</v>
      </c>
      <c r="AZ337">
        <f t="shared" si="129"/>
        <v>-57069.159366498607</v>
      </c>
      <c r="BB337">
        <f t="shared" si="130"/>
        <v>52937.963981557084</v>
      </c>
      <c r="BD337">
        <f t="shared" si="131"/>
        <v>-2190.758577783176</v>
      </c>
      <c r="BF337">
        <f t="shared" si="132"/>
        <v>345.22979173609031</v>
      </c>
      <c r="BH337">
        <f t="shared" si="117"/>
        <v>133.56297725161585</v>
      </c>
      <c r="BJ337">
        <f t="shared" si="118"/>
        <v>-129.4890414518685</v>
      </c>
      <c r="BN337" s="20">
        <f t="shared" si="119"/>
        <v>55.310665342110283</v>
      </c>
      <c r="BP337">
        <f t="shared" si="120"/>
        <v>-32.60972404875141</v>
      </c>
      <c r="BR337">
        <f t="shared" si="121"/>
        <v>35.65524204050346</v>
      </c>
      <c r="BT337">
        <f t="shared" si="122"/>
        <v>-41.300194680768819</v>
      </c>
      <c r="BV337">
        <f t="shared" si="123"/>
        <v>42.597069869002105</v>
      </c>
      <c r="BX337">
        <f t="shared" si="124"/>
        <v>-55.579122722348266</v>
      </c>
      <c r="CB337">
        <f t="shared" si="125"/>
        <v>89466.551829429751</v>
      </c>
      <c r="CD337">
        <f t="shared" si="126"/>
        <v>56725.57912459215</v>
      </c>
      <c r="CF337">
        <f t="shared" si="127"/>
        <v>85596.520414635888</v>
      </c>
    </row>
    <row r="338" spans="12:84" x14ac:dyDescent="0.25">
      <c r="L338">
        <v>327</v>
      </c>
      <c r="M338">
        <f t="shared" si="139"/>
        <v>2.0546015954477377</v>
      </c>
      <c r="P338">
        <f t="shared" si="133"/>
        <v>17674.244609612651</v>
      </c>
      <c r="Q338">
        <f t="shared" si="134"/>
        <v>11926.156556662247</v>
      </c>
      <c r="V338">
        <f t="shared" si="135"/>
        <v>-21628.028773271144</v>
      </c>
      <c r="W338">
        <f t="shared" si="136"/>
        <v>13098.309589663571</v>
      </c>
      <c r="AB338">
        <f t="shared" si="137"/>
        <v>-7325.7553903873486</v>
      </c>
      <c r="AC338">
        <f t="shared" si="138"/>
        <v>-10573.843443337753</v>
      </c>
      <c r="AW338">
        <v>331</v>
      </c>
      <c r="AX338">
        <f t="shared" si="128"/>
        <v>165.5</v>
      </c>
      <c r="AZ338">
        <f t="shared" si="129"/>
        <v>-58147.843283233742</v>
      </c>
      <c r="BB338">
        <f t="shared" si="130"/>
        <v>53094.392747243641</v>
      </c>
      <c r="BD338">
        <f t="shared" si="131"/>
        <v>-2123.977089157368</v>
      </c>
      <c r="BF338">
        <f t="shared" si="132"/>
        <v>280.48527101015605</v>
      </c>
      <c r="BH338">
        <f t="shared" si="117"/>
        <v>131.72758883248147</v>
      </c>
      <c r="BJ338">
        <f t="shared" si="118"/>
        <v>-125.58946297514777</v>
      </c>
      <c r="BN338" s="20">
        <f t="shared" si="119"/>
        <v>54.250458123443387</v>
      </c>
      <c r="BP338">
        <f t="shared" si="120"/>
        <v>-31.651758903100195</v>
      </c>
      <c r="BR338">
        <f t="shared" si="121"/>
        <v>35.154863552395938</v>
      </c>
      <c r="BT338">
        <f t="shared" si="122"/>
        <v>-39.713319719140067</v>
      </c>
      <c r="BV338">
        <f t="shared" si="123"/>
        <v>42.322267156642134</v>
      </c>
      <c r="BX338">
        <f t="shared" si="124"/>
        <v>-54.224384352907499</v>
      </c>
      <c r="CB338">
        <f t="shared" si="125"/>
        <v>90476.151884409657</v>
      </c>
      <c r="CD338">
        <f t="shared" si="126"/>
        <v>57553.319916542147</v>
      </c>
      <c r="CF338">
        <f t="shared" si="127"/>
        <v>86380.203572780723</v>
      </c>
    </row>
    <row r="339" spans="12:84" x14ac:dyDescent="0.25">
      <c r="L339">
        <v>328</v>
      </c>
      <c r="M339">
        <f t="shared" si="139"/>
        <v>2.0608847807549173</v>
      </c>
      <c r="P339">
        <f t="shared" si="133"/>
        <v>17646.480339173278</v>
      </c>
      <c r="Q339">
        <f t="shared" si="134"/>
        <v>11911.456132174735</v>
      </c>
      <c r="V339">
        <f t="shared" si="135"/>
        <v>-21647.463762578704</v>
      </c>
      <c r="W339">
        <f t="shared" si="136"/>
        <v>13088.019292522315</v>
      </c>
      <c r="AB339">
        <f t="shared" si="137"/>
        <v>-7353.5196608267197</v>
      </c>
      <c r="AC339">
        <f t="shared" si="138"/>
        <v>-10588.543867825265</v>
      </c>
      <c r="AW339">
        <v>332</v>
      </c>
      <c r="AX339">
        <f t="shared" si="128"/>
        <v>166</v>
      </c>
      <c r="AZ339">
        <f t="shared" si="129"/>
        <v>-59193.365879208366</v>
      </c>
      <c r="BB339">
        <f t="shared" si="130"/>
        <v>53218.936699876824</v>
      </c>
      <c r="BD339">
        <f t="shared" si="131"/>
        <v>-2058.1132947411274</v>
      </c>
      <c r="BF339">
        <f t="shared" si="132"/>
        <v>217.69053952258218</v>
      </c>
      <c r="BH339">
        <f t="shared" si="117"/>
        <v>130.03365227769777</v>
      </c>
      <c r="BJ339">
        <f t="shared" si="118"/>
        <v>-121.96787105821565</v>
      </c>
      <c r="BN339" s="20">
        <f t="shared" si="119"/>
        <v>53.271201372948596</v>
      </c>
      <c r="BP339">
        <f t="shared" si="120"/>
        <v>-30.753872580830045</v>
      </c>
      <c r="BR339">
        <f t="shared" si="121"/>
        <v>34.690544160722119</v>
      </c>
      <c r="BT339">
        <f t="shared" si="122"/>
        <v>-38.253627840672046</v>
      </c>
      <c r="BV339">
        <f t="shared" si="123"/>
        <v>42.071906744027046</v>
      </c>
      <c r="BX339">
        <f t="shared" si="124"/>
        <v>-52.96037063671357</v>
      </c>
      <c r="CB339">
        <f t="shared" si="125"/>
        <v>91442.93505922427</v>
      </c>
      <c r="CD339">
        <f t="shared" si="126"/>
        <v>58343.777889415549</v>
      </c>
      <c r="CF339">
        <f t="shared" si="127"/>
        <v>87124.877215291082</v>
      </c>
    </row>
    <row r="340" spans="12:84" x14ac:dyDescent="0.25">
      <c r="L340">
        <v>329</v>
      </c>
      <c r="M340">
        <f t="shared" si="139"/>
        <v>2.067167966062097</v>
      </c>
      <c r="P340">
        <f t="shared" si="133"/>
        <v>17618.808981660248</v>
      </c>
      <c r="Q340">
        <f t="shared" si="134"/>
        <v>11896.581550952749</v>
      </c>
      <c r="V340">
        <f t="shared" si="135"/>
        <v>-21666.833712837826</v>
      </c>
      <c r="W340">
        <f t="shared" si="136"/>
        <v>13077.607085666925</v>
      </c>
      <c r="AB340">
        <f t="shared" si="137"/>
        <v>-7381.1910183397522</v>
      </c>
      <c r="AC340">
        <f t="shared" si="138"/>
        <v>-10603.418449047251</v>
      </c>
      <c r="AW340">
        <v>333</v>
      </c>
      <c r="AX340">
        <f t="shared" si="128"/>
        <v>166.5</v>
      </c>
      <c r="AZ340">
        <f t="shared" si="129"/>
        <v>-60206.168320044213</v>
      </c>
      <c r="BB340">
        <f t="shared" si="130"/>
        <v>53312.535985755836</v>
      </c>
      <c r="BD340">
        <f t="shared" si="131"/>
        <v>-1993.0964686022785</v>
      </c>
      <c r="BF340">
        <f t="shared" si="132"/>
        <v>156.70660399347435</v>
      </c>
      <c r="BH340">
        <f t="shared" si="117"/>
        <v>128.47315546075953</v>
      </c>
      <c r="BJ340">
        <f t="shared" si="118"/>
        <v>-118.59913170598081</v>
      </c>
      <c r="BN340" s="20">
        <f t="shared" si="119"/>
        <v>52.366432440045564</v>
      </c>
      <c r="BP340">
        <f t="shared" si="120"/>
        <v>-29.910904869964956</v>
      </c>
      <c r="BR340">
        <f t="shared" si="121"/>
        <v>34.26118652548724</v>
      </c>
      <c r="BT340">
        <f t="shared" si="122"/>
        <v>-36.908239116137374</v>
      </c>
      <c r="BV340">
        <f t="shared" si="123"/>
        <v>41.84553649522671</v>
      </c>
      <c r="BX340">
        <f t="shared" si="124"/>
        <v>-51.779987719878477</v>
      </c>
      <c r="CB340">
        <f t="shared" si="125"/>
        <v>92367.840128636963</v>
      </c>
      <c r="CD340">
        <f t="shared" si="126"/>
        <v>59097.47663392339</v>
      </c>
      <c r="CF340">
        <f t="shared" si="127"/>
        <v>87831.222201368917</v>
      </c>
    </row>
    <row r="341" spans="12:84" x14ac:dyDescent="0.25">
      <c r="L341">
        <v>330</v>
      </c>
      <c r="M341">
        <f t="shared" si="139"/>
        <v>2.0734511513692766</v>
      </c>
      <c r="P341">
        <f t="shared" si="133"/>
        <v>17591.231629491365</v>
      </c>
      <c r="Q341">
        <f t="shared" si="134"/>
        <v>11881.533400219287</v>
      </c>
      <c r="V341">
        <f t="shared" si="135"/>
        <v>-21686.137859356044</v>
      </c>
      <c r="W341">
        <f t="shared" si="136"/>
        <v>13067.073380153501</v>
      </c>
      <c r="AB341">
        <f t="shared" si="137"/>
        <v>-7408.7683705086329</v>
      </c>
      <c r="AC341">
        <f t="shared" si="138"/>
        <v>-10618.466599780713</v>
      </c>
      <c r="AW341">
        <v>334</v>
      </c>
      <c r="AX341">
        <f t="shared" si="128"/>
        <v>167</v>
      </c>
      <c r="AZ341">
        <f t="shared" si="129"/>
        <v>-61186.657409912754</v>
      </c>
      <c r="BB341">
        <f t="shared" si="130"/>
        <v>53376.064396289323</v>
      </c>
      <c r="BD341">
        <f t="shared" si="131"/>
        <v>-1928.8598908718986</v>
      </c>
      <c r="BF341">
        <f t="shared" si="132"/>
        <v>97.407038140483934</v>
      </c>
      <c r="BH341">
        <f t="shared" si="117"/>
        <v>127.03883122592801</v>
      </c>
      <c r="BJ341">
        <f t="shared" si="118"/>
        <v>-115.46105832856061</v>
      </c>
      <c r="BN341" s="20">
        <f t="shared" si="119"/>
        <v>51.530439801834198</v>
      </c>
      <c r="BP341">
        <f t="shared" si="120"/>
        <v>-29.11825477408328</v>
      </c>
      <c r="BR341">
        <f t="shared" si="121"/>
        <v>33.865665944244988</v>
      </c>
      <c r="BT341">
        <f t="shared" si="122"/>
        <v>-35.665902483925429</v>
      </c>
      <c r="BV341">
        <f t="shared" si="123"/>
        <v>41.642725479848821</v>
      </c>
      <c r="BX341">
        <f t="shared" si="124"/>
        <v>-50.676901070551907</v>
      </c>
      <c r="CB341">
        <f t="shared" si="125"/>
        <v>93251.737924217945</v>
      </c>
      <c r="CD341">
        <f t="shared" si="126"/>
        <v>59814.91211322273</v>
      </c>
      <c r="CF341">
        <f t="shared" si="127"/>
        <v>88499.868097214741</v>
      </c>
    </row>
    <row r="342" spans="12:84" x14ac:dyDescent="0.25">
      <c r="L342">
        <v>331</v>
      </c>
      <c r="M342">
        <f t="shared" si="139"/>
        <v>2.0797343366764562</v>
      </c>
      <c r="P342">
        <f t="shared" si="133"/>
        <v>17563.74937137328</v>
      </c>
      <c r="Q342">
        <f t="shared" si="134"/>
        <v>11866.312274049569</v>
      </c>
      <c r="V342">
        <f t="shared" si="135"/>
        <v>-21705.375440038704</v>
      </c>
      <c r="W342">
        <f t="shared" si="136"/>
        <v>13056.418591834699</v>
      </c>
      <c r="AB342">
        <f t="shared" si="137"/>
        <v>-7436.2506286267189</v>
      </c>
      <c r="AC342">
        <f t="shared" si="138"/>
        <v>-10633.687725950431</v>
      </c>
      <c r="AW342">
        <v>335</v>
      </c>
      <c r="AX342">
        <f t="shared" si="128"/>
        <v>167.5</v>
      </c>
      <c r="AZ342">
        <f t="shared" si="129"/>
        <v>-62135.20750144546</v>
      </c>
      <c r="BB342">
        <f t="shared" si="130"/>
        <v>53410.335283068496</v>
      </c>
      <c r="BD342">
        <f t="shared" si="131"/>
        <v>-1865.3404752589347</v>
      </c>
      <c r="BF342">
        <f t="shared" si="132"/>
        <v>39.676508976203628</v>
      </c>
      <c r="BH342">
        <f t="shared" si="117"/>
        <v>125.72410135737883</v>
      </c>
      <c r="BJ342">
        <f t="shared" si="118"/>
        <v>-112.53400527662734</v>
      </c>
      <c r="BN342" s="20">
        <f t="shared" si="119"/>
        <v>50.758163054120359</v>
      </c>
      <c r="BP342">
        <f t="shared" si="120"/>
        <v>-28.371807353458202</v>
      </c>
      <c r="BR342">
        <f t="shared" si="121"/>
        <v>33.50286717527888</v>
      </c>
      <c r="BT342">
        <f t="shared" si="122"/>
        <v>-34.516756490948175</v>
      </c>
      <c r="BV342">
        <f t="shared" si="123"/>
        <v>41.463071127979596</v>
      </c>
      <c r="BX342">
        <f t="shared" si="124"/>
        <v>-49.645441432220956</v>
      </c>
      <c r="CB342">
        <f t="shared" si="125"/>
        <v>94095.436643384921</v>
      </c>
      <c r="CD342">
        <f t="shared" si="126"/>
        <v>60496.552964431678</v>
      </c>
      <c r="CF342">
        <f t="shared" si="127"/>
        <v>89131.396879971973</v>
      </c>
    </row>
    <row r="343" spans="12:84" x14ac:dyDescent="0.25">
      <c r="L343">
        <v>332</v>
      </c>
      <c r="M343">
        <f t="shared" si="139"/>
        <v>2.0860175219836359</v>
      </c>
      <c r="P343">
        <f t="shared" si="133"/>
        <v>17536.363292258484</v>
      </c>
      <c r="Q343">
        <f t="shared" si="134"/>
        <v>11850.918773347596</v>
      </c>
      <c r="V343">
        <f t="shared" si="135"/>
        <v>-21724.545695419059</v>
      </c>
      <c r="W343">
        <f t="shared" si="136"/>
        <v>13045.643141343317</v>
      </c>
      <c r="AB343">
        <f t="shared" si="137"/>
        <v>-7463.6367077415152</v>
      </c>
      <c r="AC343">
        <f t="shared" si="138"/>
        <v>-10649.081226652404</v>
      </c>
      <c r="AW343">
        <v>336</v>
      </c>
      <c r="AX343">
        <f t="shared" si="128"/>
        <v>168</v>
      </c>
      <c r="AZ343">
        <f t="shared" si="129"/>
        <v>-63052.162226405257</v>
      </c>
      <c r="BB343">
        <f t="shared" si="130"/>
        <v>53416.10678689702</v>
      </c>
      <c r="BD343">
        <f t="shared" si="131"/>
        <v>-1802.4784245802452</v>
      </c>
      <c r="BF343">
        <f t="shared" si="132"/>
        <v>-16.590493662110042</v>
      </c>
      <c r="BH343">
        <f t="shared" si="117"/>
        <v>124.52302367117736</v>
      </c>
      <c r="BJ343">
        <f t="shared" si="118"/>
        <v>-109.80052582760911</v>
      </c>
      <c r="BN343" s="20">
        <f t="shared" si="119"/>
        <v>50.045108742072024</v>
      </c>
      <c r="BP343">
        <f t="shared" si="120"/>
        <v>-27.667871558824693</v>
      </c>
      <c r="BR343">
        <f t="shared" si="121"/>
        <v>33.171710306496777</v>
      </c>
      <c r="BT343">
        <f t="shared" si="122"/>
        <v>-33.452129753603046</v>
      </c>
      <c r="BV343">
        <f t="shared" si="123"/>
        <v>41.306204622608561</v>
      </c>
      <c r="BX343">
        <f t="shared" si="124"/>
        <v>-48.680524515181375</v>
      </c>
      <c r="CB343">
        <f t="shared" si="125"/>
        <v>94899.686579813671</v>
      </c>
      <c r="CD343">
        <f t="shared" si="126"/>
        <v>61142.840961963491</v>
      </c>
      <c r="CF343">
        <f t="shared" si="127"/>
        <v>89726.346225826957</v>
      </c>
    </row>
    <row r="344" spans="12:84" x14ac:dyDescent="0.25">
      <c r="L344">
        <v>333</v>
      </c>
      <c r="M344">
        <f t="shared" si="139"/>
        <v>2.0923007072908155</v>
      </c>
      <c r="P344">
        <f t="shared" si="133"/>
        <v>17509.074473302488</v>
      </c>
      <c r="Q344">
        <f t="shared" si="134"/>
        <v>11835.353505822417</v>
      </c>
      <c r="V344">
        <f t="shared" si="135"/>
        <v>-21743.647868688258</v>
      </c>
      <c r="W344">
        <f t="shared" si="136"/>
        <v>13034.747454075692</v>
      </c>
      <c r="AB344">
        <f t="shared" si="137"/>
        <v>-7490.9255266975115</v>
      </c>
      <c r="AC344">
        <f t="shared" si="138"/>
        <v>-10664.646494177583</v>
      </c>
      <c r="AW344">
        <v>337</v>
      </c>
      <c r="AX344">
        <f t="shared" si="128"/>
        <v>168.5</v>
      </c>
      <c r="AZ344">
        <f t="shared" si="129"/>
        <v>-63937.836060736481</v>
      </c>
      <c r="BB344">
        <f t="shared" si="130"/>
        <v>53394.086474337513</v>
      </c>
      <c r="BD344">
        <f t="shared" si="131"/>
        <v>-1740.2169127446566</v>
      </c>
      <c r="BF344">
        <f t="shared" si="132"/>
        <v>-71.490756575914588</v>
      </c>
      <c r="BH344">
        <f t="shared" si="117"/>
        <v>123.43024289134598</v>
      </c>
      <c r="BJ344">
        <f t="shared" si="118"/>
        <v>-107.24508323896076</v>
      </c>
      <c r="BN344" s="20">
        <f t="shared" si="119"/>
        <v>49.387279221302663</v>
      </c>
      <c r="BP344">
        <f t="shared" si="120"/>
        <v>-27.003127191349584</v>
      </c>
      <c r="BR344">
        <f t="shared" si="121"/>
        <v>32.871168694585897</v>
      </c>
      <c r="BT344">
        <f t="shared" si="122"/>
        <v>-32.464373868426854</v>
      </c>
      <c r="BV344">
        <f t="shared" si="123"/>
        <v>41.171794975457431</v>
      </c>
      <c r="BX344">
        <f t="shared" si="124"/>
        <v>-47.777582179184321</v>
      </c>
      <c r="CB344">
        <f t="shared" si="125"/>
        <v>95665.18434557601</v>
      </c>
      <c r="CD344">
        <f t="shared" si="126"/>
        <v>61754.191587635869</v>
      </c>
      <c r="CF344">
        <f t="shared" si="127"/>
        <v>90285.212433606241</v>
      </c>
    </row>
    <row r="345" spans="12:84" x14ac:dyDescent="0.25">
      <c r="L345">
        <v>334</v>
      </c>
      <c r="M345">
        <f t="shared" si="139"/>
        <v>2.0985838925979952</v>
      </c>
      <c r="P345">
        <f t="shared" si="133"/>
        <v>17481.883991821138</v>
      </c>
      <c r="Q345">
        <f t="shared" si="134"/>
        <v>11819.617085964142</v>
      </c>
      <c r="V345">
        <f t="shared" si="135"/>
        <v>-21762.681205725203</v>
      </c>
      <c r="W345">
        <f t="shared" si="136"/>
        <v>13023.7319601749</v>
      </c>
      <c r="AB345">
        <f t="shared" si="137"/>
        <v>-7518.1160081788621</v>
      </c>
      <c r="AC345">
        <f t="shared" si="138"/>
        <v>-10680.382914035858</v>
      </c>
      <c r="AW345">
        <v>338</v>
      </c>
      <c r="AX345">
        <f t="shared" si="128"/>
        <v>169</v>
      </c>
      <c r="AZ345">
        <f t="shared" si="129"/>
        <v>-64792.515736747388</v>
      </c>
      <c r="BB345">
        <f t="shared" si="130"/>
        <v>53344.93546064468</v>
      </c>
      <c r="BD345">
        <f t="shared" si="131"/>
        <v>-1678.5017912989836</v>
      </c>
      <c r="BF345">
        <f t="shared" si="132"/>
        <v>-125.11329819539498</v>
      </c>
      <c r="BH345">
        <f t="shared" si="117"/>
        <v>122.44094560725085</v>
      </c>
      <c r="BJ345">
        <f t="shared" si="118"/>
        <v>-104.85380568378648</v>
      </c>
      <c r="BN345" s="20">
        <f t="shared" si="119"/>
        <v>48.781112295900002</v>
      </c>
      <c r="BP345">
        <f t="shared" si="120"/>
        <v>-26.374579471697398</v>
      </c>
      <c r="BR345">
        <f t="shared" si="121"/>
        <v>32.600281181568832</v>
      </c>
      <c r="BT345">
        <f t="shared" si="122"/>
        <v>-31.546722941813041</v>
      </c>
      <c r="BV345">
        <f t="shared" si="123"/>
        <v>41.05955212978202</v>
      </c>
      <c r="BX345">
        <f t="shared" si="124"/>
        <v>-46.93250327027603</v>
      </c>
      <c r="CB345">
        <f t="shared" si="125"/>
        <v>96392.576645492925</v>
      </c>
      <c r="CD345">
        <f t="shared" si="126"/>
        <v>62330.994666491686</v>
      </c>
      <c r="CF345">
        <f t="shared" si="127"/>
        <v>90808.453027506592</v>
      </c>
    </row>
    <row r="346" spans="12:84" x14ac:dyDescent="0.25">
      <c r="L346">
        <v>335</v>
      </c>
      <c r="M346">
        <f t="shared" si="139"/>
        <v>2.1048670779051748</v>
      </c>
      <c r="P346">
        <f t="shared" si="133"/>
        <v>17454.792921248085</v>
      </c>
      <c r="Q346">
        <f t="shared" si="134"/>
        <v>11803.710135019684</v>
      </c>
      <c r="V346">
        <f t="shared" si="135"/>
        <v>-21781.644955126339</v>
      </c>
      <c r="W346">
        <f t="shared" si="136"/>
        <v>13012.59709451378</v>
      </c>
      <c r="AB346">
        <f t="shared" si="137"/>
        <v>-7545.2070787519133</v>
      </c>
      <c r="AC346">
        <f t="shared" si="138"/>
        <v>-10696.289864980316</v>
      </c>
      <c r="AW346">
        <v>339</v>
      </c>
      <c r="AX346">
        <f t="shared" si="128"/>
        <v>169.5</v>
      </c>
      <c r="AZ346">
        <f t="shared" si="129"/>
        <v>-65616.461514195966</v>
      </c>
      <c r="BB346">
        <f t="shared" si="130"/>
        <v>53269.272085836506</v>
      </c>
      <c r="BD346">
        <f t="shared" si="131"/>
        <v>-1617.2813184953582</v>
      </c>
      <c r="BF346">
        <f t="shared" si="132"/>
        <v>-177.54020103728823</v>
      </c>
      <c r="BH346">
        <f t="shared" si="117"/>
        <v>121.5508193778725</v>
      </c>
      <c r="BJ346">
        <f t="shared" si="118"/>
        <v>-102.61427762638561</v>
      </c>
      <c r="BN346" s="20">
        <f t="shared" si="119"/>
        <v>48.223429815705835</v>
      </c>
      <c r="BP346">
        <f t="shared" si="120"/>
        <v>-25.779519979125929</v>
      </c>
      <c r="BR346">
        <f t="shared" si="121"/>
        <v>32.358160205853743</v>
      </c>
      <c r="BT346">
        <f t="shared" si="122"/>
        <v>-30.693175044023391</v>
      </c>
      <c r="BV346">
        <f t="shared" si="123"/>
        <v>40.969229356312916</v>
      </c>
      <c r="BX346">
        <f t="shared" si="124"/>
        <v>-46.141582603236294</v>
      </c>
      <c r="CB346">
        <f t="shared" si="125"/>
        <v>97082.463655796935</v>
      </c>
      <c r="CD346">
        <f t="shared" si="126"/>
        <v>62873.615037742755</v>
      </c>
      <c r="CF346">
        <f t="shared" si="127"/>
        <v>91296.489076152197</v>
      </c>
    </row>
    <row r="347" spans="12:84" x14ac:dyDescent="0.25">
      <c r="L347">
        <v>336</v>
      </c>
      <c r="M347">
        <f t="shared" si="139"/>
        <v>2.1111502632123544</v>
      </c>
      <c r="P347">
        <f t="shared" si="133"/>
        <v>17427.802331092411</v>
      </c>
      <c r="Q347">
        <f t="shared" si="134"/>
        <v>11787.633280968226</v>
      </c>
      <c r="V347">
        <f t="shared" si="135"/>
        <v>-21800.538368235313</v>
      </c>
      <c r="W347">
        <f t="shared" si="136"/>
        <v>13001.343296677758</v>
      </c>
      <c r="AB347">
        <f t="shared" si="137"/>
        <v>-7572.19766890759</v>
      </c>
      <c r="AC347">
        <f t="shared" si="138"/>
        <v>-10712.366719031774</v>
      </c>
      <c r="AW347">
        <v>340</v>
      </c>
      <c r="AX347">
        <f t="shared" si="128"/>
        <v>170</v>
      </c>
      <c r="AZ347">
        <f t="shared" si="129"/>
        <v>-66409.908321021416</v>
      </c>
      <c r="BB347">
        <f t="shared" si="130"/>
        <v>53167.675200614562</v>
      </c>
      <c r="BD347">
        <f t="shared" si="131"/>
        <v>-1556.505908806422</v>
      </c>
      <c r="BF347">
        <f t="shared" si="132"/>
        <v>-228.84733985048103</v>
      </c>
      <c r="BH347">
        <f t="shared" si="117"/>
        <v>120.75601590576744</v>
      </c>
      <c r="BJ347">
        <f t="shared" si="118"/>
        <v>-100.51536158134346</v>
      </c>
      <c r="BN347" s="20">
        <f t="shared" si="119"/>
        <v>47.711393759016637</v>
      </c>
      <c r="BP347">
        <f t="shared" si="120"/>
        <v>-25.215492943942113</v>
      </c>
      <c r="BR347">
        <f t="shared" si="121"/>
        <v>32.143996996966443</v>
      </c>
      <c r="BT347">
        <f t="shared" si="122"/>
        <v>-29.898391792040467</v>
      </c>
      <c r="BV347">
        <f t="shared" si="123"/>
        <v>40.900625149784368</v>
      </c>
      <c r="BX347">
        <f t="shared" si="124"/>
        <v>-45.401476845360875</v>
      </c>
      <c r="CB347">
        <f t="shared" si="125"/>
        <v>97735.40205205149</v>
      </c>
      <c r="CD347">
        <f t="shared" si="126"/>
        <v>63382.393238117533</v>
      </c>
      <c r="CF347">
        <f t="shared" si="127"/>
        <v>91749.70725976587</v>
      </c>
    </row>
    <row r="348" spans="12:84" x14ac:dyDescent="0.25">
      <c r="L348">
        <v>337</v>
      </c>
      <c r="M348">
        <f t="shared" si="139"/>
        <v>2.1174334485195341</v>
      </c>
      <c r="P348">
        <f t="shared" si="133"/>
        <v>17400.913286896393</v>
      </c>
      <c r="Q348">
        <f t="shared" si="134"/>
        <v>11771.38715849644</v>
      </c>
      <c r="V348">
        <f t="shared" si="135"/>
        <v>-21819.360699172525</v>
      </c>
      <c r="W348">
        <f t="shared" si="136"/>
        <v>12989.971010947509</v>
      </c>
      <c r="AB348">
        <f t="shared" si="137"/>
        <v>-7599.0867131036048</v>
      </c>
      <c r="AC348">
        <f t="shared" si="138"/>
        <v>-10728.61284150356</v>
      </c>
      <c r="AW348">
        <v>341</v>
      </c>
      <c r="AX348">
        <f t="shared" si="128"/>
        <v>170.5</v>
      </c>
      <c r="AZ348">
        <f t="shared" si="129"/>
        <v>-67173.066773436411</v>
      </c>
      <c r="BB348">
        <f t="shared" si="130"/>
        <v>53040.68711049165</v>
      </c>
      <c r="BD348">
        <f t="shared" si="131"/>
        <v>-1496.1279008535382</v>
      </c>
      <c r="BF348">
        <f t="shared" si="132"/>
        <v>-279.10502064115275</v>
      </c>
      <c r="BH348">
        <f t="shared" si="117"/>
        <v>120.05311812038244</v>
      </c>
      <c r="BJ348">
        <f t="shared" si="118"/>
        <v>-98.547045307109244</v>
      </c>
      <c r="BN348" s="20">
        <f t="shared" si="119"/>
        <v>47.242468599849644</v>
      </c>
      <c r="BP348">
        <f t="shared" si="120"/>
        <v>-24.680266055393332</v>
      </c>
      <c r="BR348">
        <f t="shared" si="121"/>
        <v>31.957064731593313</v>
      </c>
      <c r="BT348">
        <f t="shared" si="122"/>
        <v>-29.157612980480771</v>
      </c>
      <c r="BV348">
        <f t="shared" si="123"/>
        <v>40.853584788939493</v>
      </c>
      <c r="BX348">
        <f t="shared" si="124"/>
        <v>-44.709166271235134</v>
      </c>
      <c r="CB348">
        <f t="shared" si="125"/>
        <v>98351.907725176861</v>
      </c>
      <c r="CD348">
        <f t="shared" si="126"/>
        <v>63857.64618081638</v>
      </c>
      <c r="CF348">
        <f t="shared" si="127"/>
        <v>92168.461712681354</v>
      </c>
    </row>
    <row r="349" spans="12:84" x14ac:dyDescent="0.25">
      <c r="L349">
        <v>338</v>
      </c>
      <c r="M349">
        <f t="shared" si="139"/>
        <v>2.1237166338267137</v>
      </c>
      <c r="P349">
        <f t="shared" si="133"/>
        <v>17374.126850193465</v>
      </c>
      <c r="Q349">
        <f t="shared" si="134"/>
        <v>11754.972408973423</v>
      </c>
      <c r="V349">
        <f t="shared" si="135"/>
        <v>-21838.111204864574</v>
      </c>
      <c r="W349">
        <f t="shared" si="136"/>
        <v>12978.480686281397</v>
      </c>
      <c r="AB349">
        <f t="shared" si="137"/>
        <v>-7625.8731498065354</v>
      </c>
      <c r="AC349">
        <f t="shared" si="138"/>
        <v>-10745.027591026577</v>
      </c>
      <c r="AW349">
        <v>342</v>
      </c>
      <c r="AX349">
        <f t="shared" si="128"/>
        <v>171</v>
      </c>
      <c r="AZ349">
        <f t="shared" si="129"/>
        <v>-67906.124084098134</v>
      </c>
      <c r="BB349">
        <f t="shared" si="130"/>
        <v>52888.816219507687</v>
      </c>
      <c r="BD349">
        <f t="shared" si="131"/>
        <v>-1436.101341793347</v>
      </c>
      <c r="BF349">
        <f t="shared" si="132"/>
        <v>-328.37854329470736</v>
      </c>
      <c r="BH349">
        <f t="shared" si="117"/>
        <v>119.43911096684937</v>
      </c>
      <c r="BJ349">
        <f t="shared" si="118"/>
        <v>-96.700310373254212</v>
      </c>
      <c r="BN349" s="20">
        <f t="shared" si="119"/>
        <v>46.814388976839581</v>
      </c>
      <c r="BP349">
        <f t="shared" si="120"/>
        <v>-24.171805091366721</v>
      </c>
      <c r="BR349">
        <f t="shared" si="121"/>
        <v>31.796720300948575</v>
      </c>
      <c r="BT349">
        <f t="shared" si="122"/>
        <v>-28.466583749845555</v>
      </c>
      <c r="BV349">
        <f t="shared" si="123"/>
        <v>40.828001689061203</v>
      </c>
      <c r="BX349">
        <f t="shared" si="124"/>
        <v>-44.061921532041936</v>
      </c>
      <c r="CB349">
        <f t="shared" si="125"/>
        <v>98932.458219216918</v>
      </c>
      <c r="CD349">
        <f t="shared" si="126"/>
        <v>64299.667817740032</v>
      </c>
      <c r="CF349">
        <f t="shared" si="127"/>
        <v>92553.075664561475</v>
      </c>
    </row>
    <row r="350" spans="12:84" x14ac:dyDescent="0.25">
      <c r="L350">
        <v>339</v>
      </c>
      <c r="M350">
        <f t="shared" si="139"/>
        <v>2.1299998191338934</v>
      </c>
      <c r="P350">
        <f t="shared" si="133"/>
        <v>17347.444078466273</v>
      </c>
      <c r="Q350">
        <f t="shared" si="134"/>
        <v>11738.38968042538</v>
      </c>
      <c r="V350">
        <f t="shared" si="135"/>
        <v>-21856.78914507361</v>
      </c>
      <c r="W350">
        <f t="shared" si="136"/>
        <v>12966.872776297765</v>
      </c>
      <c r="AB350">
        <f t="shared" si="137"/>
        <v>-7652.5559215337271</v>
      </c>
      <c r="AC350">
        <f t="shared" si="138"/>
        <v>-10761.61031957462</v>
      </c>
      <c r="AW350">
        <v>343</v>
      </c>
      <c r="AX350">
        <f t="shared" si="128"/>
        <v>171.5</v>
      </c>
      <c r="AZ350">
        <f t="shared" si="129"/>
        <v>-68609.244866123947</v>
      </c>
      <c r="BB350">
        <f t="shared" si="130"/>
        <v>52712.539409063676</v>
      </c>
      <c r="BD350">
        <f t="shared" si="131"/>
        <v>-1376.3817863099223</v>
      </c>
      <c r="BF350">
        <f t="shared" si="132"/>
        <v>-376.72869848133445</v>
      </c>
      <c r="BH350">
        <f t="shared" si="117"/>
        <v>118.91135567906565</v>
      </c>
      <c r="BJ350">
        <f t="shared" si="118"/>
        <v>-94.967018756114129</v>
      </c>
      <c r="BN350" s="20">
        <f t="shared" si="119"/>
        <v>46.425131855796728</v>
      </c>
      <c r="BP350">
        <f t="shared" si="120"/>
        <v>-23.68825179328045</v>
      </c>
      <c r="BR350">
        <f t="shared" si="121"/>
        <v>31.662405172822929</v>
      </c>
      <c r="BT350">
        <f t="shared" si="122"/>
        <v>-27.821492237836082</v>
      </c>
      <c r="BV350">
        <f t="shared" si="123"/>
        <v>40.823818650445979</v>
      </c>
      <c r="BX350">
        <f t="shared" si="124"/>
        <v>-43.457274724997603</v>
      </c>
      <c r="CB350">
        <f t="shared" si="125"/>
        <v>99477.494920011173</v>
      </c>
      <c r="CD350">
        <f t="shared" si="126"/>
        <v>64708.729776017193</v>
      </c>
      <c r="CF350">
        <f t="shared" si="127"/>
        <v>92903.842900401694</v>
      </c>
    </row>
    <row r="351" spans="12:84" x14ac:dyDescent="0.25">
      <c r="L351">
        <v>340</v>
      </c>
      <c r="M351">
        <f t="shared" si="139"/>
        <v>2.136283004441073</v>
      </c>
      <c r="P351">
        <f t="shared" si="133"/>
        <v>17320.866025104959</v>
      </c>
      <c r="Q351">
        <f t="shared" si="134"/>
        <v>11721.639627510038</v>
      </c>
      <c r="V351">
        <f t="shared" si="135"/>
        <v>-21875.393782426527</v>
      </c>
      <c r="W351">
        <f t="shared" si="136"/>
        <v>12955.147739257027</v>
      </c>
      <c r="AB351">
        <f t="shared" si="137"/>
        <v>-7679.1339748950404</v>
      </c>
      <c r="AC351">
        <f t="shared" si="138"/>
        <v>-10778.360372489962</v>
      </c>
      <c r="AW351">
        <v>344</v>
      </c>
      <c r="AX351">
        <f t="shared" si="128"/>
        <v>172</v>
      </c>
      <c r="AZ351">
        <f t="shared" si="129"/>
        <v>-69282.571839819022</v>
      </c>
      <c r="BB351">
        <f t="shared" si="130"/>
        <v>52512.304182478489</v>
      </c>
      <c r="BD351">
        <f t="shared" si="131"/>
        <v>-1316.9261084703894</v>
      </c>
      <c r="BF351">
        <f t="shared" si="132"/>
        <v>-424.21220785939153</v>
      </c>
      <c r="BH351">
        <f t="shared" si="117"/>
        <v>118.46756731559341</v>
      </c>
      <c r="BJ351">
        <f t="shared" si="118"/>
        <v>-93.339814696205934</v>
      </c>
      <c r="BN351" s="20">
        <f t="shared" si="119"/>
        <v>46.072892519166132</v>
      </c>
      <c r="BP351">
        <f t="shared" si="120"/>
        <v>-23.227904504812116</v>
      </c>
      <c r="BR351">
        <f t="shared" si="121"/>
        <v>31.553645709490358</v>
      </c>
      <c r="BT351">
        <f t="shared" si="122"/>
        <v>-27.21891602629757</v>
      </c>
      <c r="BV351">
        <f t="shared" si="123"/>
        <v>40.841029086936928</v>
      </c>
      <c r="BX351">
        <f t="shared" si="124"/>
        <v>-42.892994165096241</v>
      </c>
      <c r="CB351">
        <f t="shared" si="125"/>
        <v>99987.425020091468</v>
      </c>
      <c r="CD351">
        <f t="shared" si="126"/>
        <v>65085.081962385979</v>
      </c>
      <c r="CF351">
        <f t="shared" si="127"/>
        <v>93221.029056586776</v>
      </c>
    </row>
    <row r="352" spans="12:84" x14ac:dyDescent="0.25">
      <c r="L352">
        <v>341</v>
      </c>
      <c r="M352">
        <f t="shared" si="139"/>
        <v>2.1425661897482526</v>
      </c>
      <c r="P352">
        <f t="shared" si="133"/>
        <v>17294.393739365565</v>
      </c>
      <c r="Q352">
        <f t="shared" si="134"/>
        <v>11704.722911490808</v>
      </c>
      <c r="V352">
        <f t="shared" si="135"/>
        <v>-21893.924382444107</v>
      </c>
      <c r="W352">
        <f t="shared" si="136"/>
        <v>12943.306038043565</v>
      </c>
      <c r="AB352">
        <f t="shared" si="137"/>
        <v>-7705.6062606344367</v>
      </c>
      <c r="AC352">
        <f t="shared" si="138"/>
        <v>-10795.277088509192</v>
      </c>
      <c r="AW352">
        <v>345</v>
      </c>
      <c r="AX352">
        <f t="shared" si="128"/>
        <v>172.5</v>
      </c>
      <c r="AZ352">
        <f t="shared" si="129"/>
        <v>-69926.226448139772</v>
      </c>
      <c r="BB352">
        <f t="shared" si="130"/>
        <v>52288.530601711762</v>
      </c>
      <c r="BD352">
        <f t="shared" si="131"/>
        <v>-1257.6923248125927</v>
      </c>
      <c r="BF352">
        <f t="shared" si="132"/>
        <v>-470.88211520749451</v>
      </c>
      <c r="BH352">
        <f t="shared" si="117"/>
        <v>118.10579534759589</v>
      </c>
      <c r="BJ352">
        <f t="shared" si="118"/>
        <v>-91.812039520712489</v>
      </c>
      <c r="BN352" s="20">
        <f t="shared" si="119"/>
        <v>45.756063830231177</v>
      </c>
      <c r="BP352">
        <f t="shared" si="120"/>
        <v>-22.789201170984736</v>
      </c>
      <c r="BR352">
        <f t="shared" si="121"/>
        <v>31.470053213117875</v>
      </c>
      <c r="BT352">
        <f t="shared" si="122"/>
        <v>-26.655775992259446</v>
      </c>
      <c r="BV352">
        <f t="shared" si="123"/>
        <v>40.879678304246838</v>
      </c>
      <c r="BX352">
        <f t="shared" si="124"/>
        <v>-42.367062357468313</v>
      </c>
      <c r="CB352">
        <f t="shared" si="125"/>
        <v>100462.62328180857</v>
      </c>
      <c r="CD352">
        <f t="shared" si="126"/>
        <v>65428.953130879629</v>
      </c>
      <c r="CF352">
        <f t="shared" si="127"/>
        <v>93504.872767854336</v>
      </c>
    </row>
    <row r="353" spans="12:84" x14ac:dyDescent="0.25">
      <c r="L353">
        <v>342</v>
      </c>
      <c r="M353">
        <f t="shared" si="139"/>
        <v>2.1488493750554323</v>
      </c>
      <c r="P353">
        <f t="shared" si="133"/>
        <v>17268.028266328598</v>
      </c>
      <c r="Q353">
        <f t="shared" si="134"/>
        <v>11687.64020021067</v>
      </c>
      <c r="V353">
        <f t="shared" si="135"/>
        <v>-21912.380213569981</v>
      </c>
      <c r="W353">
        <f t="shared" si="136"/>
        <v>12931.348140147469</v>
      </c>
      <c r="AB353">
        <f t="shared" si="137"/>
        <v>-7731.9717336714029</v>
      </c>
      <c r="AC353">
        <f t="shared" si="138"/>
        <v>-10812.35979978933</v>
      </c>
      <c r="AW353">
        <v>346</v>
      </c>
      <c r="AX353">
        <f t="shared" si="128"/>
        <v>173</v>
      </c>
      <c r="AZ353">
        <f t="shared" si="129"/>
        <v>-70540.309386127614</v>
      </c>
      <c r="BB353">
        <f t="shared" si="130"/>
        <v>52041.613039167925</v>
      </c>
      <c r="BD353">
        <f t="shared" si="131"/>
        <v>-1198.6394271387946</v>
      </c>
      <c r="BF353">
        <f t="shared" si="132"/>
        <v>-516.78813496785074</v>
      </c>
      <c r="BH353">
        <f t="shared" si="117"/>
        <v>117.82440710551285</v>
      </c>
      <c r="BJ353">
        <f t="shared" si="118"/>
        <v>-90.377657517342698</v>
      </c>
      <c r="BN353" s="20">
        <f t="shared" si="119"/>
        <v>45.473218313360881</v>
      </c>
      <c r="BP353">
        <f t="shared" si="120"/>
        <v>-22.370704358004545</v>
      </c>
      <c r="BR353">
        <f t="shared" si="121"/>
        <v>31.411323904900829</v>
      </c>
      <c r="BT353">
        <f t="shared" si="122"/>
        <v>-26.129296411079778</v>
      </c>
      <c r="BV353">
        <f t="shared" si="123"/>
        <v>40.939864887251133</v>
      </c>
      <c r="BX353">
        <f t="shared" si="124"/>
        <v>-41.877656748258367</v>
      </c>
      <c r="CB353">
        <f t="shared" si="125"/>
        <v>100903.43361782434</v>
      </c>
      <c r="CD353">
        <f t="shared" si="126"/>
        <v>65740.551410682849</v>
      </c>
      <c r="CF353">
        <f t="shared" si="127"/>
        <v>93755.586677930056</v>
      </c>
    </row>
    <row r="354" spans="12:84" x14ac:dyDescent="0.25">
      <c r="L354">
        <v>343</v>
      </c>
      <c r="M354">
        <f t="shared" si="139"/>
        <v>2.1551325603626119</v>
      </c>
      <c r="P354">
        <f t="shared" si="133"/>
        <v>17241.770646857793</v>
      </c>
      <c r="Q354">
        <f t="shared" si="134"/>
        <v>11670.392168065817</v>
      </c>
      <c r="V354">
        <f t="shared" si="135"/>
        <v>-21930.760547199545</v>
      </c>
      <c r="W354">
        <f t="shared" si="136"/>
        <v>12919.274517646072</v>
      </c>
      <c r="AB354">
        <f t="shared" si="137"/>
        <v>-7758.2293531422092</v>
      </c>
      <c r="AC354">
        <f t="shared" si="138"/>
        <v>-10829.607831934183</v>
      </c>
      <c r="AW354">
        <v>347</v>
      </c>
      <c r="AX354">
        <f t="shared" si="128"/>
        <v>173.5</v>
      </c>
      <c r="AZ354">
        <f t="shared" si="129"/>
        <v>-71124.90104880881</v>
      </c>
      <c r="BB354">
        <f t="shared" si="130"/>
        <v>51771.921764494335</v>
      </c>
      <c r="BD354">
        <f t="shared" si="131"/>
        <v>-1139.7272235860382</v>
      </c>
      <c r="BF354">
        <f t="shared" si="132"/>
        <v>-561.97696372652206</v>
      </c>
      <c r="BH354">
        <f t="shared" si="117"/>
        <v>117.62207391286441</v>
      </c>
      <c r="BJ354">
        <f t="shared" si="118"/>
        <v>-89.031191259300527</v>
      </c>
      <c r="BN354" s="20">
        <f t="shared" si="119"/>
        <v>45.223092668254083</v>
      </c>
      <c r="BP354">
        <f t="shared" si="120"/>
        <v>-21.971088006834041</v>
      </c>
      <c r="BR354">
        <f t="shared" si="121"/>
        <v>31.377238996645485</v>
      </c>
      <c r="BT354">
        <f t="shared" si="122"/>
        <v>-25.636970354278159</v>
      </c>
      <c r="BV354">
        <f t="shared" si="123"/>
        <v>41.021742247964831</v>
      </c>
      <c r="BX354">
        <f t="shared" si="124"/>
        <v>-41.423132898188321</v>
      </c>
      <c r="CB354">
        <f t="shared" si="125"/>
        <v>101310.17050561462</v>
      </c>
      <c r="CD354">
        <f t="shared" si="126"/>
        <v>66020.064792073084</v>
      </c>
      <c r="CF354">
        <f t="shared" si="127"/>
        <v>93973.358324785368</v>
      </c>
    </row>
    <row r="355" spans="12:84" x14ac:dyDescent="0.25">
      <c r="L355">
        <v>344</v>
      </c>
      <c r="M355">
        <f t="shared" si="139"/>
        <v>2.1614157456697916</v>
      </c>
      <c r="P355">
        <f t="shared" si="133"/>
        <v>17215.621917559001</v>
      </c>
      <c r="Q355">
        <f t="shared" si="134"/>
        <v>11652.979495979023</v>
      </c>
      <c r="V355">
        <f t="shared" si="135"/>
        <v>-21949.064657708699</v>
      </c>
      <c r="W355">
        <f t="shared" si="136"/>
        <v>12907.085647185317</v>
      </c>
      <c r="AB355">
        <f t="shared" si="137"/>
        <v>-7784.3780824409969</v>
      </c>
      <c r="AC355">
        <f t="shared" si="138"/>
        <v>-10847.020504020977</v>
      </c>
      <c r="AW355">
        <v>348</v>
      </c>
      <c r="AX355">
        <f t="shared" si="128"/>
        <v>174</v>
      </c>
      <c r="AZ355">
        <f t="shared" si="129"/>
        <v>-71680.061901362715</v>
      </c>
      <c r="BB355">
        <f t="shared" si="130"/>
        <v>51479.804383723662</v>
      </c>
      <c r="BD355">
        <f t="shared" si="131"/>
        <v>-1080.916186629606</v>
      </c>
      <c r="BF355">
        <f t="shared" si="132"/>
        <v>-606.49255935617236</v>
      </c>
      <c r="BH355">
        <f t="shared" si="117"/>
        <v>117.49775975963011</v>
      </c>
      <c r="BJ355">
        <f t="shared" si="118"/>
        <v>-87.767665038442573</v>
      </c>
      <c r="BN355" s="20">
        <f t="shared" si="119"/>
        <v>45.004574399307806</v>
      </c>
      <c r="BP355">
        <f t="shared" si="120"/>
        <v>-21.589125676897861</v>
      </c>
      <c r="BR355">
        <f t="shared" si="121"/>
        <v>31.367664979416968</v>
      </c>
      <c r="BT355">
        <f t="shared" si="122"/>
        <v>-25.176529583183154</v>
      </c>
      <c r="BV355">
        <f t="shared" si="123"/>
        <v>41.125520380905343</v>
      </c>
      <c r="BX355">
        <f t="shared" si="124"/>
        <v>-41.002009778361554</v>
      </c>
      <c r="CB355">
        <f t="shared" si="125"/>
        <v>101683.12025045404</v>
      </c>
      <c r="CD355">
        <f t="shared" si="126"/>
        <v>66267.661569129355</v>
      </c>
      <c r="CF355">
        <f t="shared" si="127"/>
        <v>94158.35090987802</v>
      </c>
    </row>
    <row r="356" spans="12:84" x14ac:dyDescent="0.25">
      <c r="L356">
        <v>345</v>
      </c>
      <c r="M356">
        <f t="shared" si="139"/>
        <v>2.1676989309769712</v>
      </c>
      <c r="P356">
        <f t="shared" si="133"/>
        <v>17189.583110739291</v>
      </c>
      <c r="Q356">
        <f t="shared" si="134"/>
        <v>11635.402871372771</v>
      </c>
      <c r="V356">
        <f t="shared" si="135"/>
        <v>-21967.291822482497</v>
      </c>
      <c r="W356">
        <f t="shared" si="136"/>
        <v>12894.78200996094</v>
      </c>
      <c r="AB356">
        <f t="shared" si="137"/>
        <v>-7810.4168892607104</v>
      </c>
      <c r="AC356">
        <f t="shared" si="138"/>
        <v>-10864.597128627229</v>
      </c>
      <c r="AW356">
        <v>349</v>
      </c>
      <c r="AX356">
        <f t="shared" si="128"/>
        <v>174.5</v>
      </c>
      <c r="AZ356">
        <f t="shared" si="129"/>
        <v>-72205.832774707567</v>
      </c>
      <c r="BB356">
        <f t="shared" si="130"/>
        <v>51165.587145915764</v>
      </c>
      <c r="BD356">
        <f t="shared" si="131"/>
        <v>-1022.167306749791</v>
      </c>
      <c r="BF356">
        <f t="shared" si="132"/>
        <v>-650.37639187539367</v>
      </c>
      <c r="BH356">
        <f t="shared" si="117"/>
        <v>117.45071239310218</v>
      </c>
      <c r="BJ356">
        <f t="shared" si="118"/>
        <v>-86.58255527579044</v>
      </c>
      <c r="BN356" s="20">
        <f t="shared" si="119"/>
        <v>44.816690293598832</v>
      </c>
      <c r="BP356">
        <f t="shared" si="120"/>
        <v>-21.223680072259548</v>
      </c>
      <c r="BR356">
        <f t="shared" si="121"/>
        <v>31.382554229925987</v>
      </c>
      <c r="BT356">
        <f t="shared" si="122"/>
        <v>-24.745918269104408</v>
      </c>
      <c r="BV356">
        <f t="shared" si="123"/>
        <v>41.251467869577375</v>
      </c>
      <c r="BX356">
        <f t="shared" si="124"/>
        <v>-40.612956934426478</v>
      </c>
      <c r="CB356">
        <f t="shared" si="125"/>
        <v>102022.54210945197</v>
      </c>
      <c r="CD356">
        <f t="shared" si="126"/>
        <v>66483.490738443594</v>
      </c>
      <c r="CF356">
        <f t="shared" si="127"/>
        <v>94310.703959337145</v>
      </c>
    </row>
    <row r="357" spans="12:84" x14ac:dyDescent="0.25">
      <c r="L357">
        <v>346</v>
      </c>
      <c r="M357">
        <f t="shared" si="139"/>
        <v>2.1739821162841508</v>
      </c>
      <c r="P357">
        <f t="shared" si="133"/>
        <v>17163.65525436616</v>
      </c>
      <c r="Q357">
        <f t="shared" si="134"/>
        <v>11617.662988142098</v>
      </c>
      <c r="V357">
        <f t="shared" si="135"/>
        <v>-21985.441321943686</v>
      </c>
      <c r="W357">
        <f t="shared" si="136"/>
        <v>12882.364091699468</v>
      </c>
      <c r="AB357">
        <f t="shared" si="137"/>
        <v>-7836.3447456338399</v>
      </c>
      <c r="AC357">
        <f t="shared" si="138"/>
        <v>-10882.337011857902</v>
      </c>
      <c r="AW357">
        <v>350</v>
      </c>
      <c r="AX357">
        <f t="shared" si="128"/>
        <v>175</v>
      </c>
      <c r="AZ357">
        <f t="shared" si="129"/>
        <v>-72702.235089033318</v>
      </c>
      <c r="BB357">
        <f t="shared" si="130"/>
        <v>50829.576130568588</v>
      </c>
      <c r="BD357">
        <f t="shared" si="131"/>
        <v>-963.44195055323996</v>
      </c>
      <c r="BF357">
        <f t="shared" si="132"/>
        <v>-693.66766951328884</v>
      </c>
      <c r="BH357">
        <f t="shared" si="117"/>
        <v>117.48045673029569</v>
      </c>
      <c r="BJ357">
        <f t="shared" si="118"/>
        <v>-85.471746953875652</v>
      </c>
      <c r="BN357" s="20">
        <f t="shared" si="119"/>
        <v>44.658596524626944</v>
      </c>
      <c r="BP357">
        <f t="shared" si="120"/>
        <v>-20.873693672431035</v>
      </c>
      <c r="BR357">
        <f t="shared" si="121"/>
        <v>31.421946019112433</v>
      </c>
      <c r="BT357">
        <f t="shared" si="122"/>
        <v>-24.343269976891978</v>
      </c>
      <c r="BV357">
        <f t="shared" si="123"/>
        <v>41.399914186556316</v>
      </c>
      <c r="BX357">
        <f t="shared" si="124"/>
        <v>-40.254783304552632</v>
      </c>
      <c r="CB357">
        <f t="shared" si="125"/>
        <v>102328.66928753222</v>
      </c>
      <c r="CD357">
        <f t="shared" si="126"/>
        <v>66667.682353458411</v>
      </c>
      <c r="CF357">
        <f t="shared" si="127"/>
        <v>94430.533883808268</v>
      </c>
    </row>
    <row r="358" spans="12:84" x14ac:dyDescent="0.25">
      <c r="L358">
        <v>347</v>
      </c>
      <c r="M358">
        <f t="shared" si="139"/>
        <v>2.1802653015913305</v>
      </c>
      <c r="P358">
        <f t="shared" si="133"/>
        <v>17137.839372026989</v>
      </c>
      <c r="Q358">
        <f t="shared" si="134"/>
        <v>11599.760546627222</v>
      </c>
      <c r="V358">
        <f t="shared" si="135"/>
        <v>-22003.512439581107</v>
      </c>
      <c r="W358">
        <f t="shared" si="136"/>
        <v>12869.832382639055</v>
      </c>
      <c r="AB358">
        <f t="shared" si="137"/>
        <v>-7862.1606279730113</v>
      </c>
      <c r="AC358">
        <f t="shared" si="138"/>
        <v>-10900.239453372778</v>
      </c>
      <c r="AW358">
        <v>351</v>
      </c>
      <c r="AX358">
        <f t="shared" si="128"/>
        <v>175.5</v>
      </c>
      <c r="AZ358">
        <f t="shared" si="129"/>
        <v>-73169.271007218646</v>
      </c>
      <c r="BB358">
        <f t="shared" si="130"/>
        <v>50472.058327442704</v>
      </c>
      <c r="BD358">
        <f t="shared" si="131"/>
        <v>-904.70172218809216</v>
      </c>
      <c r="BF358">
        <f t="shared" si="132"/>
        <v>-736.4035429902267</v>
      </c>
      <c r="BH358">
        <f t="shared" si="117"/>
        <v>117.58679052271569</v>
      </c>
      <c r="BJ358">
        <f t="shared" si="118"/>
        <v>-84.431495260804169</v>
      </c>
      <c r="BN358" s="20">
        <f t="shared" si="119"/>
        <v>44.529570195591774</v>
      </c>
      <c r="BP358">
        <f t="shared" si="120"/>
        <v>-20.538180314759206</v>
      </c>
      <c r="BR358">
        <f t="shared" si="121"/>
        <v>31.485967997216324</v>
      </c>
      <c r="BT358">
        <f t="shared" si="122"/>
        <v>-23.966887435908699</v>
      </c>
      <c r="BV358">
        <f t="shared" si="123"/>
        <v>41.571252329907601</v>
      </c>
      <c r="BX358">
        <f t="shared" si="124"/>
        <v>-39.926427510136264</v>
      </c>
      <c r="CB358">
        <f t="shared" si="125"/>
        <v>102601.70981476718</v>
      </c>
      <c r="CD358">
        <f t="shared" si="126"/>
        <v>66820.347834316053</v>
      </c>
      <c r="CF358">
        <f t="shared" si="127"/>
        <v>94517.934442557933</v>
      </c>
    </row>
    <row r="359" spans="12:84" x14ac:dyDescent="0.25">
      <c r="L359">
        <v>348</v>
      </c>
      <c r="M359">
        <f t="shared" si="139"/>
        <v>2.1865484868985101</v>
      </c>
      <c r="P359">
        <f t="shared" si="133"/>
        <v>17112.136482888603</v>
      </c>
      <c r="Q359">
        <f t="shared" si="134"/>
        <v>11581.69625358588</v>
      </c>
      <c r="V359">
        <f t="shared" si="135"/>
        <v>-22021.504461977976</v>
      </c>
      <c r="W359">
        <f t="shared" si="136"/>
        <v>12857.187377510116</v>
      </c>
      <c r="AB359">
        <f t="shared" si="137"/>
        <v>-7887.8635171113947</v>
      </c>
      <c r="AC359">
        <f t="shared" si="138"/>
        <v>-10918.30374641412</v>
      </c>
      <c r="AW359">
        <v>352</v>
      </c>
      <c r="AX359">
        <f t="shared" si="128"/>
        <v>176</v>
      </c>
      <c r="AZ359">
        <f t="shared" si="129"/>
        <v>-73606.923519497359</v>
      </c>
      <c r="BB359">
        <f t="shared" si="130"/>
        <v>50093.302619039991</v>
      </c>
      <c r="BD359">
        <f t="shared" si="131"/>
        <v>-845.90832692673428</v>
      </c>
      <c r="BF359">
        <f t="shared" si="132"/>
        <v>-778.61929062062882</v>
      </c>
      <c r="BH359">
        <f t="shared" si="117"/>
        <v>117.76978223139061</v>
      </c>
      <c r="BJ359">
        <f t="shared" si="118"/>
        <v>-83.458391756791684</v>
      </c>
      <c r="BN359" s="20">
        <f t="shared" si="119"/>
        <v>44.42900216688934</v>
      </c>
      <c r="BP359">
        <f t="shared" si="120"/>
        <v>-20.216217595936033</v>
      </c>
      <c r="BR359">
        <f t="shared" si="121"/>
        <v>31.574838224224781</v>
      </c>
      <c r="BT359">
        <f t="shared" si="122"/>
        <v>-23.615224694075959</v>
      </c>
      <c r="BV359">
        <f t="shared" si="123"/>
        <v>41.765941840276483</v>
      </c>
      <c r="BX359">
        <f t="shared" si="124"/>
        <v>-39.626949466779692</v>
      </c>
      <c r="CB359">
        <f t="shared" si="125"/>
        <v>102841.84731315431</v>
      </c>
      <c r="CD359">
        <f t="shared" si="126"/>
        <v>66941.58023326876</v>
      </c>
      <c r="CF359">
        <f t="shared" si="127"/>
        <v>94572.97711642622</v>
      </c>
    </row>
    <row r="360" spans="12:84" x14ac:dyDescent="0.25">
      <c r="L360">
        <v>349</v>
      </c>
      <c r="M360">
        <f t="shared" si="139"/>
        <v>2.1928316722056898</v>
      </c>
      <c r="P360">
        <f t="shared" si="133"/>
        <v>17086.547601657061</v>
      </c>
      <c r="Q360">
        <f t="shared" si="134"/>
        <v>11563.470822165429</v>
      </c>
      <c r="V360">
        <f t="shared" si="135"/>
        <v>-22039.416678840054</v>
      </c>
      <c r="W360">
        <f t="shared" si="136"/>
        <v>12844.4295755158</v>
      </c>
      <c r="AB360">
        <f t="shared" si="137"/>
        <v>-7913.4523983429372</v>
      </c>
      <c r="AC360">
        <f t="shared" si="138"/>
        <v>-10936.529177834571</v>
      </c>
      <c r="AW360">
        <v>353</v>
      </c>
      <c r="AX360">
        <f t="shared" si="128"/>
        <v>176.5</v>
      </c>
      <c r="AZ360">
        <f t="shared" si="129"/>
        <v>-74015.156460181795</v>
      </c>
      <c r="BB360">
        <f t="shared" si="130"/>
        <v>49693.560674760076</v>
      </c>
      <c r="BD360">
        <f t="shared" si="131"/>
        <v>-787.02343581103901</v>
      </c>
      <c r="BF360">
        <f t="shared" si="132"/>
        <v>-820.3484864990246</v>
      </c>
      <c r="BH360">
        <f t="shared" si="117"/>
        <v>118.02977109784575</v>
      </c>
      <c r="BJ360">
        <f t="shared" si="118"/>
        <v>-82.549334474691904</v>
      </c>
      <c r="BN360" s="20">
        <f t="shared" si="119"/>
        <v>44.356391038860757</v>
      </c>
      <c r="BP360">
        <f t="shared" si="120"/>
        <v>-19.906939977323912</v>
      </c>
      <c r="BR360">
        <f t="shared" si="121"/>
        <v>31.688867813110658</v>
      </c>
      <c r="BT360">
        <f t="shared" si="122"/>
        <v>-23.286871309562919</v>
      </c>
      <c r="BV360">
        <f t="shared" si="123"/>
        <v>41.984512245874349</v>
      </c>
      <c r="BX360">
        <f t="shared" si="124"/>
        <v>-39.355523187805076</v>
      </c>
      <c r="CB360">
        <f t="shared" si="125"/>
        <v>103049.2416597382</v>
      </c>
      <c r="CD360">
        <f t="shared" si="126"/>
        <v>67031.454455790968</v>
      </c>
      <c r="CF360">
        <f t="shared" si="127"/>
        <v>94595.711393288002</v>
      </c>
    </row>
    <row r="361" spans="12:84" x14ac:dyDescent="0.25">
      <c r="L361">
        <v>350</v>
      </c>
      <c r="M361">
        <f t="shared" si="139"/>
        <v>2.1991148575128694</v>
      </c>
      <c r="P361">
        <f t="shared" si="133"/>
        <v>17061.073738537576</v>
      </c>
      <c r="Q361">
        <f t="shared" si="134"/>
        <v>11545.084971874696</v>
      </c>
      <c r="V361">
        <f t="shared" si="135"/>
        <v>-22057.248383023696</v>
      </c>
      <c r="W361">
        <f t="shared" si="136"/>
        <v>12831.559480312288</v>
      </c>
      <c r="AB361">
        <f t="shared" si="137"/>
        <v>-7938.9262614624222</v>
      </c>
      <c r="AC361">
        <f t="shared" si="138"/>
        <v>-10954.915028125304</v>
      </c>
      <c r="AW361">
        <v>354</v>
      </c>
      <c r="AX361">
        <f t="shared" si="128"/>
        <v>177</v>
      </c>
      <c r="AZ361">
        <f t="shared" si="129"/>
        <v>-74393.914456700091</v>
      </c>
      <c r="BB361">
        <f t="shared" si="130"/>
        <v>49273.067764701227</v>
      </c>
      <c r="BD361">
        <f t="shared" si="131"/>
        <v>-728.00855026211616</v>
      </c>
      <c r="BF361">
        <f t="shared" si="132"/>
        <v>-861.62315373637057</v>
      </c>
      <c r="BH361">
        <f t="shared" si="117"/>
        <v>118.36736942525968</v>
      </c>
      <c r="BJ361">
        <f t="shared" si="118"/>
        <v>-81.701501450142018</v>
      </c>
      <c r="BN361" s="20">
        <f t="shared" si="119"/>
        <v>44.311338183416126</v>
      </c>
      <c r="BP361">
        <f t="shared" si="120"/>
        <v>-19.609532493003304</v>
      </c>
      <c r="BR361">
        <f t="shared" si="121"/>
        <v>31.828464255118845</v>
      </c>
      <c r="BT361">
        <f t="shared" si="122"/>
        <v>-22.980538283059378</v>
      </c>
      <c r="BV361">
        <f t="shared" si="123"/>
        <v>42.227566986724717</v>
      </c>
      <c r="BX361">
        <f t="shared" si="124"/>
        <v>-39.111430674079344</v>
      </c>
      <c r="CB361">
        <f t="shared" si="125"/>
        <v>103224.02955190781</v>
      </c>
      <c r="CD361">
        <f t="shared" si="126"/>
        <v>67090.027437567958</v>
      </c>
      <c r="CF361">
        <f t="shared" si="127"/>
        <v>94586.164968824509</v>
      </c>
    </row>
    <row r="362" spans="12:84" x14ac:dyDescent="0.25">
      <c r="L362">
        <v>351</v>
      </c>
      <c r="M362">
        <f t="shared" si="139"/>
        <v>2.205398042820049</v>
      </c>
      <c r="P362">
        <f t="shared" si="133"/>
        <v>17035.715899194645</v>
      </c>
      <c r="Q362">
        <f t="shared" si="134"/>
        <v>11526.539428555567</v>
      </c>
      <c r="V362">
        <f t="shared" si="135"/>
        <v>-22074.998870563748</v>
      </c>
      <c r="W362">
        <f t="shared" si="136"/>
        <v>12818.577599988897</v>
      </c>
      <c r="AB362">
        <f t="shared" si="137"/>
        <v>-7964.2841008053529</v>
      </c>
      <c r="AC362">
        <f t="shared" si="138"/>
        <v>-10973.460571444433</v>
      </c>
      <c r="AW362">
        <v>355</v>
      </c>
      <c r="AX362">
        <f t="shared" si="128"/>
        <v>177.5</v>
      </c>
      <c r="AZ362">
        <f t="shared" si="129"/>
        <v>-74743.122810652989</v>
      </c>
      <c r="BB362">
        <f t="shared" si="130"/>
        <v>48832.043500151776</v>
      </c>
      <c r="BD362">
        <f t="shared" si="131"/>
        <v>-668.82486554948628</v>
      </c>
      <c r="BF362">
        <f t="shared" si="132"/>
        <v>-902.47390446144163</v>
      </c>
      <c r="BH362">
        <f t="shared" si="117"/>
        <v>118.7834671138809</v>
      </c>
      <c r="BJ362">
        <f t="shared" si="118"/>
        <v>-80.912327247247646</v>
      </c>
      <c r="BN362" s="20">
        <f t="shared" si="119"/>
        <v>44.293543737768374</v>
      </c>
      <c r="BP362">
        <f t="shared" si="120"/>
        <v>-19.323224971210973</v>
      </c>
      <c r="BR362">
        <f t="shared" si="121"/>
        <v>31.994135501157267</v>
      </c>
      <c r="BT362">
        <f t="shared" si="122"/>
        <v>-22.695045473162505</v>
      </c>
      <c r="BV362">
        <f t="shared" si="123"/>
        <v>42.495787874955248</v>
      </c>
      <c r="BX362">
        <f t="shared" si="124"/>
        <v>-38.894056802874161</v>
      </c>
      <c r="CB362">
        <f t="shared" si="125"/>
        <v>103366.32497971917</v>
      </c>
      <c r="CD362">
        <f t="shared" si="126"/>
        <v>67117.338277526433</v>
      </c>
      <c r="CF362">
        <f t="shared" si="127"/>
        <v>94544.343864596653</v>
      </c>
    </row>
    <row r="363" spans="12:84" x14ac:dyDescent="0.25">
      <c r="L363">
        <v>352</v>
      </c>
      <c r="M363">
        <f t="shared" si="139"/>
        <v>2.2116812281272287</v>
      </c>
      <c r="P363">
        <f t="shared" si="133"/>
        <v>17010.475084712351</v>
      </c>
      <c r="Q363">
        <f t="shared" si="134"/>
        <v>11507.83492435434</v>
      </c>
      <c r="V363">
        <f t="shared" si="135"/>
        <v>-22092.667440701356</v>
      </c>
      <c r="W363">
        <f t="shared" si="136"/>
        <v>12805.484447048038</v>
      </c>
      <c r="AB363">
        <f t="shared" si="137"/>
        <v>-7989.5249152876513</v>
      </c>
      <c r="AC363">
        <f t="shared" si="138"/>
        <v>-10992.16507564566</v>
      </c>
      <c r="AW363">
        <v>356</v>
      </c>
      <c r="AX363">
        <f t="shared" si="128"/>
        <v>178</v>
      </c>
      <c r="AZ363">
        <f t="shared" si="129"/>
        <v>-75062.687310038498</v>
      </c>
      <c r="BB363">
        <f t="shared" si="130"/>
        <v>48370.692507015148</v>
      </c>
      <c r="BD363">
        <f t="shared" si="131"/>
        <v>-609.43313199254578</v>
      </c>
      <c r="BF363">
        <f t="shared" si="132"/>
        <v>-942.9300680850655</v>
      </c>
      <c r="BH363">
        <f t="shared" si="117"/>
        <v>119.27923852635256</v>
      </c>
      <c r="BJ363">
        <f t="shared" si="118"/>
        <v>-80.179482104472513</v>
      </c>
      <c r="BN363" s="20">
        <f t="shared" si="119"/>
        <v>44.302803490739031</v>
      </c>
      <c r="BP363">
        <f t="shared" si="120"/>
        <v>-19.047286689501213</v>
      </c>
      <c r="BR363">
        <f t="shared" si="121"/>
        <v>32.186494880895516</v>
      </c>
      <c r="BT363">
        <f t="shared" si="122"/>
        <v>-22.429310269575279</v>
      </c>
      <c r="BV363">
        <f t="shared" si="123"/>
        <v>42.78994015471801</v>
      </c>
      <c r="BX363">
        <f t="shared" si="124"/>
        <v>-38.702885145396024</v>
      </c>
      <c r="CB363">
        <f t="shared" si="125"/>
        <v>103476.21960918915</v>
      </c>
      <c r="CD363">
        <f t="shared" si="126"/>
        <v>67113.408327032404</v>
      </c>
      <c r="CF363">
        <f t="shared" si="127"/>
        <v>94470.232464638801</v>
      </c>
    </row>
    <row r="364" spans="12:84" x14ac:dyDescent="0.25">
      <c r="L364">
        <v>353</v>
      </c>
      <c r="M364">
        <f t="shared" si="139"/>
        <v>2.2179644134344083</v>
      </c>
      <c r="P364">
        <f t="shared" si="133"/>
        <v>16985.35229155482</v>
      </c>
      <c r="Q364">
        <f t="shared" si="134"/>
        <v>11488.972197692812</v>
      </c>
      <c r="V364">
        <f t="shared" si="135"/>
        <v>-22110.253395911626</v>
      </c>
      <c r="W364">
        <f t="shared" si="136"/>
        <v>12792.280538384968</v>
      </c>
      <c r="AB364">
        <f t="shared" si="137"/>
        <v>-8014.6477084451808</v>
      </c>
      <c r="AC364">
        <f t="shared" si="138"/>
        <v>-11011.027802307188</v>
      </c>
      <c r="AW364">
        <v>357</v>
      </c>
      <c r="AX364">
        <f t="shared" si="128"/>
        <v>178.5</v>
      </c>
      <c r="AZ364">
        <f t="shared" si="129"/>
        <v>-75352.493971218981</v>
      </c>
      <c r="BB364">
        <f t="shared" si="130"/>
        <v>47889.205037709551</v>
      </c>
      <c r="BD364">
        <f t="shared" si="131"/>
        <v>-549.79351272936947</v>
      </c>
      <c r="BF364">
        <f t="shared" si="132"/>
        <v>-983.01980913730176</v>
      </c>
      <c r="BH364">
        <f t="shared" si="117"/>
        <v>119.85615179244418</v>
      </c>
      <c r="BJ364">
        <f t="shared" si="118"/>
        <v>-79.500853374375012</v>
      </c>
      <c r="BN364" s="20">
        <f t="shared" si="119"/>
        <v>44.339006607409765</v>
      </c>
      <c r="BP364">
        <f t="shared" si="120"/>
        <v>-18.781021391800913</v>
      </c>
      <c r="BR364">
        <f t="shared" si="121"/>
        <v>32.406266951459322</v>
      </c>
      <c r="BT364">
        <f t="shared" si="122"/>
        <v>-22.182337324656473</v>
      </c>
      <c r="BV364">
        <f t="shared" si="123"/>
        <v>43.110878233575093</v>
      </c>
      <c r="BX364">
        <f t="shared" si="124"/>
        <v>-38.537494657917627</v>
      </c>
      <c r="CB364">
        <f t="shared" si="125"/>
        <v>103553.78307966105</v>
      </c>
      <c r="CD364">
        <f t="shared" si="126"/>
        <v>67078.241235317342</v>
      </c>
      <c r="CF364">
        <f t="shared" si="127"/>
        <v>94363.793471042038</v>
      </c>
    </row>
    <row r="365" spans="12:84" x14ac:dyDescent="0.25">
      <c r="L365">
        <v>354</v>
      </c>
      <c r="M365">
        <f t="shared" si="139"/>
        <v>2.224247598741588</v>
      </c>
      <c r="P365">
        <f t="shared" si="133"/>
        <v>16960.348511526914</v>
      </c>
      <c r="Q365">
        <f t="shared" si="134"/>
        <v>11469.951993239134</v>
      </c>
      <c r="V365">
        <f t="shared" si="135"/>
        <v>-22127.756041931159</v>
      </c>
      <c r="W365">
        <f t="shared" si="136"/>
        <v>12778.966395267393</v>
      </c>
      <c r="AB365">
        <f t="shared" si="137"/>
        <v>-8039.6514884730841</v>
      </c>
      <c r="AC365">
        <f t="shared" si="138"/>
        <v>-11030.048006760866</v>
      </c>
      <c r="AW365">
        <v>358</v>
      </c>
      <c r="AX365">
        <f t="shared" si="128"/>
        <v>179</v>
      </c>
      <c r="AZ365">
        <f t="shared" si="129"/>
        <v>-75612.408708609611</v>
      </c>
      <c r="BB365">
        <f t="shared" si="130"/>
        <v>47387.757526469104</v>
      </c>
      <c r="BD365">
        <f t="shared" si="131"/>
        <v>-489.86543683314738</v>
      </c>
      <c r="BF365">
        <f t="shared" si="132"/>
        <v>-1022.7702358244893</v>
      </c>
      <c r="BH365">
        <f t="shared" si="117"/>
        <v>120.51598069959468</v>
      </c>
      <c r="BJ365">
        <f t="shared" si="118"/>
        <v>-78.874528971526459</v>
      </c>
      <c r="BN365" s="20">
        <f t="shared" si="119"/>
        <v>44.402134151778164</v>
      </c>
      <c r="BP365">
        <f t="shared" si="120"/>
        <v>-18.5237626017929</v>
      </c>
      <c r="BR365">
        <f t="shared" si="121"/>
        <v>32.654294380680057</v>
      </c>
      <c r="BT365">
        <f t="shared" si="122"/>
        <v>-21.953209164159073</v>
      </c>
      <c r="BV365">
        <f t="shared" si="123"/>
        <v>43.459552167136451</v>
      </c>
      <c r="BX365">
        <f t="shared" si="124"/>
        <v>-38.397557205574486</v>
      </c>
      <c r="CB365">
        <f t="shared" si="125"/>
        <v>103599.06321754362</v>
      </c>
      <c r="CD365">
        <f t="shared" si="126"/>
        <v>67011.822951114271</v>
      </c>
      <c r="CF365">
        <f t="shared" si="127"/>
        <v>94224.967778255188</v>
      </c>
    </row>
    <row r="366" spans="12:84" x14ac:dyDescent="0.25">
      <c r="L366">
        <v>355</v>
      </c>
      <c r="M366">
        <f t="shared" si="139"/>
        <v>2.2305307840487676</v>
      </c>
      <c r="P366">
        <f t="shared" si="133"/>
        <v>16935.464731735061</v>
      </c>
      <c r="Q366">
        <f t="shared" si="134"/>
        <v>11450.775061878408</v>
      </c>
      <c r="V366">
        <f t="shared" si="135"/>
        <v>-22145.174687785457</v>
      </c>
      <c r="W366">
        <f t="shared" si="136"/>
        <v>12765.542543314885</v>
      </c>
      <c r="AB366">
        <f t="shared" si="137"/>
        <v>-8064.5352682649391</v>
      </c>
      <c r="AC366">
        <f t="shared" si="138"/>
        <v>-11049.224938121592</v>
      </c>
      <c r="AW366">
        <v>359</v>
      </c>
      <c r="AX366">
        <f t="shared" si="128"/>
        <v>179.5</v>
      </c>
      <c r="AZ366">
        <f t="shared" si="129"/>
        <v>-75842.27692943874</v>
      </c>
      <c r="BB366">
        <f t="shared" si="130"/>
        <v>46866.513092435423</v>
      </c>
      <c r="BD366">
        <f t="shared" si="131"/>
        <v>-429.60744648335003</v>
      </c>
      <c r="BF366">
        <f t="shared" si="132"/>
        <v>-1062.2075003102525</v>
      </c>
      <c r="BH366">
        <f t="shared" si="117"/>
        <v>121.26081935638791</v>
      </c>
      <c r="BJ366">
        <f t="shared" si="118"/>
        <v>-78.298782576444566</v>
      </c>
      <c r="BN366" s="20">
        <f t="shared" si="119"/>
        <v>44.492258379848181</v>
      </c>
      <c r="BP366">
        <f t="shared" si="120"/>
        <v>-18.274869171898022</v>
      </c>
      <c r="BR366">
        <f t="shared" si="121"/>
        <v>32.931545985987121</v>
      </c>
      <c r="BT366">
        <f t="shared" si="122"/>
        <v>-21.741077513379533</v>
      </c>
      <c r="BV366">
        <f t="shared" si="123"/>
        <v>43.837014990552596</v>
      </c>
      <c r="BX366">
        <f t="shared" si="124"/>
        <v>-38.282835891167011</v>
      </c>
      <c r="CB366">
        <f t="shared" si="125"/>
        <v>103612.08616795685</v>
      </c>
      <c r="CD366">
        <f t="shared" si="126"/>
        <v>66914.121680395969</v>
      </c>
      <c r="CF366">
        <f t="shared" si="127"/>
        <v>94053.674265090624</v>
      </c>
    </row>
    <row r="367" spans="12:84" x14ac:dyDescent="0.25">
      <c r="L367">
        <v>356</v>
      </c>
      <c r="M367">
        <f t="shared" si="139"/>
        <v>2.2368139693559472</v>
      </c>
      <c r="P367">
        <f t="shared" si="133"/>
        <v>16910.701934548273</v>
      </c>
      <c r="Q367">
        <f t="shared" si="134"/>
        <v>11431.442160683049</v>
      </c>
      <c r="V367">
        <f t="shared" si="135"/>
        <v>-22162.508645816211</v>
      </c>
      <c r="W367">
        <f t="shared" si="136"/>
        <v>12752.009512478135</v>
      </c>
      <c r="AB367">
        <f t="shared" si="137"/>
        <v>-8089.2980654517287</v>
      </c>
      <c r="AC367">
        <f t="shared" si="138"/>
        <v>-11068.557839316951</v>
      </c>
      <c r="AW367">
        <v>360</v>
      </c>
      <c r="AX367">
        <f t="shared" si="128"/>
        <v>180</v>
      </c>
      <c r="AZ367">
        <f t="shared" si="129"/>
        <v>-76041.923050260855</v>
      </c>
      <c r="BB367">
        <f t="shared" si="130"/>
        <v>46325.621994458241</v>
      </c>
      <c r="BD367">
        <f t="shared" si="131"/>
        <v>-368.9770368051561</v>
      </c>
      <c r="BF367">
        <f t="shared" si="132"/>
        <v>-1101.3568915984747</v>
      </c>
      <c r="BH367">
        <f t="shared" si="117"/>
        <v>122.09309986164982</v>
      </c>
      <c r="BJ367">
        <f t="shared" si="118"/>
        <v>-77.77206037058329</v>
      </c>
      <c r="BN367" s="20">
        <f t="shared" si="119"/>
        <v>44.609542787626616</v>
      </c>
      <c r="BP367">
        <f t="shared" si="120"/>
        <v>-18.033721010684175</v>
      </c>
      <c r="BR367">
        <f t="shared" si="121"/>
        <v>33.239126069519102</v>
      </c>
      <c r="BT367">
        <f t="shared" si="122"/>
        <v>-21.545155185781461</v>
      </c>
      <c r="BV367">
        <f t="shared" si="123"/>
        <v>44.244431004504094</v>
      </c>
      <c r="BX367">
        <f t="shared" si="124"/>
        <v>-38.193184174117647</v>
      </c>
      <c r="CB367">
        <f t="shared" si="125"/>
        <v>103592.85644506956</v>
      </c>
      <c r="CD367">
        <f t="shared" si="126"/>
        <v>66785.087800014371</v>
      </c>
      <c r="CF367">
        <f t="shared" si="127"/>
        <v>93849.809502664226</v>
      </c>
    </row>
    <row r="368" spans="12:84" x14ac:dyDescent="0.25">
      <c r="L368">
        <v>357</v>
      </c>
      <c r="M368">
        <f t="shared" si="139"/>
        <v>2.2430971546631269</v>
      </c>
      <c r="P368">
        <f t="shared" si="133"/>
        <v>16886.061097559381</v>
      </c>
      <c r="Q368">
        <f t="shared" si="134"/>
        <v>11411.954052882895</v>
      </c>
      <c r="V368">
        <f t="shared" si="135"/>
        <v>-22179.757231708434</v>
      </c>
      <c r="W368">
        <f t="shared" si="136"/>
        <v>12738.367837018028</v>
      </c>
      <c r="AB368">
        <f t="shared" si="137"/>
        <v>-8113.9389024406191</v>
      </c>
      <c r="AC368">
        <f t="shared" si="138"/>
        <v>-11088.045947117105</v>
      </c>
      <c r="AW368">
        <v>361</v>
      </c>
      <c r="AX368">
        <f t="shared" si="128"/>
        <v>180.5</v>
      </c>
      <c r="AZ368">
        <f t="shared" si="129"/>
        <v>-76211.149931180727</v>
      </c>
      <c r="BB368">
        <f t="shared" si="130"/>
        <v>45765.222041112676</v>
      </c>
      <c r="BD368">
        <f t="shared" si="131"/>
        <v>-307.93048687433122</v>
      </c>
      <c r="BF368">
        <f t="shared" si="132"/>
        <v>-1140.2429217837664</v>
      </c>
      <c r="BH368">
        <f t="shared" si="117"/>
        <v>123.01561326337713</v>
      </c>
      <c r="BJ368">
        <f t="shared" si="118"/>
        <v>-77.292969098928239</v>
      </c>
      <c r="BN368" s="20">
        <f t="shared" si="119"/>
        <v>44.754242910067866</v>
      </c>
      <c r="BP368">
        <f t="shared" si="120"/>
        <v>-17.799714933878278</v>
      </c>
      <c r="BR368">
        <f t="shared" si="121"/>
        <v>33.57828521339372</v>
      </c>
      <c r="BT368">
        <f t="shared" si="122"/>
        <v>-21.364708387697824</v>
      </c>
      <c r="BV368">
        <f t="shared" si="123"/>
        <v>44.683085139915548</v>
      </c>
      <c r="BX368">
        <f t="shared" si="124"/>
        <v>-38.12854577735213</v>
      </c>
      <c r="CB368">
        <f t="shared" si="125"/>
        <v>103541.35690117159</v>
      </c>
      <c r="CD368">
        <f t="shared" si="126"/>
        <v>66624.653726948338</v>
      </c>
      <c r="CF368">
        <f t="shared" si="127"/>
        <v>93613.247375715073</v>
      </c>
    </row>
    <row r="369" spans="12:84" x14ac:dyDescent="0.25">
      <c r="L369">
        <v>358</v>
      </c>
      <c r="M369">
        <f t="shared" si="139"/>
        <v>2.2493803399703065</v>
      </c>
      <c r="P369">
        <f t="shared" si="133"/>
        <v>16861.54319354644</v>
      </c>
      <c r="Q369">
        <f t="shared" si="134"/>
        <v>11392.311507835071</v>
      </c>
      <c r="V369">
        <f t="shared" si="135"/>
        <v>-22196.91976451749</v>
      </c>
      <c r="W369">
        <f t="shared" si="136"/>
        <v>12724.61805548455</v>
      </c>
      <c r="AB369">
        <f t="shared" si="137"/>
        <v>-8138.4568064535588</v>
      </c>
      <c r="AC369">
        <f t="shared" si="138"/>
        <v>-11107.688492164929</v>
      </c>
      <c r="AW369">
        <v>362</v>
      </c>
      <c r="AX369">
        <f t="shared" si="128"/>
        <v>181</v>
      </c>
      <c r="AZ369">
        <f t="shared" si="129"/>
        <v>-76349.738222959975</v>
      </c>
      <c r="BB369">
        <f t="shared" si="130"/>
        <v>45185.438959083425</v>
      </c>
      <c r="BD369">
        <f t="shared" si="131"/>
        <v>-246.42268024264266</v>
      </c>
      <c r="BF369">
        <f t="shared" si="132"/>
        <v>-1178.8894063332305</v>
      </c>
      <c r="BH369">
        <f t="shared" si="117"/>
        <v>124.03153415064679</v>
      </c>
      <c r="BJ369">
        <f t="shared" si="118"/>
        <v>-76.860265273024112</v>
      </c>
      <c r="BN369" s="20">
        <f t="shared" si="119"/>
        <v>44.926707878435685</v>
      </c>
      <c r="BP369">
        <f t="shared" si="120"/>
        <v>-17.572260585362979</v>
      </c>
      <c r="BR369">
        <f t="shared" si="121"/>
        <v>33.950432726948847</v>
      </c>
      <c r="BT369">
        <f t="shared" si="122"/>
        <v>-21.199049294993838</v>
      </c>
      <c r="BV369">
        <f t="shared" si="123"/>
        <v>45.154393545262245</v>
      </c>
      <c r="BX369">
        <f t="shared" si="124"/>
        <v>-38.088955392667302</v>
      </c>
      <c r="CB369">
        <f t="shared" si="125"/>
        <v>103457.54861377548</v>
      </c>
      <c r="CD369">
        <f t="shared" si="126"/>
        <v>66432.733742783021</v>
      </c>
      <c r="CF369">
        <f t="shared" si="127"/>
        <v>93343.838613924978</v>
      </c>
    </row>
    <row r="370" spans="12:84" x14ac:dyDescent="0.25">
      <c r="L370">
        <v>359</v>
      </c>
      <c r="M370">
        <f t="shared" si="139"/>
        <v>2.2556635252774861</v>
      </c>
      <c r="P370">
        <f t="shared" si="133"/>
        <v>16837.14919043432</v>
      </c>
      <c r="Q370">
        <f t="shared" si="134"/>
        <v>11372.515300993622</v>
      </c>
      <c r="V370">
        <f t="shared" si="135"/>
        <v>-22213.995566695976</v>
      </c>
      <c r="W370">
        <f t="shared" si="136"/>
        <v>12710.760710695537</v>
      </c>
      <c r="AB370">
        <f t="shared" si="137"/>
        <v>-8162.8508095656789</v>
      </c>
      <c r="AC370">
        <f t="shared" si="138"/>
        <v>-11127.484699006378</v>
      </c>
      <c r="AW370">
        <v>363</v>
      </c>
      <c r="AX370">
        <f t="shared" si="128"/>
        <v>181.5</v>
      </c>
      <c r="AZ370">
        <f t="shared" si="129"/>
        <v>-76457.445621312479</v>
      </c>
      <c r="BB370">
        <f t="shared" si="130"/>
        <v>44586.386722757685</v>
      </c>
      <c r="BD370">
        <f t="shared" si="131"/>
        <v>-184.40691316731926</v>
      </c>
      <c r="BF370">
        <f t="shared" si="132"/>
        <v>-1217.3195389697426</v>
      </c>
      <c r="BH370">
        <f t="shared" si="117"/>
        <v>125.14444928959378</v>
      </c>
      <c r="BJ370">
        <f t="shared" si="118"/>
        <v>-76.472845338461909</v>
      </c>
      <c r="BN370" s="20">
        <f t="shared" si="119"/>
        <v>45.127382755072809</v>
      </c>
      <c r="BP370">
        <f t="shared" si="120"/>
        <v>-17.350776374600038</v>
      </c>
      <c r="BR370">
        <f t="shared" si="121"/>
        <v>34.357150970940573</v>
      </c>
      <c r="BT370">
        <f t="shared" si="122"/>
        <v>-21.047528755437444</v>
      </c>
      <c r="BV370">
        <f t="shared" si="123"/>
        <v>45.659915563580398</v>
      </c>
      <c r="BX370">
        <f t="shared" si="124"/>
        <v>-38.074540208424423</v>
      </c>
      <c r="CB370">
        <f t="shared" si="125"/>
        <v>103341.37068927618</v>
      </c>
      <c r="CD370">
        <f t="shared" si="126"/>
        <v>66209.223772972939</v>
      </c>
      <c r="CF370">
        <f t="shared" si="127"/>
        <v>93041.410228977402</v>
      </c>
    </row>
    <row r="371" spans="12:84" x14ac:dyDescent="0.25">
      <c r="L371">
        <v>360</v>
      </c>
      <c r="M371">
        <f t="shared" si="139"/>
        <v>2.2619467105846658</v>
      </c>
      <c r="P371">
        <f t="shared" si="133"/>
        <v>16812.880051256496</v>
      </c>
      <c r="Q371">
        <f t="shared" si="134"/>
        <v>11352.566213878899</v>
      </c>
      <c r="V371">
        <f t="shared" si="135"/>
        <v>-22230.983964120453</v>
      </c>
      <c r="W371">
        <f t="shared" si="136"/>
        <v>12696.79634971523</v>
      </c>
      <c r="AB371">
        <f t="shared" si="137"/>
        <v>-8187.1199487435042</v>
      </c>
      <c r="AC371">
        <f t="shared" si="138"/>
        <v>-11147.433786121101</v>
      </c>
      <c r="AW371">
        <v>364</v>
      </c>
      <c r="AX371">
        <f t="shared" si="128"/>
        <v>182</v>
      </c>
      <c r="AZ371">
        <f t="shared" si="129"/>
        <v>-76534.006021734953</v>
      </c>
      <c r="BB371">
        <f t="shared" si="130"/>
        <v>43968.167847605509</v>
      </c>
      <c r="BD371">
        <f t="shared" si="131"/>
        <v>-121.83468852252237</v>
      </c>
      <c r="BF371">
        <f t="shared" si="132"/>
        <v>-1255.5559616389735</v>
      </c>
      <c r="BH371">
        <f t="shared" si="117"/>
        <v>126.35839079356619</v>
      </c>
      <c r="BJ371">
        <f t="shared" si="118"/>
        <v>-76.129736637026951</v>
      </c>
      <c r="BN371" s="20">
        <f t="shared" si="119"/>
        <v>45.356811676491589</v>
      </c>
      <c r="BP371">
        <f t="shared" si="120"/>
        <v>-17.134685375826081</v>
      </c>
      <c r="BR371">
        <f t="shared" si="121"/>
        <v>34.800211823213139</v>
      </c>
      <c r="BT371">
        <f t="shared" si="122"/>
        <v>-20.909528963658833</v>
      </c>
      <c r="BV371">
        <f t="shared" si="123"/>
        <v>46.201367293861452</v>
      </c>
      <c r="BX371">
        <f t="shared" si="124"/>
        <v>-38.085522297542042</v>
      </c>
      <c r="CB371">
        <f t="shared" si="125"/>
        <v>103192.73998089928</v>
      </c>
      <c r="CD371">
        <f t="shared" si="126"/>
        <v>65954.001120391971</v>
      </c>
      <c r="CF371">
        <f t="shared" si="127"/>
        <v>92705.764852143839</v>
      </c>
    </row>
    <row r="372" spans="12:84" x14ac:dyDescent="0.25">
      <c r="L372">
        <v>361</v>
      </c>
      <c r="M372">
        <f t="shared" si="139"/>
        <v>2.2682298958918454</v>
      </c>
      <c r="P372">
        <f t="shared" si="133"/>
        <v>16788.736734117021</v>
      </c>
      <c r="Q372">
        <f t="shared" si="134"/>
        <v>11332.465034046701</v>
      </c>
      <c r="V372">
        <f t="shared" si="135"/>
        <v>-22247.884286118086</v>
      </c>
      <c r="W372">
        <f t="shared" si="136"/>
        <v>12682.725523832691</v>
      </c>
      <c r="AB372">
        <f t="shared" si="137"/>
        <v>-8211.2632658829789</v>
      </c>
      <c r="AC372">
        <f t="shared" si="138"/>
        <v>-11167.534965953299</v>
      </c>
      <c r="AW372">
        <v>365</v>
      </c>
      <c r="AX372">
        <f t="shared" si="128"/>
        <v>182.5</v>
      </c>
      <c r="AZ372">
        <f t="shared" si="129"/>
        <v>-76579.128567147025</v>
      </c>
      <c r="BB372">
        <f t="shared" si="130"/>
        <v>43330.873649706395</v>
      </c>
      <c r="BD372">
        <f t="shared" si="131"/>
        <v>-58.655493125739277</v>
      </c>
      <c r="BF372">
        <f t="shared" si="132"/>
        <v>-1293.6208299574869</v>
      </c>
      <c r="BH372">
        <f t="shared" si="117"/>
        <v>127.67787441009054</v>
      </c>
      <c r="BJ372">
        <f t="shared" si="118"/>
        <v>-75.830088994611828</v>
      </c>
      <c r="BN372" s="20">
        <f t="shared" si="119"/>
        <v>45.615641848313615</v>
      </c>
      <c r="BP372">
        <f t="shared" si="120"/>
        <v>-16.92341113205249</v>
      </c>
      <c r="BR372">
        <f t="shared" si="121"/>
        <v>35.281595597488185</v>
      </c>
      <c r="BT372">
        <f t="shared" si="122"/>
        <v>-20.78445594340149</v>
      </c>
      <c r="BV372">
        <f t="shared" si="123"/>
        <v>46.780636964288739</v>
      </c>
      <c r="BX372">
        <f t="shared" si="124"/>
        <v>-38.122221919157859</v>
      </c>
      <c r="CB372">
        <f t="shared" si="125"/>
        <v>103011.55071782357</v>
      </c>
      <c r="CD372">
        <f t="shared" si="126"/>
        <v>65666.924152654232</v>
      </c>
      <c r="CF372">
        <f t="shared" si="127"/>
        <v>92336.679966144409</v>
      </c>
    </row>
    <row r="373" spans="12:84" x14ac:dyDescent="0.25">
      <c r="L373">
        <v>362</v>
      </c>
      <c r="M373">
        <f t="shared" si="139"/>
        <v>2.2745130811990251</v>
      </c>
      <c r="P373">
        <f t="shared" si="133"/>
        <v>16764.720192152723</v>
      </c>
      <c r="Q373">
        <f t="shared" si="134"/>
        <v>11312.212555057191</v>
      </c>
      <c r="V373">
        <f t="shared" si="135"/>
        <v>-22264.695865493093</v>
      </c>
      <c r="W373">
        <f t="shared" si="136"/>
        <v>12668.548788540034</v>
      </c>
      <c r="AB373">
        <f t="shared" si="137"/>
        <v>-8235.279807847277</v>
      </c>
      <c r="AC373">
        <f t="shared" si="138"/>
        <v>-11187.787444942809</v>
      </c>
      <c r="AW373">
        <v>366</v>
      </c>
      <c r="AX373">
        <f t="shared" si="128"/>
        <v>183</v>
      </c>
      <c r="AZ373">
        <f t="shared" si="129"/>
        <v>-76592.496579408631</v>
      </c>
      <c r="BB373">
        <f t="shared" si="130"/>
        <v>42674.584473603318</v>
      </c>
      <c r="BD373">
        <f t="shared" si="131"/>
        <v>5.1834440793059926</v>
      </c>
      <c r="BF373">
        <f t="shared" si="132"/>
        <v>-1331.5358744547927</v>
      </c>
      <c r="BH373">
        <f t="shared" si="117"/>
        <v>129.10794361626682</v>
      </c>
      <c r="BJ373">
        <f t="shared" si="118"/>
        <v>-75.573166761134303</v>
      </c>
      <c r="BN373" s="20">
        <f t="shared" si="119"/>
        <v>45.904628449191463</v>
      </c>
      <c r="BP373">
        <f t="shared" si="120"/>
        <v>-16.716373303262067</v>
      </c>
      <c r="BR373">
        <f t="shared" si="121"/>
        <v>35.80351278325449</v>
      </c>
      <c r="BT373">
        <f t="shared" si="122"/>
        <v>-20.67173165344758</v>
      </c>
      <c r="BV373">
        <f t="shared" si="123"/>
        <v>47.399802383820855</v>
      </c>
      <c r="BX373">
        <f t="shared" si="124"/>
        <v>-38.185061804424663</v>
      </c>
      <c r="CB373">
        <f t="shared" si="125"/>
        <v>102797.67404145739</v>
      </c>
      <c r="CD373">
        <f t="shared" si="126"/>
        <v>65347.831942712663</v>
      </c>
      <c r="CF373">
        <f t="shared" si="127"/>
        <v>91933.907023880165</v>
      </c>
    </row>
    <row r="374" spans="12:84" x14ac:dyDescent="0.25">
      <c r="L374">
        <v>363</v>
      </c>
      <c r="M374">
        <f t="shared" si="139"/>
        <v>2.2807962665062047</v>
      </c>
      <c r="P374">
        <f t="shared" si="133"/>
        <v>16740.831373495552</v>
      </c>
      <c r="Q374">
        <f t="shared" si="134"/>
        <v>11291.80957644356</v>
      </c>
      <c r="V374">
        <f t="shared" si="135"/>
        <v>-22281.418038553114</v>
      </c>
      <c r="W374">
        <f t="shared" si="136"/>
        <v>12654.266703510493</v>
      </c>
      <c r="AB374">
        <f t="shared" si="137"/>
        <v>-8259.16862650445</v>
      </c>
      <c r="AC374">
        <f t="shared" si="138"/>
        <v>-11208.19042355644</v>
      </c>
      <c r="AW374">
        <v>367</v>
      </c>
      <c r="AX374">
        <f t="shared" si="128"/>
        <v>183.5</v>
      </c>
      <c r="AZ374">
        <f t="shared" si="129"/>
        <v>-76573.766364416952</v>
      </c>
      <c r="BB374">
        <f t="shared" si="130"/>
        <v>41999.369890530776</v>
      </c>
      <c r="BD374">
        <f t="shared" si="131"/>
        <v>69.737415887439397</v>
      </c>
      <c r="BF374">
        <f t="shared" si="132"/>
        <v>-1369.32245783536</v>
      </c>
      <c r="BH374">
        <f t="shared" si="117"/>
        <v>130.65422034339218</v>
      </c>
      <c r="BJ374">
        <f t="shared" si="118"/>
        <v>-75.358341117337147</v>
      </c>
      <c r="BN374" s="20">
        <f t="shared" si="119"/>
        <v>46.22464051581062</v>
      </c>
      <c r="BP374">
        <f t="shared" si="120"/>
        <v>-16.512983093091297</v>
      </c>
      <c r="BR374">
        <f t="shared" si="121"/>
        <v>36.368429042243314</v>
      </c>
      <c r="BT374">
        <f t="shared" si="122"/>
        <v>-20.570785507967113</v>
      </c>
      <c r="BV374">
        <f t="shared" si="123"/>
        <v>48.061150785338249</v>
      </c>
      <c r="BX374">
        <f t="shared" si="124"/>
        <v>-38.274572516278745</v>
      </c>
      <c r="CB374">
        <f t="shared" si="125"/>
        <v>102550.95744386131</v>
      </c>
      <c r="CD374">
        <f t="shared" si="126"/>
        <v>64996.543862321188</v>
      </c>
      <c r="CF374">
        <f t="shared" si="127"/>
        <v>91497.170445351425</v>
      </c>
    </row>
    <row r="375" spans="12:84" x14ac:dyDescent="0.25">
      <c r="L375">
        <v>364</v>
      </c>
      <c r="M375">
        <f t="shared" si="139"/>
        <v>2.2870794518133843</v>
      </c>
      <c r="P375">
        <f t="shared" si="133"/>
        <v>16717.071221235161</v>
      </c>
      <c r="Q375">
        <f t="shared" si="134"/>
        <v>11271.256903680471</v>
      </c>
      <c r="V375">
        <f t="shared" si="135"/>
        <v>-22298.050145135385</v>
      </c>
      <c r="W375">
        <f t="shared" si="136"/>
        <v>12639.879832576329</v>
      </c>
      <c r="AB375">
        <f t="shared" si="137"/>
        <v>-8282.9287787648391</v>
      </c>
      <c r="AC375">
        <f t="shared" si="138"/>
        <v>-11228.743096319529</v>
      </c>
      <c r="AW375">
        <v>368</v>
      </c>
      <c r="AX375">
        <f t="shared" si="128"/>
        <v>184</v>
      </c>
      <c r="AZ375">
        <f t="shared" si="129"/>
        <v>-76522.565878930312</v>
      </c>
      <c r="BB375">
        <f t="shared" si="130"/>
        <v>41305.288868973432</v>
      </c>
      <c r="BD375">
        <f t="shared" si="131"/>
        <v>135.06452605913549</v>
      </c>
      <c r="BF375">
        <f t="shared" si="132"/>
        <v>-1407.0016283940286</v>
      </c>
      <c r="BH375">
        <f t="shared" si="117"/>
        <v>132.32296330541345</v>
      </c>
      <c r="BJ375">
        <f t="shared" si="118"/>
        <v>-75.185082444255187</v>
      </c>
      <c r="BN375" s="20">
        <f t="shared" si="119"/>
        <v>46.576667897793904</v>
      </c>
      <c r="BP375">
        <f t="shared" si="120"/>
        <v>-16.312638381517235</v>
      </c>
      <c r="BR375">
        <f t="shared" si="121"/>
        <v>36.979093978075667</v>
      </c>
      <c r="BT375">
        <f t="shared" si="122"/>
        <v>-20.481045067490541</v>
      </c>
      <c r="BV375">
        <f t="shared" si="123"/>
        <v>48.767201429543888</v>
      </c>
      <c r="BX375">
        <f t="shared" si="124"/>
        <v>-38.391398995247421</v>
      </c>
      <c r="CB375">
        <f t="shared" si="125"/>
        <v>102271.22410222329</v>
      </c>
      <c r="CD375">
        <f t="shared" si="126"/>
        <v>64612.859128101496</v>
      </c>
      <c r="CF375">
        <f t="shared" si="127"/>
        <v>91026.166482635483</v>
      </c>
    </row>
    <row r="376" spans="12:84" x14ac:dyDescent="0.25">
      <c r="L376">
        <v>365</v>
      </c>
      <c r="M376">
        <f t="shared" si="139"/>
        <v>2.293362637120564</v>
      </c>
      <c r="P376">
        <f t="shared" si="133"/>
        <v>16693.440673381687</v>
      </c>
      <c r="Q376">
        <f t="shared" si="134"/>
        <v>11250.555348152247</v>
      </c>
      <c r="V376">
        <f t="shared" si="135"/>
        <v>-22314.59152863282</v>
      </c>
      <c r="W376">
        <f t="shared" si="136"/>
        <v>12625.388743706575</v>
      </c>
      <c r="AB376">
        <f t="shared" si="137"/>
        <v>-8306.559326618315</v>
      </c>
      <c r="AC376">
        <f t="shared" si="138"/>
        <v>-11249.444651847753</v>
      </c>
      <c r="AW376">
        <v>369</v>
      </c>
      <c r="AX376">
        <f t="shared" si="128"/>
        <v>184.5</v>
      </c>
      <c r="AZ376">
        <f t="shared" si="129"/>
        <v>-76438.493245487567</v>
      </c>
      <c r="BB376">
        <f t="shared" si="130"/>
        <v>40592.389919470879</v>
      </c>
      <c r="BD376">
        <f t="shared" si="131"/>
        <v>201.22600771184221</v>
      </c>
      <c r="BF376">
        <f t="shared" si="132"/>
        <v>-1444.5941696161563</v>
      </c>
      <c r="BH376">
        <f t="shared" si="117"/>
        <v>134.12113508991811</v>
      </c>
      <c r="BJ376">
        <f t="shared" si="118"/>
        <v>-75.052952522770852</v>
      </c>
      <c r="BN376" s="20">
        <f t="shared" si="119"/>
        <v>46.96182939025303</v>
      </c>
      <c r="BP376">
        <f t="shared" si="120"/>
        <v>-16.114718482359088</v>
      </c>
      <c r="BR376">
        <f t="shared" si="121"/>
        <v>37.638574293437358</v>
      </c>
      <c r="BT376">
        <f t="shared" si="122"/>
        <v>-20.401925611114205</v>
      </c>
      <c r="BV376">
        <f t="shared" si="123"/>
        <v>49.520731406227718</v>
      </c>
      <c r="BX376">
        <f t="shared" si="124"/>
        <v>-38.536308429297556</v>
      </c>
      <c r="CB376">
        <f t="shared" si="125"/>
        <v>101958.27210208228</v>
      </c>
      <c r="CD376">
        <f t="shared" si="126"/>
        <v>64196.556300208882</v>
      </c>
      <c r="CF376">
        <f t="shared" si="127"/>
        <v>90520.561941163731</v>
      </c>
    </row>
    <row r="377" spans="12:84" x14ac:dyDescent="0.25">
      <c r="L377">
        <v>366</v>
      </c>
      <c r="M377">
        <f t="shared" si="139"/>
        <v>2.2996458224277436</v>
      </c>
      <c r="P377">
        <f t="shared" si="133"/>
        <v>16669.940662828685</v>
      </c>
      <c r="Q377">
        <f t="shared" si="134"/>
        <v>11229.705727120861</v>
      </c>
      <c r="V377">
        <f t="shared" si="135"/>
        <v>-22331.041536019919</v>
      </c>
      <c r="W377">
        <f t="shared" si="136"/>
        <v>12610.794008984602</v>
      </c>
      <c r="AB377">
        <f t="shared" si="137"/>
        <v>-8330.0593371713148</v>
      </c>
      <c r="AC377">
        <f t="shared" si="138"/>
        <v>-11270.294272879139</v>
      </c>
      <c r="AW377">
        <v>370</v>
      </c>
      <c r="AX377">
        <f t="shared" si="128"/>
        <v>185</v>
      </c>
      <c r="AZ377">
        <f t="shared" si="129"/>
        <v>-76321.11509974541</v>
      </c>
      <c r="BB377">
        <f t="shared" si="130"/>
        <v>39860.711215597454</v>
      </c>
      <c r="BD377">
        <f t="shared" si="131"/>
        <v>268.28657525680126</v>
      </c>
      <c r="BF377">
        <f t="shared" si="132"/>
        <v>-1482.1206458775416</v>
      </c>
      <c r="BH377">
        <f t="shared" si="117"/>
        <v>136.0564793916551</v>
      </c>
      <c r="BJ377">
        <f t="shared" si="118"/>
        <v>-74.96159629071802</v>
      </c>
      <c r="BN377" s="20">
        <f t="shared" si="119"/>
        <v>47.381382173432584</v>
      </c>
      <c r="BP377">
        <f t="shared" si="120"/>
        <v>-15.918578433425568</v>
      </c>
      <c r="BR377">
        <f t="shared" si="121"/>
        <v>38.350292067338891</v>
      </c>
      <c r="BT377">
        <f t="shared" si="122"/>
        <v>-20.332818241054341</v>
      </c>
      <c r="BV377">
        <f t="shared" si="123"/>
        <v>50.324805150883648</v>
      </c>
      <c r="BX377">
        <f t="shared" si="124"/>
        <v>-38.710199616238114</v>
      </c>
      <c r="CB377">
        <f t="shared" si="125"/>
        <v>101611.87354063352</v>
      </c>
      <c r="CD377">
        <f t="shared" si="126"/>
        <v>63747.39273397837</v>
      </c>
      <c r="CF377">
        <f t="shared" si="127"/>
        <v>89979.992743677823</v>
      </c>
    </row>
    <row r="378" spans="12:84" x14ac:dyDescent="0.25">
      <c r="L378">
        <v>367</v>
      </c>
      <c r="M378">
        <f t="shared" si="139"/>
        <v>2.3059290077349233</v>
      </c>
      <c r="P378">
        <f t="shared" si="133"/>
        <v>16646.572117316344</v>
      </c>
      <c r="Q378">
        <f t="shared" si="134"/>
        <v>11208.708863693646</v>
      </c>
      <c r="V378">
        <f t="shared" si="135"/>
        <v>-22347.399517878559</v>
      </c>
      <c r="W378">
        <f t="shared" si="136"/>
        <v>12596.096204585552</v>
      </c>
      <c r="AB378">
        <f t="shared" si="137"/>
        <v>-8353.4278826836562</v>
      </c>
      <c r="AC378">
        <f t="shared" si="138"/>
        <v>-11291.291136306354</v>
      </c>
      <c r="AW378">
        <v>371</v>
      </c>
      <c r="AX378">
        <f t="shared" si="128"/>
        <v>185.5</v>
      </c>
      <c r="AZ378">
        <f t="shared" si="129"/>
        <v>-76169.96475219306</v>
      </c>
      <c r="BB378">
        <f t="shared" si="130"/>
        <v>39110.280693122346</v>
      </c>
      <c r="BD378">
        <f t="shared" si="131"/>
        <v>336.31481495262881</v>
      </c>
      <c r="BF378">
        <f t="shared" si="132"/>
        <v>-1519.6014440229005</v>
      </c>
      <c r="BH378">
        <f t="shared" si="117"/>
        <v>138.13761003580726</v>
      </c>
      <c r="BJ378">
        <f t="shared" si="118"/>
        <v>-74.910732830471801</v>
      </c>
      <c r="BN378" s="20">
        <f t="shared" si="119"/>
        <v>47.836732713999154</v>
      </c>
      <c r="BP378">
        <f t="shared" si="120"/>
        <v>-15.723542713442651</v>
      </c>
      <c r="BR378">
        <f t="shared" si="121"/>
        <v>39.118069028413075</v>
      </c>
      <c r="BT378">
        <f t="shared" si="122"/>
        <v>-20.273076093493192</v>
      </c>
      <c r="BV378">
        <f t="shared" si="123"/>
        <v>51.182808293395027</v>
      </c>
      <c r="BX378">
        <f t="shared" si="124"/>
        <v>-38.914114023535952</v>
      </c>
      <c r="CB378">
        <f t="shared" si="125"/>
        <v>101231.77349990486</v>
      </c>
      <c r="CD378">
        <f t="shared" si="126"/>
        <v>63265.103985490947</v>
      </c>
      <c r="CF378">
        <f t="shared" si="127"/>
        <v>89404.062321109843</v>
      </c>
    </row>
    <row r="379" spans="12:84" x14ac:dyDescent="0.25">
      <c r="L379">
        <v>368</v>
      </c>
      <c r="M379">
        <f t="shared" si="139"/>
        <v>2.3122121930421029</v>
      </c>
      <c r="P379">
        <f t="shared" si="133"/>
        <v>16623.335959394823</v>
      </c>
      <c r="Q379">
        <f t="shared" si="134"/>
        <v>11187.565586790819</v>
      </c>
      <c r="V379">
        <f t="shared" si="135"/>
        <v>-22363.664828423625</v>
      </c>
      <c r="W379">
        <f t="shared" si="136"/>
        <v>12581.295910753573</v>
      </c>
      <c r="AB379">
        <f t="shared" si="137"/>
        <v>-8376.6640406051774</v>
      </c>
      <c r="AC379">
        <f t="shared" si="138"/>
        <v>-11312.434413209181</v>
      </c>
      <c r="AW379">
        <v>372</v>
      </c>
      <c r="AX379">
        <f t="shared" si="128"/>
        <v>186</v>
      </c>
      <c r="AZ379">
        <f t="shared" si="129"/>
        <v>-75984.540143462262</v>
      </c>
      <c r="BB379">
        <f t="shared" si="130"/>
        <v>38341.116129507085</v>
      </c>
      <c r="BD379">
        <f t="shared" si="131"/>
        <v>405.38361997053244</v>
      </c>
      <c r="BF379">
        <f t="shared" si="132"/>
        <v>-1557.0568104381364</v>
      </c>
      <c r="BH379">
        <f t="shared" si="117"/>
        <v>140.37411376224551</v>
      </c>
      <c r="BJ379">
        <f t="shared" si="118"/>
        <v>-74.900145186710802</v>
      </c>
      <c r="BN379" s="20">
        <f t="shared" si="119"/>
        <v>48.329449311840037</v>
      </c>
      <c r="BP379">
        <f t="shared" si="120"/>
        <v>-15.528898262926239</v>
      </c>
      <c r="BR379">
        <f t="shared" si="121"/>
        <v>39.946177874743846</v>
      </c>
      <c r="BT379">
        <f t="shared" si="122"/>
        <v>-20.221998129786694</v>
      </c>
      <c r="BV379">
        <f t="shared" si="123"/>
        <v>52.098486575661632</v>
      </c>
      <c r="BX379">
        <f t="shared" si="124"/>
        <v>-39.14924879399787</v>
      </c>
      <c r="CB379">
        <f t="shared" si="125"/>
        <v>100817.68887782372</v>
      </c>
      <c r="CD379">
        <f t="shared" si="126"/>
        <v>62749.403172788378</v>
      </c>
      <c r="CF379">
        <f t="shared" si="127"/>
        <v>88792.339812172795</v>
      </c>
    </row>
    <row r="380" spans="12:84" x14ac:dyDescent="0.25">
      <c r="L380">
        <v>369</v>
      </c>
      <c r="M380">
        <f t="shared" si="139"/>
        <v>2.3184953783492825</v>
      </c>
      <c r="P380">
        <f t="shared" si="133"/>
        <v>16600.233106387848</v>
      </c>
      <c r="Q380">
        <f t="shared" si="134"/>
        <v>11166.276731112748</v>
      </c>
      <c r="V380">
        <f t="shared" si="135"/>
        <v>-22379.836825528506</v>
      </c>
      <c r="W380">
        <f t="shared" si="136"/>
        <v>12566.393711778925</v>
      </c>
      <c r="AB380">
        <f t="shared" si="137"/>
        <v>-8399.7668936121518</v>
      </c>
      <c r="AC380">
        <f t="shared" si="138"/>
        <v>-11333.723268887252</v>
      </c>
      <c r="AW380">
        <v>373</v>
      </c>
      <c r="AX380">
        <f t="shared" si="128"/>
        <v>186.5</v>
      </c>
      <c r="AZ380">
        <f t="shared" si="129"/>
        <v>-75764.301569256713</v>
      </c>
      <c r="BB380">
        <f t="shared" si="130"/>
        <v>37553.225206139679</v>
      </c>
      <c r="BD380">
        <f t="shared" si="131"/>
        <v>475.57067685165521</v>
      </c>
      <c r="BF380">
        <f t="shared" si="132"/>
        <v>-1594.5068830314917</v>
      </c>
      <c r="BH380">
        <f t="shared" si="117"/>
        <v>142.77666913651908</v>
      </c>
      <c r="BJ380">
        <f t="shared" si="118"/>
        <v>-74.929668516539834</v>
      </c>
      <c r="BN380" s="20">
        <f t="shared" si="119"/>
        <v>48.861276510705636</v>
      </c>
      <c r="BP380">
        <f t="shared" si="120"/>
        <v>-15.333886665207123</v>
      </c>
      <c r="BR380">
        <f t="shared" si="121"/>
        <v>40.839401903848326</v>
      </c>
      <c r="BT380">
        <f t="shared" si="122"/>
        <v>-20.178809852809948</v>
      </c>
      <c r="BV380">
        <f t="shared" si="123"/>
        <v>53.075990721965105</v>
      </c>
      <c r="BX380">
        <f t="shared" si="124"/>
        <v>-39.416971998522762</v>
      </c>
      <c r="CB380">
        <f t="shared" si="125"/>
        <v>100369.30706315798</v>
      </c>
      <c r="CD380">
        <f t="shared" si="126"/>
        <v>62199.980295553614</v>
      </c>
      <c r="CF380">
        <f t="shared" si="127"/>
        <v>88144.358050597555</v>
      </c>
    </row>
    <row r="381" spans="12:84" x14ac:dyDescent="0.25">
      <c r="L381">
        <v>370</v>
      </c>
      <c r="M381">
        <f t="shared" si="139"/>
        <v>2.3247785636564622</v>
      </c>
      <c r="P381">
        <f t="shared" si="133"/>
        <v>16577.264470356502</v>
      </c>
      <c r="Q381">
        <f t="shared" si="134"/>
        <v>11144.843137107006</v>
      </c>
      <c r="V381">
        <f t="shared" si="135"/>
        <v>-22395.91487075045</v>
      </c>
      <c r="W381">
        <f t="shared" si="136"/>
        <v>12551.390195974904</v>
      </c>
      <c r="AB381">
        <f t="shared" si="137"/>
        <v>-8422.735529643498</v>
      </c>
      <c r="AC381">
        <f t="shared" si="138"/>
        <v>-11355.156862892994</v>
      </c>
      <c r="AW381">
        <v>374</v>
      </c>
      <c r="AX381">
        <f t="shared" si="128"/>
        <v>187</v>
      </c>
      <c r="AZ381">
        <f t="shared" si="129"/>
        <v>-75508.669147188819</v>
      </c>
      <c r="BB381">
        <f t="shared" si="130"/>
        <v>36746.605556059367</v>
      </c>
      <c r="BD381">
        <f t="shared" si="131"/>
        <v>546.95901141991476</v>
      </c>
      <c r="BF381">
        <f t="shared" si="132"/>
        <v>-1631.9717172897617</v>
      </c>
      <c r="BH381">
        <f t="shared" si="117"/>
        <v>145.35718443576607</v>
      </c>
      <c r="BJ381">
        <f t="shared" si="118"/>
        <v>-74.99917594494535</v>
      </c>
      <c r="BN381" s="20">
        <f t="shared" si="119"/>
        <v>49.434151631855293</v>
      </c>
      <c r="BP381">
        <f t="shared" si="120"/>
        <v>-15.137695317973709</v>
      </c>
      <c r="BR381">
        <f t="shared" si="121"/>
        <v>41.803104477625595</v>
      </c>
      <c r="BT381">
        <f t="shared" si="122"/>
        <v>-20.142640125581458</v>
      </c>
      <c r="BV381">
        <f t="shared" si="123"/>
        <v>54.119928326285191</v>
      </c>
      <c r="BX381">
        <f t="shared" si="124"/>
        <v>-39.718840501390183</v>
      </c>
      <c r="CB381">
        <f t="shared" si="125"/>
        <v>99886.284437949245</v>
      </c>
      <c r="CD381">
        <f t="shared" si="126"/>
        <v>61616.501517560195</v>
      </c>
      <c r="CF381">
        <f t="shared" si="127"/>
        <v>87459.611315636037</v>
      </c>
    </row>
    <row r="382" spans="12:84" x14ac:dyDescent="0.25">
      <c r="L382">
        <v>371</v>
      </c>
      <c r="M382">
        <f t="shared" si="139"/>
        <v>2.3310617489636418</v>
      </c>
      <c r="P382">
        <f t="shared" si="133"/>
        <v>16554.430958063203</v>
      </c>
      <c r="Q382">
        <f t="shared" si="134"/>
        <v>11123.26565093518</v>
      </c>
      <c r="V382">
        <f t="shared" si="135"/>
        <v>-22411.898329355758</v>
      </c>
      <c r="W382">
        <f t="shared" si="136"/>
        <v>12536.285955654626</v>
      </c>
      <c r="AB382">
        <f t="shared" si="137"/>
        <v>-8445.5690419367966</v>
      </c>
      <c r="AC382">
        <f t="shared" si="138"/>
        <v>-11376.73434906482</v>
      </c>
      <c r="AW382">
        <v>375</v>
      </c>
      <c r="AX382">
        <f t="shared" si="128"/>
        <v>187.5</v>
      </c>
      <c r="AZ382">
        <f t="shared" si="129"/>
        <v>-75217.019993424386</v>
      </c>
      <c r="BB382">
        <f t="shared" si="130"/>
        <v>35921.244800421366</v>
      </c>
      <c r="BD382">
        <f t="shared" si="131"/>
        <v>619.63760363779784</v>
      </c>
      <c r="BF382">
        <f t="shared" si="132"/>
        <v>-1669.4713052622344</v>
      </c>
      <c r="BH382">
        <f t="shared" si="117"/>
        <v>148.12895795003465</v>
      </c>
      <c r="BJ382">
        <f t="shared" si="118"/>
        <v>-75.108561327460649</v>
      </c>
      <c r="BN382" s="20">
        <f t="shared" si="119"/>
        <v>50.050223738499653</v>
      </c>
      <c r="BP382">
        <f t="shared" si="120"/>
        <v>-14.939447393816728</v>
      </c>
      <c r="BR382">
        <f t="shared" si="121"/>
        <v>42.843310168198464</v>
      </c>
      <c r="BT382">
        <f t="shared" si="122"/>
        <v>-20.112493051282126</v>
      </c>
      <c r="BV382">
        <f t="shared" si="123"/>
        <v>55.235424043336529</v>
      </c>
      <c r="BX382">
        <f t="shared" si="124"/>
        <v>-40.056620882361806</v>
      </c>
      <c r="CB382">
        <f t="shared" si="125"/>
        <v>99368.244688298975</v>
      </c>
      <c r="CD382">
        <f t="shared" si="126"/>
        <v>60998.608418205738</v>
      </c>
      <c r="CF382">
        <f t="shared" si="127"/>
        <v>86737.552817573771</v>
      </c>
    </row>
    <row r="383" spans="12:84" x14ac:dyDescent="0.25">
      <c r="L383">
        <v>372</v>
      </c>
      <c r="M383">
        <f t="shared" si="139"/>
        <v>2.3373449342708215</v>
      </c>
      <c r="P383">
        <f t="shared" si="133"/>
        <v>16531.73347093592</v>
      </c>
      <c r="Q383">
        <f t="shared" si="134"/>
        <v>11101.545124439481</v>
      </c>
      <c r="V383">
        <f t="shared" si="135"/>
        <v>-22427.786570344855</v>
      </c>
      <c r="W383">
        <f t="shared" si="136"/>
        <v>12521.081587107637</v>
      </c>
      <c r="AB383">
        <f t="shared" si="137"/>
        <v>-8468.2665290640798</v>
      </c>
      <c r="AC383">
        <f t="shared" si="138"/>
        <v>-11398.454875560519</v>
      </c>
      <c r="AW383">
        <v>376</v>
      </c>
      <c r="AX383">
        <f t="shared" si="128"/>
        <v>188</v>
      </c>
      <c r="AZ383">
        <f t="shared" si="129"/>
        <v>-74888.685071861735</v>
      </c>
      <c r="BB383">
        <f t="shared" si="130"/>
        <v>35077.120577624315</v>
      </c>
      <c r="BD383">
        <f t="shared" si="131"/>
        <v>693.70208261281516</v>
      </c>
      <c r="BF383">
        <f t="shared" si="132"/>
        <v>-1707.0255859259648</v>
      </c>
      <c r="BH383">
        <f t="shared" si="117"/>
        <v>151.10686486973279</v>
      </c>
      <c r="BJ383">
        <f t="shared" si="118"/>
        <v>-75.257717895175546</v>
      </c>
      <c r="BN383" s="20">
        <f t="shared" si="119"/>
        <v>50.711875397063288</v>
      </c>
      <c r="BP383">
        <f t="shared" si="120"/>
        <v>-14.738190348861535</v>
      </c>
      <c r="BR383">
        <f t="shared" si="121"/>
        <v>43.966799826691158</v>
      </c>
      <c r="BT383">
        <f t="shared" si="122"/>
        <v>-20.08721358915237</v>
      </c>
      <c r="BV383">
        <f t="shared" si="123"/>
        <v>56.428189645978343</v>
      </c>
      <c r="BX383">
        <f t="shared" si="124"/>
        <v>-40.432313957161639</v>
      </c>
      <c r="CB383">
        <f t="shared" si="125"/>
        <v>98814.77690112844</v>
      </c>
      <c r="CD383">
        <f t="shared" si="126"/>
        <v>60345.917222151213</v>
      </c>
      <c r="CF383">
        <f t="shared" si="127"/>
        <v>85977.591885443006</v>
      </c>
    </row>
    <row r="384" spans="12:84" x14ac:dyDescent="0.25">
      <c r="L384">
        <v>373</v>
      </c>
      <c r="M384">
        <f t="shared" si="139"/>
        <v>2.3436281195780011</v>
      </c>
      <c r="P384">
        <f t="shared" si="133"/>
        <v>16509.172905032581</v>
      </c>
      <c r="Q384">
        <f t="shared" si="134"/>
        <v>11079.682415109102</v>
      </c>
      <c r="V384">
        <f t="shared" si="135"/>
        <v>-22443.578966477195</v>
      </c>
      <c r="W384">
        <f t="shared" si="136"/>
        <v>12505.777690576371</v>
      </c>
      <c r="AB384">
        <f t="shared" si="137"/>
        <v>-8490.8270949674188</v>
      </c>
      <c r="AC384">
        <f t="shared" si="138"/>
        <v>-11420.317584890898</v>
      </c>
      <c r="AW384">
        <v>377</v>
      </c>
      <c r="AX384">
        <f t="shared" si="128"/>
        <v>188.5</v>
      </c>
      <c r="AZ384">
        <f t="shared" si="129"/>
        <v>-74522.945672446614</v>
      </c>
      <c r="BB384">
        <f t="shared" si="130"/>
        <v>34214.20056992444</v>
      </c>
      <c r="BD384">
        <f t="shared" si="131"/>
        <v>769.25551504768157</v>
      </c>
      <c r="BF384">
        <f t="shared" si="132"/>
        <v>-1744.6544448735526</v>
      </c>
      <c r="BH384">
        <f t="shared" si="117"/>
        <v>154.30757583408462</v>
      </c>
      <c r="BJ384">
        <f t="shared" si="118"/>
        <v>-75.446511456057124</v>
      </c>
      <c r="BN384" s="20">
        <f t="shared" si="119"/>
        <v>51.421747671478485</v>
      </c>
      <c r="BP384">
        <f t="shared" si="120"/>
        <v>-14.532882689799113</v>
      </c>
      <c r="BR384">
        <f t="shared" si="121"/>
        <v>45.181222307273131</v>
      </c>
      <c r="BT384">
        <f t="shared" si="122"/>
        <v>-20.065445207512457</v>
      </c>
      <c r="BV384">
        <f t="shared" si="123"/>
        <v>57.704605855332986</v>
      </c>
      <c r="BX384">
        <f t="shared" si="124"/>
        <v>-40.848183558745546</v>
      </c>
      <c r="CB384">
        <f t="shared" si="125"/>
        <v>98225.433420710571</v>
      </c>
      <c r="CD384">
        <f t="shared" si="126"/>
        <v>59658.018019718809</v>
      </c>
      <c r="CF384">
        <f t="shared" si="127"/>
        <v>85179.090818760887</v>
      </c>
    </row>
    <row r="385" spans="12:84" x14ac:dyDescent="0.25">
      <c r="L385">
        <v>374</v>
      </c>
      <c r="M385">
        <f t="shared" si="139"/>
        <v>2.3499113048851807</v>
      </c>
      <c r="P385">
        <f t="shared" si="133"/>
        <v>16486.750151005697</v>
      </c>
      <c r="Q385">
        <f t="shared" si="134"/>
        <v>11057.678386046373</v>
      </c>
      <c r="V385">
        <f t="shared" si="135"/>
        <v>-22459.27489429601</v>
      </c>
      <c r="W385">
        <f t="shared" si="136"/>
        <v>12490.374870232461</v>
      </c>
      <c r="AB385">
        <f t="shared" si="137"/>
        <v>-8513.2498489943009</v>
      </c>
      <c r="AC385">
        <f t="shared" si="138"/>
        <v>-11442.321613953627</v>
      </c>
      <c r="AW385">
        <v>378</v>
      </c>
      <c r="AX385">
        <f t="shared" si="128"/>
        <v>189</v>
      </c>
      <c r="AZ385">
        <f t="shared" si="129"/>
        <v>-74119.029467943517</v>
      </c>
      <c r="BB385">
        <f t="shared" si="130"/>
        <v>33332.442533555659</v>
      </c>
      <c r="BD385">
        <f t="shared" si="131"/>
        <v>846.40930296472391</v>
      </c>
      <c r="BF385">
        <f t="shared" si="132"/>
        <v>-1782.3777006015812</v>
      </c>
      <c r="BH385">
        <f t="shared" si="117"/>
        <v>157.74981333948458</v>
      </c>
      <c r="BJ385">
        <f t="shared" si="118"/>
        <v>-75.674746425074375</v>
      </c>
      <c r="BN385" s="20">
        <f t="shared" si="119"/>
        <v>52.182768871622343</v>
      </c>
      <c r="BP385">
        <f t="shared" si="120"/>
        <v>-14.322378649018331</v>
      </c>
      <c r="BR385">
        <f t="shared" si="121"/>
        <v>46.495226187487354</v>
      </c>
      <c r="BT385">
        <f t="shared" si="122"/>
        <v>-20.045577383216223</v>
      </c>
      <c r="BV385">
        <f t="shared" si="123"/>
        <v>59.071818280374892</v>
      </c>
      <c r="BX385">
        <f t="shared" si="124"/>
        <v>-41.306790392839829</v>
      </c>
      <c r="CB385">
        <f t="shared" si="125"/>
        <v>97599.727434235567</v>
      </c>
      <c r="CD385">
        <f t="shared" si="126"/>
        <v>58934.473995564054</v>
      </c>
      <c r="CF385">
        <f t="shared" si="127"/>
        <v>84341.36135876576</v>
      </c>
    </row>
    <row r="386" spans="12:84" x14ac:dyDescent="0.25">
      <c r="L386">
        <v>375</v>
      </c>
      <c r="M386">
        <f t="shared" si="139"/>
        <v>2.3561944901923604</v>
      </c>
      <c r="P386">
        <f t="shared" si="133"/>
        <v>16464.466094067207</v>
      </c>
      <c r="Q386">
        <f t="shared" si="134"/>
        <v>11035.533905932683</v>
      </c>
      <c r="V386">
        <f t="shared" si="135"/>
        <v>-22474.873734152956</v>
      </c>
      <c r="W386">
        <f t="shared" si="136"/>
        <v>12474.873734152878</v>
      </c>
      <c r="AB386">
        <f t="shared" si="137"/>
        <v>-8535.5339059327925</v>
      </c>
      <c r="AC386">
        <f t="shared" si="138"/>
        <v>-11464.466094067317</v>
      </c>
      <c r="AW386">
        <v>379</v>
      </c>
      <c r="AX386">
        <f t="shared" si="128"/>
        <v>189.5</v>
      </c>
      <c r="AZ386">
        <f t="shared" si="129"/>
        <v>-73676.106089793728</v>
      </c>
      <c r="BB386">
        <f t="shared" si="130"/>
        <v>32431.794339951735</v>
      </c>
      <c r="BD386">
        <f t="shared" si="131"/>
        <v>925.28420963446615</v>
      </c>
      <c r="BF386">
        <f t="shared" si="132"/>
        <v>-1820.2150738141183</v>
      </c>
      <c r="BH386">
        <f t="shared" si="117"/>
        <v>161.45465361004645</v>
      </c>
      <c r="BJ386">
        <f t="shared" si="118"/>
        <v>-75.942122418214382</v>
      </c>
      <c r="BN386" s="20">
        <f t="shared" si="119"/>
        <v>52.998187680383516</v>
      </c>
      <c r="BP386">
        <f t="shared" si="120"/>
        <v>-14.105410342002346</v>
      </c>
      <c r="BR386">
        <f t="shared" si="121"/>
        <v>47.918615583924009</v>
      </c>
      <c r="BT386">
        <f t="shared" si="122"/>
        <v>-20.025680104954134</v>
      </c>
      <c r="BV386">
        <f t="shared" si="123"/>
        <v>60.537850345738924</v>
      </c>
      <c r="BX386">
        <f t="shared" si="124"/>
        <v>-41.811031971257904</v>
      </c>
      <c r="CB386">
        <f t="shared" si="125"/>
        <v>96937.13025026035</v>
      </c>
      <c r="CD386">
        <f t="shared" si="126"/>
        <v>58174.820689647873</v>
      </c>
      <c r="CF386">
        <f t="shared" si="127"/>
        <v>83463.660727073802</v>
      </c>
    </row>
    <row r="387" spans="12:84" x14ac:dyDescent="0.25">
      <c r="L387">
        <v>376</v>
      </c>
      <c r="M387">
        <f t="shared" si="139"/>
        <v>2.36247767549954</v>
      </c>
      <c r="P387">
        <f t="shared" si="133"/>
        <v>16442.321613953518</v>
      </c>
      <c r="Q387">
        <f t="shared" si="134"/>
        <v>11013.24984899419</v>
      </c>
      <c r="V387">
        <f t="shared" si="135"/>
        <v>-22490.374870232536</v>
      </c>
      <c r="W387">
        <f t="shared" si="136"/>
        <v>12459.274894295933</v>
      </c>
      <c r="AB387">
        <f t="shared" si="137"/>
        <v>-8557.678386046482</v>
      </c>
      <c r="AC387">
        <f t="shared" si="138"/>
        <v>-11486.75015100581</v>
      </c>
      <c r="AW387">
        <v>380</v>
      </c>
      <c r="AX387">
        <f t="shared" si="128"/>
        <v>190</v>
      </c>
      <c r="AZ387">
        <f t="shared" si="129"/>
        <v>-73193.282153275242</v>
      </c>
      <c r="BB387">
        <f t="shared" si="130"/>
        <v>31512.1940377424</v>
      </c>
      <c r="BD387">
        <f t="shared" si="131"/>
        <v>1006.0115364394894</v>
      </c>
      <c r="BF387">
        <f t="shared" si="132"/>
        <v>-1858.1861350232255</v>
      </c>
      <c r="BH387">
        <f t="shared" si="117"/>
        <v>165.44588329205263</v>
      </c>
      <c r="BJ387">
        <f t="shared" si="118"/>
        <v>-76.2481784225441</v>
      </c>
      <c r="BN387" s="20">
        <f t="shared" si="119"/>
        <v>53.87161141021366</v>
      </c>
      <c r="BP387">
        <f t="shared" si="120"/>
        <v>-13.880566886574085</v>
      </c>
      <c r="BR387">
        <f t="shared" si="121"/>
        <v>49.462535108883344</v>
      </c>
      <c r="BT387">
        <f t="shared" si="122"/>
        <v>-20.003421668828693</v>
      </c>
      <c r="BV387">
        <f t="shared" si="123"/>
        <v>62.111736772955631</v>
      </c>
      <c r="BX387">
        <f t="shared" si="124"/>
        <v>-42.364189867141327</v>
      </c>
      <c r="CB387">
        <f t="shared" si="125"/>
        <v>96237.068227404772</v>
      </c>
      <c r="CD387">
        <f t="shared" si="126"/>
        <v>57378.565323258386</v>
      </c>
      <c r="CF387">
        <f t="shared" si="127"/>
        <v>82545.187170669175</v>
      </c>
    </row>
    <row r="388" spans="12:84" x14ac:dyDescent="0.25">
      <c r="L388">
        <v>377</v>
      </c>
      <c r="M388">
        <f t="shared" si="139"/>
        <v>2.3687608608067197</v>
      </c>
      <c r="P388">
        <f t="shared" si="133"/>
        <v>16420.317584890789</v>
      </c>
      <c r="Q388">
        <f t="shared" si="134"/>
        <v>10990.827094967308</v>
      </c>
      <c r="V388">
        <f t="shared" si="135"/>
        <v>-22505.777690576448</v>
      </c>
      <c r="W388">
        <f t="shared" si="136"/>
        <v>12443.578966477115</v>
      </c>
      <c r="AB388">
        <f t="shared" si="137"/>
        <v>-8579.6824151092096</v>
      </c>
      <c r="AC388">
        <f t="shared" si="138"/>
        <v>-11509.172905032692</v>
      </c>
      <c r="AW388">
        <v>381</v>
      </c>
      <c r="AX388">
        <f t="shared" si="128"/>
        <v>190.5</v>
      </c>
      <c r="AZ388">
        <f t="shared" si="129"/>
        <v>-72669.59564964399</v>
      </c>
      <c r="BB388">
        <f t="shared" si="130"/>
        <v>30573.569947927968</v>
      </c>
      <c r="BD388">
        <f t="shared" si="131"/>
        <v>1088.7344780855158</v>
      </c>
      <c r="BF388">
        <f t="shared" si="132"/>
        <v>-1896.3102242344976</v>
      </c>
      <c r="BH388">
        <f t="shared" si="117"/>
        <v>169.75042254903633</v>
      </c>
      <c r="BJ388">
        <f t="shared" si="118"/>
        <v>-76.592220576726817</v>
      </c>
      <c r="BN388" s="20">
        <f t="shared" si="119"/>
        <v>54.807050295418016</v>
      </c>
      <c r="BP388">
        <f t="shared" si="120"/>
        <v>-13.6462698446639</v>
      </c>
      <c r="BR388">
        <f t="shared" si="121"/>
        <v>51.139690198611248</v>
      </c>
      <c r="BT388">
        <f t="shared" si="122"/>
        <v>-19.975964889026191</v>
      </c>
      <c r="BV388">
        <f t="shared" si="123"/>
        <v>63.803682055007073</v>
      </c>
      <c r="BX388">
        <f t="shared" si="124"/>
        <v>-42.969985843036717</v>
      </c>
      <c r="CB388">
        <f t="shared" si="125"/>
        <v>95498.919302840499</v>
      </c>
      <c r="CD388">
        <f t="shared" si="126"/>
        <v>56545.186234544155</v>
      </c>
      <c r="CF388">
        <f t="shared" si="127"/>
        <v>81585.074941345738</v>
      </c>
    </row>
    <row r="389" spans="12:84" x14ac:dyDescent="0.25">
      <c r="L389">
        <v>378</v>
      </c>
      <c r="M389">
        <f t="shared" si="139"/>
        <v>2.3750440461138993</v>
      </c>
      <c r="P389">
        <f t="shared" si="133"/>
        <v>16398.454875560412</v>
      </c>
      <c r="Q389">
        <f t="shared" si="134"/>
        <v>10968.266529063969</v>
      </c>
      <c r="V389">
        <f t="shared" si="135"/>
        <v>-22521.081587107714</v>
      </c>
      <c r="W389">
        <f t="shared" si="136"/>
        <v>12427.786570344779</v>
      </c>
      <c r="AB389">
        <f t="shared" si="137"/>
        <v>-8601.5451244395881</v>
      </c>
      <c r="AC389">
        <f t="shared" si="138"/>
        <v>-11531.733470936031</v>
      </c>
      <c r="AW389">
        <v>382</v>
      </c>
      <c r="AX389">
        <f t="shared" si="128"/>
        <v>191</v>
      </c>
      <c r="AZ389">
        <f t="shared" si="129"/>
        <v>-72104.009607782602</v>
      </c>
      <c r="BB389">
        <f t="shared" si="130"/>
        <v>29615.84080823863</v>
      </c>
      <c r="BD389">
        <f t="shared" si="131"/>
        <v>1173.6096893600338</v>
      </c>
      <c r="BF389">
        <f t="shared" si="132"/>
        <v>-1934.6063345228611</v>
      </c>
      <c r="BH389">
        <f t="shared" si="117"/>
        <v>174.39882893395074</v>
      </c>
      <c r="BJ389">
        <f t="shared" si="118"/>
        <v>-76.973228266157605</v>
      </c>
      <c r="BN389" s="20">
        <f t="shared" si="119"/>
        <v>55.808968918475365</v>
      </c>
      <c r="BP389">
        <f t="shared" si="120"/>
        <v>-13.400744197011008</v>
      </c>
      <c r="BR389">
        <f t="shared" si="121"/>
        <v>52.964610529781453</v>
      </c>
      <c r="BT389">
        <f t="shared" si="122"/>
        <v>-19.939835272626862</v>
      </c>
      <c r="BV389">
        <f t="shared" si="123"/>
        <v>65.625249485693928</v>
      </c>
      <c r="BX389">
        <f t="shared" si="124"/>
        <v>-43.632648796519739</v>
      </c>
      <c r="CB389">
        <f t="shared" si="125"/>
        <v>94722.009060650016</v>
      </c>
      <c r="CD389">
        <f t="shared" si="126"/>
        <v>55674.132483785157</v>
      </c>
      <c r="CF389">
        <f t="shared" si="127"/>
        <v>80582.388624732834</v>
      </c>
    </row>
    <row r="390" spans="12:84" x14ac:dyDescent="0.25">
      <c r="L390">
        <v>379</v>
      </c>
      <c r="M390">
        <f t="shared" si="139"/>
        <v>2.3813272314210789</v>
      </c>
      <c r="P390">
        <f t="shared" si="133"/>
        <v>16376.734349064713</v>
      </c>
      <c r="Q390">
        <f t="shared" si="134"/>
        <v>10945.569041936686</v>
      </c>
      <c r="V390">
        <f t="shared" si="135"/>
        <v>-22536.285955654701</v>
      </c>
      <c r="W390">
        <f t="shared" si="136"/>
        <v>12411.898329355679</v>
      </c>
      <c r="AB390">
        <f t="shared" si="137"/>
        <v>-8623.2656509352873</v>
      </c>
      <c r="AC390">
        <f t="shared" si="138"/>
        <v>-11554.430958063314</v>
      </c>
      <c r="AW390">
        <v>383</v>
      </c>
      <c r="AX390">
        <f t="shared" si="128"/>
        <v>191.5</v>
      </c>
      <c r="AZ390">
        <f t="shared" si="129"/>
        <v>-71495.404909485835</v>
      </c>
      <c r="BB390">
        <f t="shared" si="130"/>
        <v>28638.915987443928</v>
      </c>
      <c r="BD390">
        <f t="shared" si="131"/>
        <v>1260.8091038270093</v>
      </c>
      <c r="BF390">
        <f t="shared" si="132"/>
        <v>-1973.0929486559398</v>
      </c>
      <c r="BH390">
        <f t="shared" si="117"/>
        <v>179.42589996752787</v>
      </c>
      <c r="BJ390">
        <f t="shared" si="118"/>
        <v>-77.389731415749793</v>
      </c>
      <c r="BN390" s="20">
        <f t="shared" si="119"/>
        <v>56.882346107331266</v>
      </c>
      <c r="BP390">
        <f t="shared" si="120"/>
        <v>-13.141983870349767</v>
      </c>
      <c r="BR390">
        <f t="shared" si="121"/>
        <v>54.953966106980253</v>
      </c>
      <c r="BT390">
        <f t="shared" si="122"/>
        <v>-19.890752568025064</v>
      </c>
      <c r="BV390">
        <f t="shared" si="123"/>
        <v>67.58958775321635</v>
      </c>
      <c r="BX390">
        <f t="shared" si="124"/>
        <v>-44.35699497737496</v>
      </c>
      <c r="CB390">
        <f t="shared" si="125"/>
        <v>93905.606268608783</v>
      </c>
      <c r="CD390">
        <f t="shared" si="126"/>
        <v>54764.823709922508</v>
      </c>
      <c r="CF390">
        <f t="shared" si="127"/>
        <v>79536.116718354198</v>
      </c>
    </row>
    <row r="391" spans="12:84" x14ac:dyDescent="0.25">
      <c r="L391">
        <v>380</v>
      </c>
      <c r="M391">
        <f t="shared" si="139"/>
        <v>2.3876104167282586</v>
      </c>
      <c r="P391">
        <f t="shared" si="133"/>
        <v>16355.156862892889</v>
      </c>
      <c r="Q391">
        <f t="shared" si="134"/>
        <v>10922.735529643385</v>
      </c>
      <c r="V391">
        <f t="shared" si="135"/>
        <v>-22551.390195974978</v>
      </c>
      <c r="W391">
        <f t="shared" si="136"/>
        <v>12395.91487075037</v>
      </c>
      <c r="AB391">
        <f t="shared" si="137"/>
        <v>-8644.843137107111</v>
      </c>
      <c r="AC391">
        <f t="shared" si="138"/>
        <v>-11577.264470356615</v>
      </c>
      <c r="AW391">
        <v>384</v>
      </c>
      <c r="AX391">
        <f t="shared" si="128"/>
        <v>192</v>
      </c>
      <c r="AZ391">
        <f t="shared" si="129"/>
        <v>-70842.57212007638</v>
      </c>
      <c r="BB391">
        <f t="shared" si="130"/>
        <v>27642.69579668899</v>
      </c>
      <c r="BD391">
        <f t="shared" si="131"/>
        <v>1350.5220538107733</v>
      </c>
      <c r="BF391">
        <f t="shared" si="132"/>
        <v>-2011.7878143638147</v>
      </c>
      <c r="BH391">
        <f t="shared" si="117"/>
        <v>184.87139687609434</v>
      </c>
      <c r="BJ391">
        <f t="shared" si="118"/>
        <v>-77.839649353518752</v>
      </c>
      <c r="BN391" s="20">
        <f t="shared" si="119"/>
        <v>58.032744938864539</v>
      </c>
      <c r="BP391">
        <f t="shared" si="120"/>
        <v>-12.867710592840577</v>
      </c>
      <c r="BR391">
        <f t="shared" si="121"/>
        <v>57.126947947582238</v>
      </c>
      <c r="BT391">
        <f t="shared" si="122"/>
        <v>-19.823414166619187</v>
      </c>
      <c r="BV391">
        <f t="shared" si="123"/>
        <v>69.71170398964756</v>
      </c>
      <c r="BX391">
        <f t="shared" si="124"/>
        <v>-45.148524594058983</v>
      </c>
      <c r="CB391">
        <f t="shared" si="125"/>
        <v>93048.917797840244</v>
      </c>
      <c r="CD391">
        <f t="shared" si="126"/>
        <v>53816.650348750576</v>
      </c>
      <c r="CF391">
        <f t="shared" si="127"/>
        <v>78445.164339151059</v>
      </c>
    </row>
    <row r="392" spans="12:84" x14ac:dyDescent="0.25">
      <c r="L392">
        <v>381</v>
      </c>
      <c r="M392">
        <f t="shared" si="139"/>
        <v>2.3938936020354382</v>
      </c>
      <c r="P392">
        <f t="shared" si="133"/>
        <v>16333.723268887146</v>
      </c>
      <c r="Q392">
        <f t="shared" si="134"/>
        <v>10899.766893612039</v>
      </c>
      <c r="V392">
        <f t="shared" si="135"/>
        <v>-22566.393711778997</v>
      </c>
      <c r="W392">
        <f t="shared" si="136"/>
        <v>12379.836825528426</v>
      </c>
      <c r="AB392">
        <f t="shared" si="137"/>
        <v>-8666.2767311128537</v>
      </c>
      <c r="AC392">
        <f t="shared" si="138"/>
        <v>-11600.233106387961</v>
      </c>
      <c r="AW392">
        <v>385</v>
      </c>
      <c r="AX392">
        <f t="shared" si="128"/>
        <v>192.5</v>
      </c>
      <c r="AZ392">
        <f t="shared" si="129"/>
        <v>-70144.202168561489</v>
      </c>
      <c r="BB392">
        <f t="shared" si="130"/>
        <v>26627.071933337891</v>
      </c>
      <c r="BD392">
        <f t="shared" si="131"/>
        <v>1442.9577522488205</v>
      </c>
      <c r="BF392">
        <f t="shared" si="132"/>
        <v>-2050.7076390405741</v>
      </c>
      <c r="BH392">
        <f t="shared" ref="BH392:BH455" si="140">BN392+BR392+BV392</f>
        <v>190.78091772200818</v>
      </c>
      <c r="BJ392">
        <f t="shared" ref="BJ392:BJ455" si="141">SUM(BP392,BT392,BX392)</f>
        <v>-78.320078134817862</v>
      </c>
      <c r="BN392" s="20">
        <f t="shared" ref="BN392:BN455" si="142">$F$36*($F$32-AZ392)/(CB392^2+$F$37^2)^(3/2)</f>
        <v>59.266394858695747</v>
      </c>
      <c r="BP392">
        <f t="shared" ref="BP392:BP455" si="143">$F$36*($G$32-BB392)/(CB392^2+($F$37)^2)^(3/2)</f>
        <v>-12.57532454025346</v>
      </c>
      <c r="BR392">
        <f t="shared" ref="BR392:BR455" si="144">$F$47*($F$43-AZ392)/(CD392^2+($F$48)^2)^(3/2)</f>
        <v>59.505728230118045</v>
      </c>
      <c r="BT392">
        <f t="shared" ref="BT392:BT455" si="145">$F$47*($G$43-BB392)/(CD392^2+($F$48)^2)^(3/2)</f>
        <v>-19.731214795319804</v>
      </c>
      <c r="BV392">
        <f t="shared" ref="BV392:BV455" si="146">$F$58*($F$54-AZ392)/(CF392^2+($F$59)^2)^(3/2)</f>
        <v>72.008794633194384</v>
      </c>
      <c r="BX392">
        <f t="shared" ref="BX392:BX455" si="147">$F$58*($G$54-BB392)/(CF392^2+($F$59)^2)^(3/2)</f>
        <v>-46.013538799244607</v>
      </c>
      <c r="CB392">
        <f t="shared" ref="CB392:CB455" si="148">SQRT(($F$32-AZ392)^2+($G$32-BB392)^2)</f>
        <v>92151.082822447439</v>
      </c>
      <c r="CD392">
        <f t="shared" ref="CD392:CD455" si="149">SQRT(($F$43-AZ392)^2+($G$43-BB392)^2)</f>
        <v>52828.974362540481</v>
      </c>
      <c r="CF392">
        <f t="shared" ref="CF392:CF455" si="150">SQRT(($F$54-AZ392)^2+($G$54-BB392)^2)</f>
        <v>77308.344917749331</v>
      </c>
    </row>
    <row r="393" spans="12:84" x14ac:dyDescent="0.25">
      <c r="L393">
        <v>382</v>
      </c>
      <c r="M393">
        <f t="shared" si="139"/>
        <v>2.4001767873426179</v>
      </c>
      <c r="P393">
        <f t="shared" si="133"/>
        <v>16312.434413209077</v>
      </c>
      <c r="Q393">
        <f t="shared" si="134"/>
        <v>10876.664040605065</v>
      </c>
      <c r="V393">
        <f t="shared" si="135"/>
        <v>-22581.295910753644</v>
      </c>
      <c r="W393">
        <f t="shared" si="136"/>
        <v>12363.664828423545</v>
      </c>
      <c r="AB393">
        <f t="shared" si="137"/>
        <v>-8687.5655867909227</v>
      </c>
      <c r="AC393">
        <f t="shared" si="138"/>
        <v>-11623.335959394935</v>
      </c>
      <c r="AW393">
        <v>386</v>
      </c>
      <c r="AX393">
        <f t="shared" ref="AX393:AX456" si="151">$F$17*AW393</f>
        <v>193</v>
      </c>
      <c r="AZ393">
        <f t="shared" ref="AZ393:AZ456" si="152">AZ392+BD392*$F$17+(BH392*0.5)*$F$17^2</f>
        <v>-69398.875677721822</v>
      </c>
      <c r="BB393">
        <f t="shared" ref="BB393:BB456" si="153">BB392+(BF392*$F$17)+(BJ392*0.5)*$F$17^2</f>
        <v>25591.928104050752</v>
      </c>
      <c r="BD393">
        <f t="shared" ref="BD393:BD456" si="154">BD392+BH392*$F$17</f>
        <v>1538.3482111098247</v>
      </c>
      <c r="BF393">
        <f t="shared" ref="BF393:BF456" si="155">BF392+BJ392*$F$17</f>
        <v>-2089.867678107983</v>
      </c>
      <c r="BH393">
        <f t="shared" si="140"/>
        <v>197.20695556300268</v>
      </c>
      <c r="BJ393">
        <f t="shared" si="141"/>
        <v>-78.827008347408835</v>
      </c>
      <c r="BN393" s="20">
        <f t="shared" si="142"/>
        <v>60.590288401849364</v>
      </c>
      <c r="BP393">
        <f t="shared" si="143"/>
        <v>-12.261844830372183</v>
      </c>
      <c r="BR393">
        <f t="shared" si="144"/>
        <v>62.116018447058003</v>
      </c>
      <c r="BT393">
        <f t="shared" si="145"/>
        <v>-19.605881317116737</v>
      </c>
      <c r="BV393">
        <f t="shared" si="146"/>
        <v>74.500648714095306</v>
      </c>
      <c r="BX393">
        <f t="shared" si="147"/>
        <v>-46.959282199919912</v>
      </c>
      <c r="CB393">
        <f t="shared" si="148"/>
        <v>91211.166174777652</v>
      </c>
      <c r="CD393">
        <f t="shared" si="149"/>
        <v>51801.130684811353</v>
      </c>
      <c r="CF393">
        <f t="shared" si="150"/>
        <v>76124.370708460352</v>
      </c>
    </row>
    <row r="394" spans="12:84" x14ac:dyDescent="0.25">
      <c r="L394">
        <v>383</v>
      </c>
      <c r="M394">
        <f t="shared" si="139"/>
        <v>2.4064599726497975</v>
      </c>
      <c r="P394">
        <f t="shared" si="133"/>
        <v>16291.29113630625</v>
      </c>
      <c r="Q394">
        <f t="shared" si="134"/>
        <v>10853.427882683542</v>
      </c>
      <c r="V394">
        <f t="shared" si="135"/>
        <v>-22596.096204585625</v>
      </c>
      <c r="W394">
        <f t="shared" si="136"/>
        <v>12347.399517878479</v>
      </c>
      <c r="AB394">
        <f t="shared" si="137"/>
        <v>-8708.7088636937497</v>
      </c>
      <c r="AC394">
        <f t="shared" si="138"/>
        <v>-11646.572117316458</v>
      </c>
      <c r="AW394">
        <v>387</v>
      </c>
      <c r="AX394">
        <f t="shared" si="151"/>
        <v>193.5</v>
      </c>
      <c r="AZ394">
        <f t="shared" si="152"/>
        <v>-68605.050702721535</v>
      </c>
      <c r="BB394">
        <f t="shared" si="153"/>
        <v>24537.140888953334</v>
      </c>
      <c r="BD394">
        <f t="shared" si="154"/>
        <v>1636.9516888913261</v>
      </c>
      <c r="BF394">
        <f t="shared" si="155"/>
        <v>-2129.2811822816875</v>
      </c>
      <c r="BH394">
        <f t="shared" si="140"/>
        <v>204.21018677497617</v>
      </c>
      <c r="BJ394">
        <f t="shared" si="141"/>
        <v>-79.354948558080451</v>
      </c>
      <c r="BN394" s="20">
        <f t="shared" si="142"/>
        <v>62.012295602739535</v>
      </c>
      <c r="BP394">
        <f t="shared" si="143"/>
        <v>-11.923837395861268</v>
      </c>
      <c r="BR394">
        <f t="shared" si="144"/>
        <v>64.987748666452362</v>
      </c>
      <c r="BT394">
        <f t="shared" si="145"/>
        <v>-19.436993579089275</v>
      </c>
      <c r="BV394">
        <f t="shared" si="146"/>
        <v>77.210142505784262</v>
      </c>
      <c r="BX394">
        <f t="shared" si="147"/>
        <v>-47.994117583129906</v>
      </c>
      <c r="CB394">
        <f t="shared" si="148"/>
        <v>90228.150705319786</v>
      </c>
      <c r="CD394">
        <f t="shared" si="149"/>
        <v>50732.4296583498</v>
      </c>
      <c r="CF394">
        <f t="shared" si="150"/>
        <v>74891.841909307608</v>
      </c>
    </row>
    <row r="395" spans="12:84" x14ac:dyDescent="0.25">
      <c r="L395">
        <v>384</v>
      </c>
      <c r="M395">
        <f t="shared" si="139"/>
        <v>2.4127431579569771</v>
      </c>
      <c r="P395">
        <f t="shared" ref="P395:P458" si="156">COS(M395)*$F$33+$F$32</f>
        <v>16270.294272879037</v>
      </c>
      <c r="Q395">
        <f t="shared" ref="Q395:Q458" si="157">SIN(M395)*$F$33+$G$32</f>
        <v>10830.059337171198</v>
      </c>
      <c r="V395">
        <f t="shared" si="135"/>
        <v>-22610.794008984674</v>
      </c>
      <c r="W395">
        <f t="shared" si="136"/>
        <v>12331.041536019839</v>
      </c>
      <c r="AB395">
        <f t="shared" si="137"/>
        <v>-8729.7057271209633</v>
      </c>
      <c r="AC395">
        <f t="shared" si="138"/>
        <v>-11669.940662828802</v>
      </c>
      <c r="AW395">
        <v>388</v>
      </c>
      <c r="AX395">
        <f t="shared" si="151"/>
        <v>194</v>
      </c>
      <c r="AZ395">
        <f t="shared" si="152"/>
        <v>-67761.048584928998</v>
      </c>
      <c r="BB395">
        <f t="shared" si="153"/>
        <v>23462.580929242729</v>
      </c>
      <c r="BD395">
        <f t="shared" si="154"/>
        <v>1739.0567822788141</v>
      </c>
      <c r="BF395">
        <f t="shared" si="155"/>
        <v>-2168.9586565607278</v>
      </c>
      <c r="BH395">
        <f t="shared" si="140"/>
        <v>211.86104686318555</v>
      </c>
      <c r="BJ395">
        <f t="shared" si="141"/>
        <v>-79.896419823545813</v>
      </c>
      <c r="BN395" s="20">
        <f t="shared" si="142"/>
        <v>63.541299957210889</v>
      </c>
      <c r="BP395">
        <f t="shared" si="143"/>
        <v>-11.55732707471828</v>
      </c>
      <c r="BR395">
        <f t="shared" si="144"/>
        <v>68.155896608566721</v>
      </c>
      <c r="BT395">
        <f t="shared" si="145"/>
        <v>-19.211351113163456</v>
      </c>
      <c r="BV395">
        <f t="shared" si="146"/>
        <v>80.163850297407947</v>
      </c>
      <c r="BX395">
        <f t="shared" si="147"/>
        <v>-49.127741635664073</v>
      </c>
      <c r="CB395">
        <f t="shared" si="148"/>
        <v>89200.928462930766</v>
      </c>
      <c r="CD395">
        <f t="shared" si="149"/>
        <v>49622.160847834493</v>
      </c>
      <c r="CF395">
        <f t="shared" si="150"/>
        <v>73609.23414367497</v>
      </c>
    </row>
    <row r="396" spans="12:84" x14ac:dyDescent="0.25">
      <c r="L396">
        <v>385</v>
      </c>
      <c r="M396">
        <f t="shared" si="139"/>
        <v>2.4190263432641568</v>
      </c>
      <c r="P396">
        <f t="shared" si="156"/>
        <v>16249.444651847649</v>
      </c>
      <c r="Q396">
        <f t="shared" si="157"/>
        <v>10806.559326618199</v>
      </c>
      <c r="V396">
        <f t="shared" ref="V396:V459" si="158">COS(M396)*$F$44+$F$43</f>
        <v>-22625.388743706644</v>
      </c>
      <c r="W396">
        <f t="shared" ref="W396:W459" si="159">SIN(M396)*$F$44+$G$43</f>
        <v>12314.59152863274</v>
      </c>
      <c r="AB396">
        <f t="shared" ref="AB396:AB459" si="160">COS(M396)*$F$55+$F$54</f>
        <v>-8750.5553481523511</v>
      </c>
      <c r="AC396">
        <f t="shared" ref="AC396:AC459" si="161">SIN(M396)*$F$55+$G$54</f>
        <v>-11693.440673381801</v>
      </c>
      <c r="AW396">
        <v>389</v>
      </c>
      <c r="AX396">
        <f t="shared" si="151"/>
        <v>194.5</v>
      </c>
      <c r="AZ396">
        <f t="shared" si="152"/>
        <v>-66865.037562931699</v>
      </c>
      <c r="BB396">
        <f t="shared" si="153"/>
        <v>22368.11454848442</v>
      </c>
      <c r="BD396">
        <f t="shared" si="154"/>
        <v>1844.9873057104069</v>
      </c>
      <c r="BF396">
        <f t="shared" si="155"/>
        <v>-2208.906866472501</v>
      </c>
      <c r="BH396">
        <f t="shared" si="140"/>
        <v>220.2416667065894</v>
      </c>
      <c r="BJ396">
        <f t="shared" si="141"/>
        <v>-80.441272753395253</v>
      </c>
      <c r="BN396" s="20">
        <f t="shared" si="142"/>
        <v>65.187360799119745</v>
      </c>
      <c r="BP396">
        <f t="shared" si="143"/>
        <v>-11.157689844691806</v>
      </c>
      <c r="BR396">
        <f t="shared" si="144"/>
        <v>71.661501984688428</v>
      </c>
      <c r="BT396">
        <f t="shared" si="145"/>
        <v>-18.912129624838084</v>
      </c>
      <c r="BV396">
        <f t="shared" si="146"/>
        <v>83.392803922781241</v>
      </c>
      <c r="BX396">
        <f t="shared" si="147"/>
        <v>-50.371453283865357</v>
      </c>
      <c r="CB396">
        <f t="shared" si="148"/>
        <v>88128.290469272062</v>
      </c>
      <c r="CD396">
        <f t="shared" si="149"/>
        <v>48469.598752820624</v>
      </c>
      <c r="CF396">
        <f t="shared" si="150"/>
        <v>72274.884002477673</v>
      </c>
    </row>
    <row r="397" spans="12:84" x14ac:dyDescent="0.25">
      <c r="L397">
        <v>386</v>
      </c>
      <c r="M397">
        <f t="shared" ref="M397:M460" si="162">M396+$O$5</f>
        <v>2.4253095285713364</v>
      </c>
      <c r="P397">
        <f t="shared" si="156"/>
        <v>16228.743096319427</v>
      </c>
      <c r="Q397">
        <f t="shared" si="157"/>
        <v>10782.928778764723</v>
      </c>
      <c r="V397">
        <f t="shared" si="158"/>
        <v>-22639.8798325764</v>
      </c>
      <c r="W397">
        <f t="shared" si="159"/>
        <v>12298.050145135305</v>
      </c>
      <c r="AB397">
        <f t="shared" si="160"/>
        <v>-8771.2569036805726</v>
      </c>
      <c r="AC397">
        <f t="shared" si="161"/>
        <v>-11717.071221235277</v>
      </c>
      <c r="AW397">
        <v>390</v>
      </c>
      <c r="AX397">
        <f t="shared" si="151"/>
        <v>195</v>
      </c>
      <c r="AZ397">
        <f t="shared" si="152"/>
        <v>-65915.013701738164</v>
      </c>
      <c r="BB397">
        <f t="shared" si="153"/>
        <v>21253.605956153995</v>
      </c>
      <c r="BD397">
        <f t="shared" si="154"/>
        <v>1955.1081390637016</v>
      </c>
      <c r="BF397">
        <f t="shared" si="155"/>
        <v>-2249.1275028491987</v>
      </c>
      <c r="BH397">
        <f t="shared" si="140"/>
        <v>229.44826210039253</v>
      </c>
      <c r="BJ397">
        <f t="shared" si="141"/>
        <v>-80.975758511318986</v>
      </c>
      <c r="BN397" s="20">
        <f t="shared" si="142"/>
        <v>66.961908254656024</v>
      </c>
      <c r="BP397">
        <f t="shared" si="143"/>
        <v>-10.719519913060811</v>
      </c>
      <c r="BR397">
        <f t="shared" si="144"/>
        <v>75.55290938300891</v>
      </c>
      <c r="BT397">
        <f t="shared" si="145"/>
        <v>-18.517748389677717</v>
      </c>
      <c r="BV397">
        <f t="shared" si="146"/>
        <v>86.933444462727621</v>
      </c>
      <c r="BX397">
        <f t="shared" si="147"/>
        <v>-51.738490208580458</v>
      </c>
      <c r="CB397">
        <f t="shared" si="148"/>
        <v>87008.914808581598</v>
      </c>
      <c r="CD397">
        <f t="shared" si="149"/>
        <v>47274.011150389895</v>
      </c>
      <c r="CF397">
        <f t="shared" si="150"/>
        <v>70886.972280575166</v>
      </c>
    </row>
    <row r="398" spans="12:84" x14ac:dyDescent="0.25">
      <c r="L398">
        <v>387</v>
      </c>
      <c r="M398">
        <f t="shared" si="162"/>
        <v>2.4315927138785161</v>
      </c>
      <c r="P398">
        <f t="shared" si="156"/>
        <v>16208.190423556338</v>
      </c>
      <c r="Q398">
        <f t="shared" si="157"/>
        <v>10759.168626504334</v>
      </c>
      <c r="V398">
        <f t="shared" si="158"/>
        <v>-22654.266703510562</v>
      </c>
      <c r="W398">
        <f t="shared" si="159"/>
        <v>12281.418038553033</v>
      </c>
      <c r="AB398">
        <f t="shared" si="160"/>
        <v>-8791.8095764436621</v>
      </c>
      <c r="AC398">
        <f t="shared" si="161"/>
        <v>-11740.831373495666</v>
      </c>
      <c r="AW398">
        <v>391</v>
      </c>
      <c r="AX398">
        <f t="shared" si="151"/>
        <v>195.5</v>
      </c>
      <c r="AZ398">
        <f t="shared" si="152"/>
        <v>-64908.778599443765</v>
      </c>
      <c r="BB398">
        <f t="shared" si="153"/>
        <v>20118.92023491548</v>
      </c>
      <c r="BD398">
        <f t="shared" si="154"/>
        <v>2069.8322701138977</v>
      </c>
      <c r="BF398">
        <f t="shared" si="155"/>
        <v>-2289.6153821048583</v>
      </c>
      <c r="BH398">
        <f t="shared" si="140"/>
        <v>239.59409462724142</v>
      </c>
      <c r="BJ398">
        <f t="shared" si="141"/>
        <v>-81.48125591174086</v>
      </c>
      <c r="BN398" s="20">
        <f t="shared" si="142"/>
        <v>68.877978643441651</v>
      </c>
      <c r="BP398">
        <f t="shared" si="143"/>
        <v>-10.236464742286332</v>
      </c>
      <c r="BR398">
        <f t="shared" si="144"/>
        <v>79.887291537486419</v>
      </c>
      <c r="BT398">
        <f t="shared" si="145"/>
        <v>-18.000336594798323</v>
      </c>
      <c r="BV398">
        <f t="shared" si="146"/>
        <v>90.828824446313334</v>
      </c>
      <c r="BX398">
        <f t="shared" si="147"/>
        <v>-53.244454574656203</v>
      </c>
      <c r="CB398">
        <f t="shared" si="148"/>
        <v>85841.352687061721</v>
      </c>
      <c r="CD398">
        <f t="shared" si="149"/>
        <v>46034.671086198068</v>
      </c>
      <c r="CF398">
        <f t="shared" si="150"/>
        <v>69443.504460413911</v>
      </c>
    </row>
    <row r="399" spans="12:84" x14ac:dyDescent="0.25">
      <c r="L399">
        <v>388</v>
      </c>
      <c r="M399">
        <f t="shared" si="162"/>
        <v>2.4378758991856957</v>
      </c>
      <c r="P399">
        <f t="shared" si="156"/>
        <v>16187.787444942709</v>
      </c>
      <c r="Q399">
        <f t="shared" si="157"/>
        <v>10735.279807847161</v>
      </c>
      <c r="V399">
        <f t="shared" si="158"/>
        <v>-22668.548788540105</v>
      </c>
      <c r="W399">
        <f t="shared" si="159"/>
        <v>12264.695865493013</v>
      </c>
      <c r="AB399">
        <f t="shared" si="160"/>
        <v>-8812.212555057291</v>
      </c>
      <c r="AC399">
        <f t="shared" si="161"/>
        <v>-11764.720192152839</v>
      </c>
      <c r="AW399">
        <v>392</v>
      </c>
      <c r="AX399">
        <f t="shared" si="151"/>
        <v>196</v>
      </c>
      <c r="AZ399">
        <f t="shared" si="152"/>
        <v>-63843.913202558411</v>
      </c>
      <c r="BB399">
        <f t="shared" si="153"/>
        <v>18963.927386874086</v>
      </c>
      <c r="BD399">
        <f t="shared" si="154"/>
        <v>2189.6293174275183</v>
      </c>
      <c r="BF399">
        <f t="shared" si="155"/>
        <v>-2330.3560100607287</v>
      </c>
      <c r="BH399">
        <f t="shared" si="140"/>
        <v>250.8131531320754</v>
      </c>
      <c r="BJ399">
        <f t="shared" si="141"/>
        <v>-81.932513939610374</v>
      </c>
      <c r="BN399" s="20">
        <f t="shared" si="142"/>
        <v>70.950500451352696</v>
      </c>
      <c r="BP399">
        <f t="shared" si="143"/>
        <v>-9.7010188834061388</v>
      </c>
      <c r="BR399">
        <f t="shared" si="144"/>
        <v>84.732512960469876</v>
      </c>
      <c r="BT399">
        <f t="shared" si="145"/>
        <v>-17.323638288762471</v>
      </c>
      <c r="BV399">
        <f t="shared" si="146"/>
        <v>95.130139720252814</v>
      </c>
      <c r="BX399">
        <f t="shared" si="147"/>
        <v>-54.907856767441764</v>
      </c>
      <c r="CB399">
        <f t="shared" si="148"/>
        <v>84624.012031158563</v>
      </c>
      <c r="CD399">
        <f t="shared" si="149"/>
        <v>44750.873948009408</v>
      </c>
      <c r="CF399">
        <f t="shared" si="150"/>
        <v>67942.287895912697</v>
      </c>
    </row>
    <row r="400" spans="12:84" x14ac:dyDescent="0.25">
      <c r="L400">
        <v>389</v>
      </c>
      <c r="M400">
        <f t="shared" si="162"/>
        <v>2.4441590844928753</v>
      </c>
      <c r="P400">
        <f t="shared" si="156"/>
        <v>16167.534965953198</v>
      </c>
      <c r="Q400">
        <f t="shared" si="157"/>
        <v>10711.263265882859</v>
      </c>
      <c r="V400">
        <f t="shared" si="158"/>
        <v>-22682.72552383276</v>
      </c>
      <c r="W400">
        <f t="shared" si="159"/>
        <v>12247.884286118002</v>
      </c>
      <c r="AB400">
        <f t="shared" si="160"/>
        <v>-8832.4650340468015</v>
      </c>
      <c r="AC400">
        <f t="shared" si="161"/>
        <v>-11788.736734117141</v>
      </c>
      <c r="AW400">
        <v>393</v>
      </c>
      <c r="AX400">
        <f t="shared" si="151"/>
        <v>196.5</v>
      </c>
      <c r="AZ400">
        <f t="shared" si="152"/>
        <v>-62717.746899703139</v>
      </c>
      <c r="BB400">
        <f t="shared" si="153"/>
        <v>17788.507817601268</v>
      </c>
      <c r="BD400">
        <f t="shared" si="154"/>
        <v>2315.0358939935559</v>
      </c>
      <c r="BF400">
        <f t="shared" si="155"/>
        <v>-2371.322267030534</v>
      </c>
      <c r="BH400">
        <f t="shared" si="140"/>
        <v>263.26474267157511</v>
      </c>
      <c r="BJ400">
        <f t="shared" si="141"/>
        <v>-82.295205815961523</v>
      </c>
      <c r="BN400" s="20">
        <f t="shared" si="142"/>
        <v>73.1966440098238</v>
      </c>
      <c r="BP400">
        <f t="shared" si="143"/>
        <v>-9.104264469756151</v>
      </c>
      <c r="BR400">
        <f t="shared" si="144"/>
        <v>90.16939901961976</v>
      </c>
      <c r="BT400">
        <f t="shared" si="145"/>
        <v>-16.440124307623471</v>
      </c>
      <c r="BV400">
        <f t="shared" si="146"/>
        <v>99.898699642131518</v>
      </c>
      <c r="BX400">
        <f t="shared" si="147"/>
        <v>-56.7508170385819</v>
      </c>
      <c r="CB400">
        <f t="shared" si="148"/>
        <v>83355.138085640472</v>
      </c>
      <c r="CD400">
        <f t="shared" si="149"/>
        <v>43421.961657805528</v>
      </c>
      <c r="CF400">
        <f t="shared" si="150"/>
        <v>66380.90502609234</v>
      </c>
    </row>
    <row r="401" spans="12:84" x14ac:dyDescent="0.25">
      <c r="L401">
        <v>390</v>
      </c>
      <c r="M401">
        <f t="shared" si="162"/>
        <v>2.450442269800055</v>
      </c>
      <c r="P401">
        <f t="shared" si="156"/>
        <v>16147.433786121002</v>
      </c>
      <c r="Q401">
        <f t="shared" si="157"/>
        <v>10687.119948743386</v>
      </c>
      <c r="V401">
        <f t="shared" si="158"/>
        <v>-22696.7963497153</v>
      </c>
      <c r="W401">
        <f t="shared" si="159"/>
        <v>12230.983964120371</v>
      </c>
      <c r="AB401">
        <f t="shared" si="160"/>
        <v>-8852.5662138789976</v>
      </c>
      <c r="AC401">
        <f t="shared" si="161"/>
        <v>-11812.880051256614</v>
      </c>
      <c r="AW401">
        <v>394</v>
      </c>
      <c r="AX401">
        <f t="shared" si="151"/>
        <v>197</v>
      </c>
      <c r="AZ401">
        <f t="shared" si="152"/>
        <v>-61527.320859872416</v>
      </c>
      <c r="BB401">
        <f t="shared" si="153"/>
        <v>16592.559783359007</v>
      </c>
      <c r="BD401">
        <f t="shared" si="154"/>
        <v>2446.6682653293433</v>
      </c>
      <c r="BF401">
        <f t="shared" si="155"/>
        <v>-2412.4698699385149</v>
      </c>
      <c r="BH401">
        <f t="shared" si="140"/>
        <v>277.13921045075546</v>
      </c>
      <c r="BJ401">
        <f t="shared" si="141"/>
        <v>-82.522496894267448</v>
      </c>
      <c r="BN401" s="20">
        <f t="shared" si="142"/>
        <v>75.636252069129029</v>
      </c>
      <c r="BP401">
        <f t="shared" si="143"/>
        <v>-8.4355420547894511</v>
      </c>
      <c r="BR401">
        <f t="shared" si="144"/>
        <v>96.294471891656826</v>
      </c>
      <c r="BT401">
        <f t="shared" si="145"/>
        <v>-15.286973722549016</v>
      </c>
      <c r="BV401">
        <f t="shared" si="146"/>
        <v>105.20848648996962</v>
      </c>
      <c r="BX401">
        <f t="shared" si="147"/>
        <v>-58.799981116928983</v>
      </c>
      <c r="CB401">
        <f t="shared" si="148"/>
        <v>82032.790334125209</v>
      </c>
      <c r="CD401">
        <f t="shared" si="149"/>
        <v>42047.356900237588</v>
      </c>
      <c r="CF401">
        <f t="shared" si="150"/>
        <v>64756.681796244629</v>
      </c>
    </row>
    <row r="402" spans="12:84" x14ac:dyDescent="0.25">
      <c r="L402">
        <v>391</v>
      </c>
      <c r="M402">
        <f t="shared" si="162"/>
        <v>2.4567254551072346</v>
      </c>
      <c r="P402">
        <f t="shared" si="156"/>
        <v>16127.48469900628</v>
      </c>
      <c r="Q402">
        <f t="shared" si="157"/>
        <v>10662.85080956556</v>
      </c>
      <c r="V402">
        <f t="shared" si="158"/>
        <v>-22710.760710695606</v>
      </c>
      <c r="W402">
        <f t="shared" si="159"/>
        <v>12213.995566695892</v>
      </c>
      <c r="AB402">
        <f t="shared" si="160"/>
        <v>-8872.5153009937203</v>
      </c>
      <c r="AC402">
        <f t="shared" si="161"/>
        <v>-11837.14919043444</v>
      </c>
      <c r="AW402">
        <v>395</v>
      </c>
      <c r="AX402">
        <f t="shared" si="151"/>
        <v>197.5</v>
      </c>
      <c r="AZ402">
        <f t="shared" si="152"/>
        <v>-60269.344325901402</v>
      </c>
      <c r="BB402">
        <f t="shared" si="153"/>
        <v>15376.009536277967</v>
      </c>
      <c r="BD402">
        <f t="shared" si="154"/>
        <v>2585.2378705547212</v>
      </c>
      <c r="BF402">
        <f t="shared" si="155"/>
        <v>-2453.7311183856486</v>
      </c>
      <c r="BH402">
        <f t="shared" si="140"/>
        <v>292.66508087836746</v>
      </c>
      <c r="BJ402">
        <f t="shared" si="141"/>
        <v>-82.550188776707955</v>
      </c>
      <c r="BN402" s="20">
        <f t="shared" si="142"/>
        <v>78.292373962618029</v>
      </c>
      <c r="BP402">
        <f t="shared" si="143"/>
        <v>-7.6820296605866867</v>
      </c>
      <c r="BR402">
        <f t="shared" si="144"/>
        <v>103.22319062457041</v>
      </c>
      <c r="BT402">
        <f t="shared" si="145"/>
        <v>-13.780429417267579</v>
      </c>
      <c r="BV402">
        <f t="shared" si="146"/>
        <v>111.14951629117903</v>
      </c>
      <c r="BX402">
        <f t="shared" si="147"/>
        <v>-61.087729698853686</v>
      </c>
      <c r="CB402">
        <f t="shared" si="148"/>
        <v>80654.814888670226</v>
      </c>
      <c r="CD402">
        <f t="shared" si="149"/>
        <v>40626.611610767628</v>
      </c>
      <c r="CF402">
        <f t="shared" si="150"/>
        <v>63066.650280184534</v>
      </c>
    </row>
    <row r="403" spans="12:84" x14ac:dyDescent="0.25">
      <c r="L403">
        <v>392</v>
      </c>
      <c r="M403">
        <f t="shared" si="162"/>
        <v>2.4630086404144143</v>
      </c>
      <c r="P403">
        <f t="shared" si="156"/>
        <v>16107.688492164831</v>
      </c>
      <c r="Q403">
        <f t="shared" si="157"/>
        <v>10638.456806453438</v>
      </c>
      <c r="V403">
        <f t="shared" si="158"/>
        <v>-22724.618055484618</v>
      </c>
      <c r="W403">
        <f t="shared" si="159"/>
        <v>12196.919764517406</v>
      </c>
      <c r="AB403">
        <f t="shared" si="160"/>
        <v>-8892.3115078351693</v>
      </c>
      <c r="AC403">
        <f t="shared" si="161"/>
        <v>-11861.543193546562</v>
      </c>
      <c r="AW403">
        <v>396</v>
      </c>
      <c r="AX403">
        <f t="shared" si="151"/>
        <v>198</v>
      </c>
      <c r="AZ403">
        <f t="shared" si="152"/>
        <v>-58940.142255514249</v>
      </c>
      <c r="BB403">
        <f t="shared" si="153"/>
        <v>14138.825203488055</v>
      </c>
      <c r="BD403">
        <f t="shared" si="154"/>
        <v>2731.5704109939052</v>
      </c>
      <c r="BF403">
        <f t="shared" si="155"/>
        <v>-2495.0062127740025</v>
      </c>
      <c r="BH403">
        <f t="shared" si="140"/>
        <v>310.11790105509834</v>
      </c>
      <c r="BJ403">
        <f t="shared" si="141"/>
        <v>-82.289793269493615</v>
      </c>
      <c r="BN403" s="20">
        <f t="shared" si="142"/>
        <v>81.191933622986582</v>
      </c>
      <c r="BP403">
        <f t="shared" si="143"/>
        <v>-6.82819969479546</v>
      </c>
      <c r="BR403">
        <f t="shared" si="144"/>
        <v>111.09366389350333</v>
      </c>
      <c r="BT403">
        <f t="shared" si="145"/>
        <v>-11.807796002726503</v>
      </c>
      <c r="BV403">
        <f t="shared" si="146"/>
        <v>117.83230353860841</v>
      </c>
      <c r="BX403">
        <f t="shared" si="147"/>
        <v>-63.653797571971651</v>
      </c>
      <c r="CB403">
        <f t="shared" si="148"/>
        <v>79218.811272344232</v>
      </c>
      <c r="CD403">
        <f t="shared" si="149"/>
        <v>39159.475902324259</v>
      </c>
      <c r="CF403">
        <f t="shared" si="150"/>
        <v>61307.504277898515</v>
      </c>
    </row>
    <row r="404" spans="12:84" x14ac:dyDescent="0.25">
      <c r="L404">
        <v>393</v>
      </c>
      <c r="M404">
        <f t="shared" si="162"/>
        <v>2.4692918257215939</v>
      </c>
      <c r="P404">
        <f t="shared" si="156"/>
        <v>16088.045947117009</v>
      </c>
      <c r="Q404">
        <f t="shared" si="157"/>
        <v>10613.938902440499</v>
      </c>
      <c r="V404">
        <f t="shared" si="158"/>
        <v>-22738.367837018093</v>
      </c>
      <c r="W404">
        <f t="shared" si="159"/>
        <v>12179.757231708349</v>
      </c>
      <c r="AB404">
        <f t="shared" si="160"/>
        <v>-8911.9540528829912</v>
      </c>
      <c r="AC404">
        <f t="shared" si="161"/>
        <v>-11886.061097559501</v>
      </c>
      <c r="AW404">
        <v>397</v>
      </c>
      <c r="AX404">
        <f t="shared" si="151"/>
        <v>198.5</v>
      </c>
      <c r="AZ404">
        <f t="shared" si="152"/>
        <v>-57535.592312385408</v>
      </c>
      <c r="BB404">
        <f t="shared" si="153"/>
        <v>12881.035872942368</v>
      </c>
      <c r="BD404">
        <f t="shared" si="154"/>
        <v>2886.6293615214545</v>
      </c>
      <c r="BF404">
        <f t="shared" si="155"/>
        <v>-2536.1511094087491</v>
      </c>
      <c r="BH404">
        <f t="shared" si="140"/>
        <v>329.83108251989051</v>
      </c>
      <c r="BJ404">
        <f t="shared" si="141"/>
        <v>-81.618579605129696</v>
      </c>
      <c r="BN404" s="20">
        <f t="shared" si="142"/>
        <v>84.366572200755215</v>
      </c>
      <c r="BP404">
        <f t="shared" si="143"/>
        <v>-5.8551116713005138</v>
      </c>
      <c r="BR404">
        <f t="shared" si="144"/>
        <v>120.07064315419358</v>
      </c>
      <c r="BT404">
        <f t="shared" si="145"/>
        <v>-9.2159949771286751</v>
      </c>
      <c r="BV404">
        <f t="shared" si="146"/>
        <v>125.39386716494174</v>
      </c>
      <c r="BX404">
        <f t="shared" si="147"/>
        <v>-66.547472956700503</v>
      </c>
      <c r="CB404">
        <f t="shared" si="148"/>
        <v>77722.092240870174</v>
      </c>
      <c r="CD404">
        <f t="shared" si="149"/>
        <v>37645.996572581091</v>
      </c>
      <c r="CF404">
        <f t="shared" si="150"/>
        <v>59475.54641162591</v>
      </c>
    </row>
    <row r="405" spans="12:84" x14ac:dyDescent="0.25">
      <c r="L405">
        <v>394</v>
      </c>
      <c r="M405">
        <f t="shared" si="162"/>
        <v>2.4755750110287735</v>
      </c>
      <c r="P405">
        <f t="shared" si="156"/>
        <v>16068.557839316854</v>
      </c>
      <c r="Q405">
        <f t="shared" si="157"/>
        <v>10589.298065451607</v>
      </c>
      <c r="V405">
        <f t="shared" si="158"/>
        <v>-22752.009512478202</v>
      </c>
      <c r="W405">
        <f t="shared" si="159"/>
        <v>12162.508645816124</v>
      </c>
      <c r="AB405">
        <f t="shared" si="160"/>
        <v>-8931.4421606831456</v>
      </c>
      <c r="AC405">
        <f t="shared" si="161"/>
        <v>-11910.701934548393</v>
      </c>
      <c r="AW405">
        <v>398</v>
      </c>
      <c r="AX405">
        <f t="shared" si="151"/>
        <v>199</v>
      </c>
      <c r="AZ405">
        <f t="shared" si="152"/>
        <v>-56051.048746309694</v>
      </c>
      <c r="BB405">
        <f t="shared" si="153"/>
        <v>11602.757995787353</v>
      </c>
      <c r="BD405">
        <f t="shared" si="154"/>
        <v>3051.5449027813997</v>
      </c>
      <c r="BF405">
        <f t="shared" si="155"/>
        <v>-2576.9603992113139</v>
      </c>
      <c r="BH405">
        <f t="shared" si="140"/>
        <v>352.20889651896954</v>
      </c>
      <c r="BJ405">
        <f t="shared" si="141"/>
        <v>-80.365183840046953</v>
      </c>
      <c r="BN405" s="20">
        <f t="shared" si="142"/>
        <v>87.853720724788275</v>
      </c>
      <c r="BP405">
        <f t="shared" si="143"/>
        <v>-4.7394817179399418</v>
      </c>
      <c r="BR405">
        <f t="shared" si="144"/>
        <v>130.34925579246348</v>
      </c>
      <c r="BT405">
        <f t="shared" si="145"/>
        <v>-5.7950689156494333</v>
      </c>
      <c r="BV405">
        <f t="shared" si="146"/>
        <v>134.00592000171778</v>
      </c>
      <c r="BX405">
        <f t="shared" si="147"/>
        <v>-69.830633206457577</v>
      </c>
      <c r="CB405">
        <f t="shared" si="148"/>
        <v>76161.634952156659</v>
      </c>
      <c r="CD405">
        <f t="shared" si="149"/>
        <v>36086.658876956979</v>
      </c>
      <c r="CF405">
        <f t="shared" si="150"/>
        <v>57566.62497559256</v>
      </c>
    </row>
    <row r="406" spans="12:84" x14ac:dyDescent="0.25">
      <c r="L406">
        <v>395</v>
      </c>
      <c r="M406">
        <f t="shared" si="162"/>
        <v>2.4818581963359532</v>
      </c>
      <c r="P406">
        <f t="shared" si="156"/>
        <v>16049.224938121497</v>
      </c>
      <c r="Q406">
        <f t="shared" si="157"/>
        <v>10564.535268264817</v>
      </c>
      <c r="V406">
        <f t="shared" si="158"/>
        <v>-22765.54254331495</v>
      </c>
      <c r="W406">
        <f t="shared" si="159"/>
        <v>12145.174687785373</v>
      </c>
      <c r="AB406">
        <f t="shared" si="160"/>
        <v>-8950.775061878503</v>
      </c>
      <c r="AC406">
        <f t="shared" si="161"/>
        <v>-11935.464731735183</v>
      </c>
      <c r="AW406">
        <v>399</v>
      </c>
      <c r="AX406">
        <f t="shared" si="151"/>
        <v>199.5</v>
      </c>
      <c r="AZ406">
        <f t="shared" si="152"/>
        <v>-54481.250182854121</v>
      </c>
      <c r="BB406">
        <f t="shared" si="153"/>
        <v>10304.232148201691</v>
      </c>
      <c r="BD406">
        <f t="shared" si="154"/>
        <v>3227.6493510408845</v>
      </c>
      <c r="BF406">
        <f t="shared" si="155"/>
        <v>-2617.1429911313376</v>
      </c>
      <c r="BH406">
        <f t="shared" si="140"/>
        <v>377.74139386081072</v>
      </c>
      <c r="BJ406">
        <f t="shared" si="141"/>
        <v>-78.288724316335177</v>
      </c>
      <c r="BN406" s="20">
        <f t="shared" si="142"/>
        <v>91.697979009839756</v>
      </c>
      <c r="BP406">
        <f t="shared" si="143"/>
        <v>-3.4524450117744085</v>
      </c>
      <c r="BR406">
        <f t="shared" si="144"/>
        <v>142.15721454268191</v>
      </c>
      <c r="BT406">
        <f t="shared" si="145"/>
        <v>-1.2542699157756836</v>
      </c>
      <c r="BV406">
        <f t="shared" si="146"/>
        <v>143.88620030828903</v>
      </c>
      <c r="BX406">
        <f t="shared" si="147"/>
        <v>-73.582009388785082</v>
      </c>
      <c r="CB406">
        <f t="shared" si="148"/>
        <v>74534.021404603656</v>
      </c>
      <c r="CD406">
        <f t="shared" si="149"/>
        <v>34482.592294846057</v>
      </c>
      <c r="CF406">
        <f t="shared" si="150"/>
        <v>55576.058552836264</v>
      </c>
    </row>
    <row r="407" spans="12:84" x14ac:dyDescent="0.25">
      <c r="L407">
        <v>396</v>
      </c>
      <c r="M407">
        <f t="shared" si="162"/>
        <v>2.4881413816431328</v>
      </c>
      <c r="P407">
        <f t="shared" si="156"/>
        <v>16030.048006760773</v>
      </c>
      <c r="Q407">
        <f t="shared" si="157"/>
        <v>10539.651488472962</v>
      </c>
      <c r="V407">
        <f t="shared" si="158"/>
        <v>-22778.96639526746</v>
      </c>
      <c r="W407">
        <f t="shared" si="159"/>
        <v>12127.756041931072</v>
      </c>
      <c r="AB407">
        <f t="shared" si="160"/>
        <v>-8969.9519932392268</v>
      </c>
      <c r="AC407">
        <f t="shared" si="161"/>
        <v>-11960.348511527038</v>
      </c>
      <c r="AW407">
        <v>400</v>
      </c>
      <c r="AX407">
        <f t="shared" si="151"/>
        <v>200</v>
      </c>
      <c r="AZ407">
        <f t="shared" si="152"/>
        <v>-52820.207833101071</v>
      </c>
      <c r="BB407">
        <f t="shared" si="153"/>
        <v>8985.8745620964783</v>
      </c>
      <c r="BD407">
        <f t="shared" si="154"/>
        <v>3416.5200479712898</v>
      </c>
      <c r="BF407">
        <f t="shared" si="155"/>
        <v>-2656.2873532895051</v>
      </c>
      <c r="BH407">
        <f t="shared" si="140"/>
        <v>407.02007884919277</v>
      </c>
      <c r="BJ407">
        <f t="shared" si="141"/>
        <v>-75.048514574489218</v>
      </c>
      <c r="BN407" s="20">
        <f t="shared" si="142"/>
        <v>95.952906607678941</v>
      </c>
      <c r="BP407">
        <f t="shared" si="143"/>
        <v>-1.9578903621689605</v>
      </c>
      <c r="BR407">
        <f t="shared" si="144"/>
        <v>155.75277101200098</v>
      </c>
      <c r="BT407">
        <f t="shared" si="145"/>
        <v>4.8126705324494594</v>
      </c>
      <c r="BV407">
        <f t="shared" si="146"/>
        <v>155.31440122951284</v>
      </c>
      <c r="BX407">
        <f t="shared" si="147"/>
        <v>-77.90329474476971</v>
      </c>
      <c r="CB407">
        <f t="shared" si="148"/>
        <v>72835.365668542639</v>
      </c>
      <c r="CD407">
        <f t="shared" si="149"/>
        <v>32835.872039763948</v>
      </c>
      <c r="CF407">
        <f t="shared" si="150"/>
        <v>53498.546295292996</v>
      </c>
    </row>
    <row r="408" spans="12:84" x14ac:dyDescent="0.25">
      <c r="L408">
        <v>397</v>
      </c>
      <c r="M408">
        <f t="shared" si="162"/>
        <v>2.4944245669503124</v>
      </c>
      <c r="P408">
        <f t="shared" si="156"/>
        <v>16011.027802307095</v>
      </c>
      <c r="Q408">
        <f t="shared" si="157"/>
        <v>10514.647708445058</v>
      </c>
      <c r="V408">
        <f t="shared" si="158"/>
        <v>-22792.280538385035</v>
      </c>
      <c r="W408">
        <f t="shared" si="159"/>
        <v>12110.253395911541</v>
      </c>
      <c r="AB408">
        <f t="shared" si="160"/>
        <v>-8988.972197692905</v>
      </c>
      <c r="AC408">
        <f t="shared" si="161"/>
        <v>-11985.352291554942</v>
      </c>
      <c r="AW408">
        <v>401</v>
      </c>
      <c r="AX408">
        <f t="shared" si="151"/>
        <v>200.5</v>
      </c>
      <c r="AZ408">
        <f t="shared" si="152"/>
        <v>-51061.070299259278</v>
      </c>
      <c r="BB408">
        <f t="shared" si="153"/>
        <v>7648.3498211299147</v>
      </c>
      <c r="BD408">
        <f t="shared" si="154"/>
        <v>3620.0300873958863</v>
      </c>
      <c r="BF408">
        <f t="shared" si="155"/>
        <v>-2693.8116105767494</v>
      </c>
      <c r="BH408">
        <f t="shared" si="140"/>
        <v>440.75107285504566</v>
      </c>
      <c r="BJ408">
        <f t="shared" si="141"/>
        <v>-70.160524066988017</v>
      </c>
      <c r="BN408" s="20">
        <f t="shared" si="142"/>
        <v>100.68337400410236</v>
      </c>
      <c r="BP408">
        <f t="shared" si="143"/>
        <v>-0.21019048068602741</v>
      </c>
      <c r="BR408">
        <f t="shared" si="144"/>
        <v>171.41274863914614</v>
      </c>
      <c r="BT408">
        <f t="shared" si="145"/>
        <v>12.977750512591768</v>
      </c>
      <c r="BV408">
        <f t="shared" si="146"/>
        <v>168.65495021179717</v>
      </c>
      <c r="BX408">
        <f t="shared" si="147"/>
        <v>-82.928084098893763</v>
      </c>
      <c r="CB408">
        <f t="shared" si="148"/>
        <v>71061.225149484279</v>
      </c>
      <c r="CD408">
        <f t="shared" si="149"/>
        <v>31149.965436566807</v>
      </c>
      <c r="CF408">
        <f t="shared" si="150"/>
        <v>51328.061981079903</v>
      </c>
    </row>
    <row r="409" spans="12:84" x14ac:dyDescent="0.25">
      <c r="L409">
        <v>398</v>
      </c>
      <c r="M409">
        <f t="shared" si="162"/>
        <v>2.5007077522574921</v>
      </c>
      <c r="P409">
        <f t="shared" si="156"/>
        <v>15992.165075645567</v>
      </c>
      <c r="Q409">
        <f t="shared" si="157"/>
        <v>10489.524915287528</v>
      </c>
      <c r="V409">
        <f t="shared" si="158"/>
        <v>-22805.484447048104</v>
      </c>
      <c r="W409">
        <f t="shared" si="159"/>
        <v>12092.667440701269</v>
      </c>
      <c r="AB409">
        <f t="shared" si="160"/>
        <v>-9007.8349243544326</v>
      </c>
      <c r="AC409">
        <f t="shared" si="161"/>
        <v>-12010.475084712472</v>
      </c>
      <c r="AW409">
        <v>402</v>
      </c>
      <c r="AX409">
        <f t="shared" si="151"/>
        <v>201</v>
      </c>
      <c r="AZ409">
        <f t="shared" si="152"/>
        <v>-49195.961371454454</v>
      </c>
      <c r="BB409">
        <f t="shared" si="153"/>
        <v>6292.6739503331664</v>
      </c>
      <c r="BD409">
        <f t="shared" si="154"/>
        <v>3840.4056238234093</v>
      </c>
      <c r="BF409">
        <f t="shared" si="155"/>
        <v>-2728.8918726102434</v>
      </c>
      <c r="BH409">
        <f t="shared" si="140"/>
        <v>479.75810575739786</v>
      </c>
      <c r="BJ409">
        <f t="shared" si="141"/>
        <v>-62.936273663425254</v>
      </c>
      <c r="BN409" s="20">
        <f t="shared" si="142"/>
        <v>105.96868309126361</v>
      </c>
      <c r="BP409">
        <f t="shared" si="143"/>
        <v>1.8489337962685017</v>
      </c>
      <c r="BR409">
        <f t="shared" si="144"/>
        <v>189.39923324546493</v>
      </c>
      <c r="BT409">
        <f t="shared" si="145"/>
        <v>24.050063029757222</v>
      </c>
      <c r="BV409">
        <f t="shared" si="146"/>
        <v>184.39018942066932</v>
      </c>
      <c r="BX409">
        <f t="shared" si="147"/>
        <v>-88.835270489450977</v>
      </c>
      <c r="CB409">
        <f t="shared" si="148"/>
        <v>69206.493238062714</v>
      </c>
      <c r="CD409">
        <f t="shared" si="149"/>
        <v>29430.399705780397</v>
      </c>
      <c r="CF409">
        <f t="shared" si="150"/>
        <v>49057.73094530862</v>
      </c>
    </row>
    <row r="410" spans="12:84" x14ac:dyDescent="0.25">
      <c r="L410">
        <v>399</v>
      </c>
      <c r="M410">
        <f t="shared" si="162"/>
        <v>2.5069909375646717</v>
      </c>
      <c r="P410">
        <f t="shared" si="156"/>
        <v>15973.460571444341</v>
      </c>
      <c r="Q410">
        <f t="shared" si="157"/>
        <v>10464.284100805229</v>
      </c>
      <c r="V410">
        <f t="shared" si="158"/>
        <v>-22818.577599988963</v>
      </c>
      <c r="W410">
        <f t="shared" si="159"/>
        <v>12074.998870563661</v>
      </c>
      <c r="AB410">
        <f t="shared" si="160"/>
        <v>-9026.5394285556595</v>
      </c>
      <c r="AC410">
        <f t="shared" si="161"/>
        <v>-12035.715899194771</v>
      </c>
      <c r="AW410">
        <v>403</v>
      </c>
      <c r="AX410">
        <f t="shared" si="151"/>
        <v>201.5</v>
      </c>
      <c r="AZ410">
        <f t="shared" si="152"/>
        <v>-47215.788796323075</v>
      </c>
      <c r="BB410">
        <f t="shared" si="153"/>
        <v>4920.360979820116</v>
      </c>
      <c r="BD410">
        <f t="shared" si="154"/>
        <v>4080.2846767021083</v>
      </c>
      <c r="BF410">
        <f t="shared" si="155"/>
        <v>-2760.3600094419562</v>
      </c>
      <c r="BH410">
        <f t="shared" si="140"/>
        <v>524.95891084051198</v>
      </c>
      <c r="BJ410">
        <f t="shared" si="141"/>
        <v>-52.401728366996807</v>
      </c>
      <c r="BN410" s="20">
        <f t="shared" si="142"/>
        <v>111.90675253131064</v>
      </c>
      <c r="BP410">
        <f t="shared" si="143"/>
        <v>4.2948097555789539</v>
      </c>
      <c r="BR410">
        <f t="shared" si="144"/>
        <v>209.88249033236477</v>
      </c>
      <c r="BT410">
        <f t="shared" si="145"/>
        <v>39.173117322575777</v>
      </c>
      <c r="BV410">
        <f t="shared" si="146"/>
        <v>203.16966797683651</v>
      </c>
      <c r="BX410">
        <f t="shared" si="147"/>
        <v>-95.869655445151537</v>
      </c>
      <c r="CB410">
        <f t="shared" si="148"/>
        <v>67265.271879227133</v>
      </c>
      <c r="CD410">
        <f t="shared" si="149"/>
        <v>27685.770575900515</v>
      </c>
      <c r="CF410">
        <f t="shared" si="150"/>
        <v>46679.691572054078</v>
      </c>
    </row>
    <row r="411" spans="12:84" x14ac:dyDescent="0.25">
      <c r="L411">
        <v>400</v>
      </c>
      <c r="M411">
        <f t="shared" si="162"/>
        <v>2.5132741228718514</v>
      </c>
      <c r="P411">
        <f t="shared" si="156"/>
        <v>15954.915028125213</v>
      </c>
      <c r="Q411">
        <f t="shared" si="157"/>
        <v>10438.926261462298</v>
      </c>
      <c r="V411">
        <f t="shared" si="158"/>
        <v>-22831.559480312349</v>
      </c>
      <c r="W411">
        <f t="shared" si="159"/>
        <v>12057.248383023609</v>
      </c>
      <c r="AB411">
        <f t="shared" si="160"/>
        <v>-9045.0849718747868</v>
      </c>
      <c r="AC411">
        <f t="shared" si="161"/>
        <v>-12061.073738537702</v>
      </c>
      <c r="AW411">
        <v>404</v>
      </c>
      <c r="AX411">
        <f t="shared" si="151"/>
        <v>202</v>
      </c>
      <c r="AZ411">
        <f t="shared" si="152"/>
        <v>-45110.026594116956</v>
      </c>
      <c r="BB411">
        <f t="shared" si="153"/>
        <v>3533.6307590532633</v>
      </c>
      <c r="BD411">
        <f t="shared" si="154"/>
        <v>4342.7641321223646</v>
      </c>
      <c r="BF411">
        <f t="shared" si="155"/>
        <v>-2786.5608736254544</v>
      </c>
      <c r="BH411">
        <f t="shared" si="140"/>
        <v>577.2823583033794</v>
      </c>
      <c r="BJ411">
        <f t="shared" si="141"/>
        <v>-37.203286178787252</v>
      </c>
      <c r="BN411" s="20">
        <f t="shared" si="142"/>
        <v>118.61978393826398</v>
      </c>
      <c r="BP411">
        <f t="shared" si="143"/>
        <v>7.2260738781972691</v>
      </c>
      <c r="BR411">
        <f t="shared" si="144"/>
        <v>232.7776615285095</v>
      </c>
      <c r="BT411">
        <f t="shared" si="145"/>
        <v>59.945229641458241</v>
      </c>
      <c r="BV411">
        <f t="shared" si="146"/>
        <v>225.88491283660596</v>
      </c>
      <c r="BX411">
        <f t="shared" si="147"/>
        <v>-104.37458969844276</v>
      </c>
      <c r="CB411">
        <f t="shared" si="148"/>
        <v>65230.726257202943</v>
      </c>
      <c r="CD411">
        <f t="shared" si="149"/>
        <v>25929.276247468282</v>
      </c>
      <c r="CF411">
        <f t="shared" si="150"/>
        <v>44184.948823029037</v>
      </c>
    </row>
    <row r="412" spans="12:84" x14ac:dyDescent="0.25">
      <c r="L412">
        <v>401</v>
      </c>
      <c r="M412">
        <f t="shared" si="162"/>
        <v>2.519557308179031</v>
      </c>
      <c r="P412">
        <f t="shared" si="156"/>
        <v>15936.529177834482</v>
      </c>
      <c r="Q412">
        <f t="shared" si="157"/>
        <v>10413.452398342812</v>
      </c>
      <c r="V412">
        <f t="shared" si="158"/>
        <v>-22844.429575515864</v>
      </c>
      <c r="W412">
        <f t="shared" si="159"/>
        <v>12039.416678839969</v>
      </c>
      <c r="AB412">
        <f t="shared" si="160"/>
        <v>-9063.4708221655183</v>
      </c>
      <c r="AC412">
        <f t="shared" si="161"/>
        <v>-12086.547601657188</v>
      </c>
      <c r="AW412">
        <v>405</v>
      </c>
      <c r="AX412">
        <f t="shared" si="151"/>
        <v>202.5</v>
      </c>
      <c r="AZ412">
        <f t="shared" si="152"/>
        <v>-42866.484233267853</v>
      </c>
      <c r="BB412">
        <f t="shared" si="153"/>
        <v>2135.6999114681876</v>
      </c>
      <c r="BD412">
        <f t="shared" si="154"/>
        <v>4631.4053112740539</v>
      </c>
      <c r="BF412">
        <f t="shared" si="155"/>
        <v>-2805.1625167148482</v>
      </c>
      <c r="BH412">
        <f t="shared" si="140"/>
        <v>637.46750449541321</v>
      </c>
      <c r="BJ412">
        <f t="shared" si="141"/>
        <v>-15.538985947070302</v>
      </c>
      <c r="BN412" s="20">
        <f t="shared" si="142"/>
        <v>126.26198239876419</v>
      </c>
      <c r="BP412">
        <f t="shared" si="143"/>
        <v>10.773740119563959</v>
      </c>
      <c r="BR412">
        <f t="shared" si="144"/>
        <v>257.4201910757115</v>
      </c>
      <c r="BT412">
        <f t="shared" si="145"/>
        <v>88.532614406953911</v>
      </c>
      <c r="BV412">
        <f t="shared" si="146"/>
        <v>253.78533102093755</v>
      </c>
      <c r="BX412">
        <f t="shared" si="147"/>
        <v>-114.84534047358817</v>
      </c>
      <c r="CB412">
        <f t="shared" si="148"/>
        <v>63094.932881266606</v>
      </c>
      <c r="CD412">
        <f t="shared" si="149"/>
        <v>24181.052852859175</v>
      </c>
      <c r="CF412">
        <f t="shared" si="150"/>
        <v>41563.23904178082</v>
      </c>
    </row>
    <row r="413" spans="12:84" x14ac:dyDescent="0.25">
      <c r="L413">
        <v>402</v>
      </c>
      <c r="M413">
        <f t="shared" si="162"/>
        <v>2.5258404934862106</v>
      </c>
      <c r="P413">
        <f t="shared" si="156"/>
        <v>15918.303746414033</v>
      </c>
      <c r="Q413">
        <f t="shared" si="157"/>
        <v>10387.863517111269</v>
      </c>
      <c r="V413">
        <f t="shared" si="158"/>
        <v>-22857.187377510178</v>
      </c>
      <c r="W413">
        <f t="shared" si="159"/>
        <v>12021.504461977889</v>
      </c>
      <c r="AB413">
        <f t="shared" si="160"/>
        <v>-9081.6962535859675</v>
      </c>
      <c r="AC413">
        <f t="shared" si="161"/>
        <v>-12112.136482888731</v>
      </c>
      <c r="AW413">
        <v>406</v>
      </c>
      <c r="AX413">
        <f t="shared" si="151"/>
        <v>203</v>
      </c>
      <c r="AZ413">
        <f t="shared" si="152"/>
        <v>-40471.098139568901</v>
      </c>
      <c r="BB413">
        <f t="shared" si="153"/>
        <v>731.17627986737966</v>
      </c>
      <c r="BD413">
        <f t="shared" si="154"/>
        <v>4950.1390635217604</v>
      </c>
      <c r="BF413">
        <f t="shared" si="155"/>
        <v>-2812.9320096883835</v>
      </c>
      <c r="BH413">
        <f t="shared" si="140"/>
        <v>705.65763555778835</v>
      </c>
      <c r="BJ413">
        <f t="shared" si="141"/>
        <v>14.762481815269552</v>
      </c>
      <c r="BN413" s="20">
        <f t="shared" si="142"/>
        <v>135.03008281794476</v>
      </c>
      <c r="BP413">
        <f t="shared" si="143"/>
        <v>15.114573004777458</v>
      </c>
      <c r="BR413">
        <f t="shared" si="144"/>
        <v>281.96573663906719</v>
      </c>
      <c r="BT413">
        <f t="shared" si="145"/>
        <v>127.66734301240037</v>
      </c>
      <c r="BV413">
        <f t="shared" si="146"/>
        <v>288.66181610077632</v>
      </c>
      <c r="BX413">
        <f t="shared" si="147"/>
        <v>-128.01943420190827</v>
      </c>
      <c r="CB413">
        <f t="shared" si="148"/>
        <v>60848.752532485028</v>
      </c>
      <c r="CD413">
        <f t="shared" si="149"/>
        <v>22471.692241456905</v>
      </c>
      <c r="CF413">
        <f t="shared" si="150"/>
        <v>38802.947186717538</v>
      </c>
    </row>
    <row r="414" spans="12:84" x14ac:dyDescent="0.25">
      <c r="L414">
        <v>403</v>
      </c>
      <c r="M414">
        <f t="shared" si="162"/>
        <v>2.5321236787933903</v>
      </c>
      <c r="P414">
        <f t="shared" si="156"/>
        <v>15900.239453372691</v>
      </c>
      <c r="Q414">
        <f t="shared" si="157"/>
        <v>10362.160627972884</v>
      </c>
      <c r="V414">
        <f t="shared" si="158"/>
        <v>-22869.832382639117</v>
      </c>
      <c r="W414">
        <f t="shared" si="159"/>
        <v>12003.51243958102</v>
      </c>
      <c r="AB414">
        <f t="shared" si="160"/>
        <v>-9099.7605466273089</v>
      </c>
      <c r="AC414">
        <f t="shared" si="161"/>
        <v>-12137.839372027116</v>
      </c>
      <c r="AW414">
        <v>407</v>
      </c>
      <c r="AX414">
        <f t="shared" si="151"/>
        <v>203.5</v>
      </c>
      <c r="AZ414">
        <f t="shared" si="152"/>
        <v>-37907.821403363298</v>
      </c>
      <c r="BB414">
        <f t="shared" si="153"/>
        <v>-673.44441474990333</v>
      </c>
      <c r="BD414">
        <f t="shared" si="154"/>
        <v>5302.9678813006549</v>
      </c>
      <c r="BF414">
        <f t="shared" si="155"/>
        <v>-2805.5507687807485</v>
      </c>
      <c r="BH414">
        <f t="shared" si="140"/>
        <v>780.72633972296853</v>
      </c>
      <c r="BJ414">
        <f t="shared" si="141"/>
        <v>55.695720685748171</v>
      </c>
      <c r="BN414" s="20">
        <f t="shared" si="142"/>
        <v>145.1775507982621</v>
      </c>
      <c r="BP414">
        <f t="shared" si="143"/>
        <v>20.491198131142401</v>
      </c>
      <c r="BR414">
        <f t="shared" si="144"/>
        <v>302.40519192385813</v>
      </c>
      <c r="BT414">
        <f t="shared" si="145"/>
        <v>180.23995962595848</v>
      </c>
      <c r="BV414">
        <f t="shared" si="146"/>
        <v>333.14359700084833</v>
      </c>
      <c r="BX414">
        <f t="shared" si="147"/>
        <v>-145.0354370713527</v>
      </c>
      <c r="CB414">
        <f t="shared" si="148"/>
        <v>58481.800359469329</v>
      </c>
      <c r="CD414">
        <f t="shared" si="149"/>
        <v>20847.361537842444</v>
      </c>
      <c r="CF414">
        <f t="shared" si="150"/>
        <v>35891.153568155431</v>
      </c>
    </row>
    <row r="415" spans="12:84" x14ac:dyDescent="0.25">
      <c r="L415">
        <v>404</v>
      </c>
      <c r="M415">
        <f t="shared" si="162"/>
        <v>2.5384068641005699</v>
      </c>
      <c r="P415">
        <f t="shared" si="156"/>
        <v>15882.337011857813</v>
      </c>
      <c r="Q415">
        <f t="shared" si="157"/>
        <v>10336.344745633713</v>
      </c>
      <c r="V415">
        <f t="shared" si="158"/>
        <v>-22882.364091699528</v>
      </c>
      <c r="W415">
        <f t="shared" si="159"/>
        <v>11985.441321943599</v>
      </c>
      <c r="AB415">
        <f t="shared" si="160"/>
        <v>-9117.6629881421868</v>
      </c>
      <c r="AC415">
        <f t="shared" si="161"/>
        <v>-12163.655254366287</v>
      </c>
      <c r="AW415">
        <v>408</v>
      </c>
      <c r="AX415">
        <f t="shared" si="151"/>
        <v>204</v>
      </c>
      <c r="AZ415">
        <f t="shared" si="152"/>
        <v>-35158.746670247594</v>
      </c>
      <c r="BB415">
        <f t="shared" si="153"/>
        <v>-2069.2578340545592</v>
      </c>
      <c r="BD415">
        <f t="shared" si="154"/>
        <v>5693.3310511621394</v>
      </c>
      <c r="BF415">
        <f t="shared" si="155"/>
        <v>-2777.7029084378746</v>
      </c>
      <c r="BH415">
        <f t="shared" si="140"/>
        <v>859.54071916609928</v>
      </c>
      <c r="BJ415">
        <f t="shared" si="141"/>
        <v>107.39110137797033</v>
      </c>
      <c r="BN415" s="20">
        <f t="shared" si="142"/>
        <v>157.03313438456485</v>
      </c>
      <c r="BP415">
        <f t="shared" si="143"/>
        <v>27.243014791454364</v>
      </c>
      <c r="BR415">
        <f t="shared" si="144"/>
        <v>311.32155660911542</v>
      </c>
      <c r="BT415">
        <f t="shared" si="145"/>
        <v>247.87142484473321</v>
      </c>
      <c r="BV415">
        <f t="shared" si="146"/>
        <v>391.18602817241901</v>
      </c>
      <c r="BX415">
        <f t="shared" si="147"/>
        <v>-167.72333825821724</v>
      </c>
      <c r="CB415">
        <f t="shared" si="148"/>
        <v>55982.658294575158</v>
      </c>
      <c r="CD415">
        <f t="shared" si="149"/>
        <v>19376.65051750766</v>
      </c>
      <c r="CF415">
        <f t="shared" si="150"/>
        <v>32813.931396319</v>
      </c>
    </row>
    <row r="416" spans="12:84" x14ac:dyDescent="0.25">
      <c r="L416">
        <v>405</v>
      </c>
      <c r="M416">
        <f t="shared" si="162"/>
        <v>2.5446900494077496</v>
      </c>
      <c r="P416">
        <f t="shared" si="156"/>
        <v>15864.597128627143</v>
      </c>
      <c r="Q416">
        <f t="shared" si="157"/>
        <v>10310.416889260583</v>
      </c>
      <c r="V416">
        <f t="shared" si="158"/>
        <v>-22894.782009961</v>
      </c>
      <c r="W416">
        <f t="shared" si="159"/>
        <v>11967.291822482408</v>
      </c>
      <c r="AB416">
        <f t="shared" si="160"/>
        <v>-9135.4028713728567</v>
      </c>
      <c r="AC416">
        <f t="shared" si="161"/>
        <v>-12189.583110739417</v>
      </c>
      <c r="AW416">
        <v>409</v>
      </c>
      <c r="AX416">
        <f t="shared" si="151"/>
        <v>204.5</v>
      </c>
      <c r="AZ416">
        <f t="shared" si="152"/>
        <v>-32204.638554770761</v>
      </c>
      <c r="BB416">
        <f t="shared" si="153"/>
        <v>-3444.6854006012504</v>
      </c>
      <c r="BD416">
        <f t="shared" si="154"/>
        <v>6123.1014107451892</v>
      </c>
      <c r="BF416">
        <f t="shared" si="155"/>
        <v>-2724.0073577488893</v>
      </c>
      <c r="BH416">
        <f t="shared" si="140"/>
        <v>937.30838179455918</v>
      </c>
      <c r="BJ416">
        <f t="shared" si="141"/>
        <v>164.323073678946</v>
      </c>
      <c r="BN416" s="20">
        <f t="shared" si="142"/>
        <v>171.02332315884303</v>
      </c>
      <c r="BP416">
        <f t="shared" si="143"/>
        <v>35.85498377074471</v>
      </c>
      <c r="BR416">
        <f t="shared" si="144"/>
        <v>297.40806678785657</v>
      </c>
      <c r="BT416">
        <f t="shared" si="145"/>
        <v>327.62608049549419</v>
      </c>
      <c r="BV416">
        <f t="shared" si="146"/>
        <v>468.87699184785959</v>
      </c>
      <c r="BX416">
        <f t="shared" si="147"/>
        <v>-199.15799058729289</v>
      </c>
      <c r="CB416">
        <f t="shared" si="148"/>
        <v>53339.576537055407</v>
      </c>
      <c r="CD416">
        <f t="shared" si="149"/>
        <v>18157.994596698649</v>
      </c>
      <c r="CF416">
        <f t="shared" si="150"/>
        <v>29557.023774169105</v>
      </c>
    </row>
    <row r="417" spans="12:84" x14ac:dyDescent="0.25">
      <c r="L417">
        <v>406</v>
      </c>
      <c r="M417">
        <f t="shared" si="162"/>
        <v>2.5509732347149292</v>
      </c>
      <c r="P417">
        <f t="shared" si="156"/>
        <v>15847.020504020889</v>
      </c>
      <c r="Q417">
        <f t="shared" si="157"/>
        <v>10284.37808244087</v>
      </c>
      <c r="V417">
        <f t="shared" si="158"/>
        <v>-22907.085647185377</v>
      </c>
      <c r="W417">
        <f t="shared" si="159"/>
        <v>11949.064657708608</v>
      </c>
      <c r="AB417">
        <f t="shared" si="160"/>
        <v>-9152.9794959791107</v>
      </c>
      <c r="AC417">
        <f t="shared" si="161"/>
        <v>-12215.62191755913</v>
      </c>
      <c r="AW417">
        <v>410</v>
      </c>
      <c r="AX417">
        <f t="shared" si="151"/>
        <v>205</v>
      </c>
      <c r="AZ417">
        <f t="shared" si="152"/>
        <v>-29025.924301673844</v>
      </c>
      <c r="BB417">
        <f t="shared" si="153"/>
        <v>-4786.1486952658261</v>
      </c>
      <c r="BD417">
        <f t="shared" si="154"/>
        <v>6591.7556016424687</v>
      </c>
      <c r="BF417">
        <f t="shared" si="155"/>
        <v>-2641.845820909416</v>
      </c>
      <c r="BH417">
        <f t="shared" si="140"/>
        <v>1011.9597547421554</v>
      </c>
      <c r="BJ417">
        <f t="shared" si="141"/>
        <v>209.40353521511517</v>
      </c>
      <c r="BN417" s="20">
        <f t="shared" si="142"/>
        <v>187.69495504089574</v>
      </c>
      <c r="BP417">
        <f t="shared" si="143"/>
        <v>47.037320761027367</v>
      </c>
      <c r="BR417">
        <f t="shared" si="144"/>
        <v>248.52170019613541</v>
      </c>
      <c r="BT417">
        <f t="shared" si="145"/>
        <v>407.12493150633543</v>
      </c>
      <c r="BV417">
        <f t="shared" si="146"/>
        <v>575.74309950512418</v>
      </c>
      <c r="BX417">
        <f t="shared" si="147"/>
        <v>-244.75871705224765</v>
      </c>
      <c r="CB417">
        <f t="shared" si="148"/>
        <v>50541.969722158996</v>
      </c>
      <c r="CD417">
        <f t="shared" si="149"/>
        <v>17323.322508631471</v>
      </c>
      <c r="CF417">
        <f t="shared" si="150"/>
        <v>26106.853449333601</v>
      </c>
    </row>
    <row r="418" spans="12:84" x14ac:dyDescent="0.25">
      <c r="L418">
        <v>407</v>
      </c>
      <c r="M418">
        <f t="shared" si="162"/>
        <v>2.5572564200221088</v>
      </c>
      <c r="P418">
        <f t="shared" si="156"/>
        <v>15829.607831934096</v>
      </c>
      <c r="Q418">
        <f t="shared" si="157"/>
        <v>10258.22935314208</v>
      </c>
      <c r="V418">
        <f t="shared" si="158"/>
        <v>-22919.274517646132</v>
      </c>
      <c r="W418">
        <f t="shared" si="159"/>
        <v>11930.760547199456</v>
      </c>
      <c r="AB418">
        <f t="shared" si="160"/>
        <v>-9170.3921680659041</v>
      </c>
      <c r="AC418">
        <f t="shared" si="161"/>
        <v>-12241.77064685792</v>
      </c>
      <c r="AW418">
        <v>411</v>
      </c>
      <c r="AX418">
        <f t="shared" si="151"/>
        <v>205.5</v>
      </c>
      <c r="AZ418">
        <f t="shared" si="152"/>
        <v>-25603.551531509838</v>
      </c>
      <c r="BB418">
        <f t="shared" si="153"/>
        <v>-6080.8961638186438</v>
      </c>
      <c r="BD418">
        <f t="shared" si="154"/>
        <v>7097.7354790135469</v>
      </c>
      <c r="BF418">
        <f t="shared" si="155"/>
        <v>-2537.1440533018585</v>
      </c>
      <c r="BH418">
        <f t="shared" si="140"/>
        <v>1095.6119807318005</v>
      </c>
      <c r="BJ418">
        <f t="shared" si="141"/>
        <v>210.01625644608339</v>
      </c>
      <c r="BN418" s="20">
        <f t="shared" si="142"/>
        <v>207.72641727135769</v>
      </c>
      <c r="BP418">
        <f t="shared" si="143"/>
        <v>61.861649119479701</v>
      </c>
      <c r="BR418">
        <f t="shared" si="144"/>
        <v>161.23753574494134</v>
      </c>
      <c r="BT418">
        <f t="shared" si="145"/>
        <v>462.71441521405535</v>
      </c>
      <c r="BV418">
        <f t="shared" si="146"/>
        <v>726.64802771550148</v>
      </c>
      <c r="BX418">
        <f t="shared" si="147"/>
        <v>-314.55980788745171</v>
      </c>
      <c r="CB418">
        <f t="shared" si="148"/>
        <v>47582.8188834951</v>
      </c>
      <c r="CD418">
        <f t="shared" si="149"/>
        <v>17029.239889020399</v>
      </c>
      <c r="CF418">
        <f t="shared" si="150"/>
        <v>22451.208184687221</v>
      </c>
    </row>
    <row r="419" spans="12:84" x14ac:dyDescent="0.25">
      <c r="L419">
        <v>408</v>
      </c>
      <c r="M419">
        <f t="shared" si="162"/>
        <v>2.5635396053292885</v>
      </c>
      <c r="P419">
        <f t="shared" si="156"/>
        <v>15812.359799789245</v>
      </c>
      <c r="Q419">
        <f t="shared" si="157"/>
        <v>10231.971733671273</v>
      </c>
      <c r="V419">
        <f t="shared" si="158"/>
        <v>-22931.348140147529</v>
      </c>
      <c r="W419">
        <f t="shared" si="159"/>
        <v>11912.380213569892</v>
      </c>
      <c r="AB419">
        <f t="shared" si="160"/>
        <v>-9187.6402002107552</v>
      </c>
      <c r="AC419">
        <f t="shared" si="161"/>
        <v>-12268.028266328727</v>
      </c>
      <c r="AW419">
        <v>412</v>
      </c>
      <c r="AX419">
        <f t="shared" si="151"/>
        <v>206</v>
      </c>
      <c r="AZ419">
        <f t="shared" si="152"/>
        <v>-21917.732294411591</v>
      </c>
      <c r="BB419">
        <f t="shared" si="153"/>
        <v>-7323.216158413813</v>
      </c>
      <c r="BD419">
        <f t="shared" si="154"/>
        <v>7645.5414693794473</v>
      </c>
      <c r="BF419">
        <f t="shared" si="155"/>
        <v>-2432.1359250788169</v>
      </c>
      <c r="BH419">
        <f t="shared" si="140"/>
        <v>1227.0526431360167</v>
      </c>
      <c r="BJ419">
        <f t="shared" si="141"/>
        <v>123.56878154299903</v>
      </c>
      <c r="BN419" s="20">
        <f t="shared" si="142"/>
        <v>231.89792121796242</v>
      </c>
      <c r="BP419">
        <f t="shared" si="143"/>
        <v>82.005223678546969</v>
      </c>
      <c r="BR419">
        <f t="shared" si="144"/>
        <v>51.980500690510411</v>
      </c>
      <c r="BT419">
        <f t="shared" si="145"/>
        <v>469.54908779933601</v>
      </c>
      <c r="BV419">
        <f t="shared" si="146"/>
        <v>943.17422122754385</v>
      </c>
      <c r="BX419">
        <f t="shared" si="147"/>
        <v>-427.98552993488391</v>
      </c>
      <c r="CB419">
        <f t="shared" si="148"/>
        <v>44461.489156178934</v>
      </c>
      <c r="CD419">
        <f t="shared" si="149"/>
        <v>17429.042292224738</v>
      </c>
      <c r="CF419">
        <f t="shared" si="150"/>
        <v>18578.015936472217</v>
      </c>
    </row>
    <row r="420" spans="12:84" x14ac:dyDescent="0.25">
      <c r="L420">
        <v>409</v>
      </c>
      <c r="M420">
        <f t="shared" si="162"/>
        <v>2.5698227906364681</v>
      </c>
      <c r="P420">
        <f t="shared" si="156"/>
        <v>15795.277088509109</v>
      </c>
      <c r="Q420">
        <f t="shared" si="157"/>
        <v>10205.606260634308</v>
      </c>
      <c r="V420">
        <f t="shared" si="158"/>
        <v>-22943.306038043625</v>
      </c>
      <c r="W420">
        <f t="shared" si="159"/>
        <v>11893.924382444015</v>
      </c>
      <c r="AB420">
        <f t="shared" si="160"/>
        <v>-9204.7229114908914</v>
      </c>
      <c r="AC420">
        <f t="shared" si="161"/>
        <v>-12294.393739365692</v>
      </c>
      <c r="AW420">
        <v>413</v>
      </c>
      <c r="AX420">
        <f t="shared" si="151"/>
        <v>206.5</v>
      </c>
      <c r="AZ420">
        <f t="shared" si="152"/>
        <v>-17941.579979329868</v>
      </c>
      <c r="BB420">
        <f t="shared" si="153"/>
        <v>-8523.8380232603467</v>
      </c>
      <c r="BD420">
        <f t="shared" si="154"/>
        <v>8259.0677909474562</v>
      </c>
      <c r="BF420">
        <f t="shared" si="155"/>
        <v>-2370.3515343073173</v>
      </c>
      <c r="BH420">
        <f t="shared" si="140"/>
        <v>1459.0424182123356</v>
      </c>
      <c r="BJ420">
        <f t="shared" si="141"/>
        <v>-91.217880047051267</v>
      </c>
      <c r="BN420" s="20">
        <f t="shared" si="142"/>
        <v>260.93719086074168</v>
      </c>
      <c r="BP420">
        <f t="shared" si="143"/>
        <v>110.20140128257634</v>
      </c>
      <c r="BR420">
        <f t="shared" si="144"/>
        <v>-46.846388974221327</v>
      </c>
      <c r="BT420">
        <f t="shared" si="145"/>
        <v>421.57330021042821</v>
      </c>
      <c r="BV420">
        <f t="shared" si="146"/>
        <v>1244.9516163258154</v>
      </c>
      <c r="BX420">
        <f t="shared" si="147"/>
        <v>-622.99258154005588</v>
      </c>
      <c r="CB420">
        <f t="shared" si="148"/>
        <v>41186.489002142065</v>
      </c>
      <c r="CD420">
        <f t="shared" si="149"/>
        <v>18637.855780466845</v>
      </c>
      <c r="CF420">
        <f t="shared" si="150"/>
        <v>14471.529508326345</v>
      </c>
    </row>
    <row r="421" spans="12:84" x14ac:dyDescent="0.25">
      <c r="L421">
        <v>410</v>
      </c>
      <c r="M421">
        <f t="shared" si="162"/>
        <v>2.5761059759436478</v>
      </c>
      <c r="P421">
        <f t="shared" si="156"/>
        <v>15778.360372489879</v>
      </c>
      <c r="Q421">
        <f t="shared" si="157"/>
        <v>10179.13397489491</v>
      </c>
      <c r="V421">
        <f t="shared" si="158"/>
        <v>-22955.147739257085</v>
      </c>
      <c r="W421">
        <f t="shared" si="159"/>
        <v>11875.393782426438</v>
      </c>
      <c r="AB421">
        <f t="shared" si="160"/>
        <v>-9221.6396275101215</v>
      </c>
      <c r="AC421">
        <f t="shared" si="161"/>
        <v>-12320.86602510509</v>
      </c>
      <c r="AW421">
        <v>414</v>
      </c>
      <c r="AX421">
        <f t="shared" si="151"/>
        <v>207</v>
      </c>
      <c r="AZ421">
        <f t="shared" si="152"/>
        <v>-13629.665781579599</v>
      </c>
      <c r="BB421">
        <f t="shared" si="153"/>
        <v>-9720.4160254198869</v>
      </c>
      <c r="BD421">
        <f t="shared" si="154"/>
        <v>8988.5890000536237</v>
      </c>
      <c r="BF421">
        <f t="shared" si="155"/>
        <v>-2415.9604743308428</v>
      </c>
      <c r="BH421">
        <f t="shared" si="140"/>
        <v>1755.4731775920495</v>
      </c>
      <c r="BJ421">
        <f t="shared" si="141"/>
        <v>-470.99171516332677</v>
      </c>
      <c r="BN421" s="20">
        <f t="shared" si="142"/>
        <v>294.95146742923288</v>
      </c>
      <c r="BP421">
        <f t="shared" si="143"/>
        <v>151.03293055090546</v>
      </c>
      <c r="BR421">
        <f t="shared" si="144"/>
        <v>-109.31122675369244</v>
      </c>
      <c r="BT421">
        <f t="shared" si="145"/>
        <v>338.39085892833185</v>
      </c>
      <c r="BV421">
        <f t="shared" si="146"/>
        <v>1569.8329369165092</v>
      </c>
      <c r="BX421">
        <f t="shared" si="147"/>
        <v>-960.41550464256409</v>
      </c>
      <c r="CB421">
        <f t="shared" si="148"/>
        <v>37782.233240893584</v>
      </c>
      <c r="CD421">
        <f t="shared" si="149"/>
        <v>20723.801926046661</v>
      </c>
      <c r="CF421">
        <f t="shared" si="150"/>
        <v>10116.577407720903</v>
      </c>
    </row>
    <row r="422" spans="12:84" x14ac:dyDescent="0.25">
      <c r="L422">
        <v>411</v>
      </c>
      <c r="M422">
        <f t="shared" si="162"/>
        <v>2.5823891612508274</v>
      </c>
      <c r="P422">
        <f t="shared" si="156"/>
        <v>15761.610319574538</v>
      </c>
      <c r="Q422">
        <f t="shared" si="157"/>
        <v>10152.555921533596</v>
      </c>
      <c r="V422">
        <f t="shared" si="158"/>
        <v>-22966.872776297823</v>
      </c>
      <c r="W422">
        <f t="shared" si="159"/>
        <v>11856.789145073517</v>
      </c>
      <c r="AB422">
        <f t="shared" si="160"/>
        <v>-9238.3896804254618</v>
      </c>
      <c r="AC422">
        <f t="shared" si="161"/>
        <v>-12347.444078466404</v>
      </c>
      <c r="AW422">
        <v>415</v>
      </c>
      <c r="AX422">
        <f t="shared" si="151"/>
        <v>207.5</v>
      </c>
      <c r="AZ422">
        <f t="shared" si="152"/>
        <v>-8915.9371343537805</v>
      </c>
      <c r="BB422">
        <f t="shared" si="153"/>
        <v>-10987.270226980725</v>
      </c>
      <c r="BD422">
        <f t="shared" si="154"/>
        <v>9866.3255888496478</v>
      </c>
      <c r="BF422">
        <f t="shared" si="155"/>
        <v>-2651.4563319125064</v>
      </c>
      <c r="BH422">
        <f t="shared" si="140"/>
        <v>1560.739799250277</v>
      </c>
      <c r="BJ422">
        <f t="shared" si="141"/>
        <v>-933.67164648183348</v>
      </c>
      <c r="BN422" s="20">
        <f t="shared" si="142"/>
        <v>331.42494675079416</v>
      </c>
      <c r="BP422">
        <f t="shared" si="143"/>
        <v>211.89500177966687</v>
      </c>
      <c r="BR422">
        <f t="shared" si="144"/>
        <v>-131.37779509458306</v>
      </c>
      <c r="BT422">
        <f t="shared" si="145"/>
        <v>248.75908057330966</v>
      </c>
      <c r="BV422">
        <f t="shared" si="146"/>
        <v>1360.6926475940659</v>
      </c>
      <c r="BX422">
        <f t="shared" si="147"/>
        <v>-1394.32572883481</v>
      </c>
      <c r="CB422">
        <f t="shared" si="148"/>
        <v>34320.701927602058</v>
      </c>
      <c r="CD422">
        <f t="shared" si="149"/>
        <v>23734.404588906567</v>
      </c>
      <c r="CF422">
        <f t="shared" si="150"/>
        <v>5606.8318925651965</v>
      </c>
    </row>
    <row r="423" spans="12:84" x14ac:dyDescent="0.25">
      <c r="L423">
        <v>412</v>
      </c>
      <c r="M423">
        <f t="shared" si="162"/>
        <v>2.588672346558007</v>
      </c>
      <c r="P423">
        <f t="shared" si="156"/>
        <v>15745.027591026494</v>
      </c>
      <c r="Q423">
        <f t="shared" si="157"/>
        <v>10125.873149806404</v>
      </c>
      <c r="V423">
        <f t="shared" si="158"/>
        <v>-22978.480686281455</v>
      </c>
      <c r="W423">
        <f t="shared" si="159"/>
        <v>11838.111204864483</v>
      </c>
      <c r="AB423">
        <f t="shared" si="160"/>
        <v>-9254.9724089735064</v>
      </c>
      <c r="AC423">
        <f t="shared" si="161"/>
        <v>-12374.126850193596</v>
      </c>
      <c r="AW423">
        <v>416</v>
      </c>
      <c r="AX423">
        <f t="shared" si="151"/>
        <v>208</v>
      </c>
      <c r="AZ423">
        <f t="shared" si="152"/>
        <v>-3787.6818650226719</v>
      </c>
      <c r="BB423">
        <f t="shared" si="153"/>
        <v>-12429.707348747206</v>
      </c>
      <c r="BD423">
        <f t="shared" si="154"/>
        <v>10646.695488474787</v>
      </c>
      <c r="BF423">
        <f t="shared" si="155"/>
        <v>-3118.2921551534232</v>
      </c>
      <c r="BH423">
        <f t="shared" si="140"/>
        <v>-330.76758231452709</v>
      </c>
      <c r="BJ423">
        <f t="shared" si="141"/>
        <v>-723.57894602137139</v>
      </c>
      <c r="BN423" s="20">
        <f t="shared" si="142"/>
        <v>359.3536148935919</v>
      </c>
      <c r="BP423">
        <f t="shared" si="143"/>
        <v>301.07231213960353</v>
      </c>
      <c r="BR423">
        <f t="shared" si="144"/>
        <v>-125.15741274137945</v>
      </c>
      <c r="BT423">
        <f t="shared" si="145"/>
        <v>173.15501194483755</v>
      </c>
      <c r="BV423">
        <f t="shared" si="146"/>
        <v>-564.96378446673953</v>
      </c>
      <c r="BX423">
        <f t="shared" si="147"/>
        <v>-1197.8062701058125</v>
      </c>
      <c r="CB423">
        <f t="shared" si="148"/>
        <v>31032.999267203242</v>
      </c>
      <c r="CD423">
        <f t="shared" si="149"/>
        <v>27675.459003603883</v>
      </c>
      <c r="CF423">
        <f t="shared" si="150"/>
        <v>2841.8514340969732</v>
      </c>
    </row>
    <row r="424" spans="12:84" x14ac:dyDescent="0.25">
      <c r="L424">
        <v>413</v>
      </c>
      <c r="M424">
        <f t="shared" si="162"/>
        <v>2.5949555318651867</v>
      </c>
      <c r="P424">
        <f t="shared" si="156"/>
        <v>15728.61284150348</v>
      </c>
      <c r="Q424">
        <f t="shared" si="157"/>
        <v>10099.086713103472</v>
      </c>
      <c r="V424">
        <f t="shared" si="158"/>
        <v>-22989.971010947564</v>
      </c>
      <c r="W424">
        <f t="shared" si="159"/>
        <v>11819.36069917243</v>
      </c>
      <c r="AB424">
        <f t="shared" si="160"/>
        <v>-9271.38715849652</v>
      </c>
      <c r="AC424">
        <f t="shared" si="161"/>
        <v>-12400.913286896528</v>
      </c>
      <c r="AW424">
        <v>417</v>
      </c>
      <c r="AX424">
        <f t="shared" si="151"/>
        <v>208.5</v>
      </c>
      <c r="AZ424">
        <f t="shared" si="152"/>
        <v>1494.3199314254055</v>
      </c>
      <c r="BB424">
        <f t="shared" si="153"/>
        <v>-14079.300794576589</v>
      </c>
      <c r="BD424">
        <f t="shared" si="154"/>
        <v>10481.311697317524</v>
      </c>
      <c r="BF424">
        <f t="shared" si="155"/>
        <v>-3480.0816281641091</v>
      </c>
      <c r="BH424">
        <f t="shared" si="140"/>
        <v>-1741.097080706789</v>
      </c>
      <c r="BJ424">
        <f t="shared" si="141"/>
        <v>251.06742562078159</v>
      </c>
      <c r="BN424" s="20">
        <f t="shared" si="142"/>
        <v>354.06598614197338</v>
      </c>
      <c r="BP424">
        <f t="shared" si="143"/>
        <v>412.8730415620193</v>
      </c>
      <c r="BR424">
        <f t="shared" si="144"/>
        <v>-107.1488956598829</v>
      </c>
      <c r="BT424">
        <f t="shared" si="145"/>
        <v>120.03499048271233</v>
      </c>
      <c r="BV424">
        <f t="shared" si="146"/>
        <v>-1988.0141711888796</v>
      </c>
      <c r="BX424">
        <f t="shared" si="147"/>
        <v>-281.84060642395002</v>
      </c>
      <c r="CB424">
        <f t="shared" si="148"/>
        <v>28427.564397662576</v>
      </c>
      <c r="CD424">
        <f t="shared" si="149"/>
        <v>32277.213573512945</v>
      </c>
      <c r="CF424">
        <f t="shared" si="150"/>
        <v>6559.2589824290808</v>
      </c>
    </row>
    <row r="425" spans="12:84" x14ac:dyDescent="0.25">
      <c r="L425">
        <v>414</v>
      </c>
      <c r="M425">
        <f t="shared" si="162"/>
        <v>2.6012387171723663</v>
      </c>
      <c r="P425">
        <f t="shared" si="156"/>
        <v>15712.366719031694</v>
      </c>
      <c r="Q425">
        <f t="shared" si="157"/>
        <v>10072.197668907458</v>
      </c>
      <c r="V425">
        <f t="shared" si="158"/>
        <v>-23001.343296677813</v>
      </c>
      <c r="W425">
        <f t="shared" si="159"/>
        <v>11800.53836823522</v>
      </c>
      <c r="AB425">
        <f t="shared" si="160"/>
        <v>-9287.6332809683063</v>
      </c>
      <c r="AC425">
        <f t="shared" si="161"/>
        <v>-12427.802331092542</v>
      </c>
      <c r="AW425">
        <v>418</v>
      </c>
      <c r="AX425">
        <f t="shared" si="151"/>
        <v>209</v>
      </c>
      <c r="AZ425">
        <f t="shared" si="152"/>
        <v>6517.3386449958189</v>
      </c>
      <c r="BB425">
        <f t="shared" si="153"/>
        <v>-15787.958180456046</v>
      </c>
      <c r="BD425">
        <f t="shared" si="154"/>
        <v>9610.7631569641289</v>
      </c>
      <c r="BF425">
        <f t="shared" si="155"/>
        <v>-3354.5479153537185</v>
      </c>
      <c r="BH425">
        <f t="shared" si="140"/>
        <v>-1483.4991667523877</v>
      </c>
      <c r="BJ425">
        <f t="shared" si="141"/>
        <v>718.01930328598394</v>
      </c>
      <c r="BN425" s="20">
        <f t="shared" si="142"/>
        <v>298.39776156852594</v>
      </c>
      <c r="BP425">
        <f t="shared" si="143"/>
        <v>515.40822761748973</v>
      </c>
      <c r="BR425">
        <f t="shared" si="144"/>
        <v>-89.265051789011125</v>
      </c>
      <c r="BT425">
        <f t="shared" si="145"/>
        <v>86.809745628288141</v>
      </c>
      <c r="BV425">
        <f t="shared" si="146"/>
        <v>-1692.6318765319027</v>
      </c>
      <c r="BX425">
        <f t="shared" si="147"/>
        <v>115.80133004020604</v>
      </c>
      <c r="CB425">
        <f t="shared" si="148"/>
        <v>26909.313507192874</v>
      </c>
      <c r="CD425">
        <f t="shared" si="149"/>
        <v>36989.025885123527</v>
      </c>
      <c r="CF425">
        <f t="shared" si="150"/>
        <v>11544.261239146565</v>
      </c>
    </row>
    <row r="426" spans="12:84" x14ac:dyDescent="0.25">
      <c r="L426">
        <v>415</v>
      </c>
      <c r="M426">
        <f t="shared" si="162"/>
        <v>2.607521902479546</v>
      </c>
      <c r="P426">
        <f t="shared" si="156"/>
        <v>15696.289864980237</v>
      </c>
      <c r="Q426">
        <f t="shared" si="157"/>
        <v>10045.207078751781</v>
      </c>
      <c r="V426">
        <f t="shared" si="158"/>
        <v>-23012.597094513832</v>
      </c>
      <c r="W426">
        <f t="shared" si="159"/>
        <v>11781.644955126247</v>
      </c>
      <c r="AB426">
        <f t="shared" si="160"/>
        <v>-9303.7101350197627</v>
      </c>
      <c r="AC426">
        <f t="shared" si="161"/>
        <v>-12454.792921248219</v>
      </c>
      <c r="AW426">
        <v>419</v>
      </c>
      <c r="AX426">
        <f t="shared" si="151"/>
        <v>209.5</v>
      </c>
      <c r="AZ426">
        <f t="shared" si="152"/>
        <v>11137.282827633835</v>
      </c>
      <c r="BB426">
        <f t="shared" si="153"/>
        <v>-17375.479725222158</v>
      </c>
      <c r="BD426">
        <f t="shared" si="154"/>
        <v>8869.0135735879358</v>
      </c>
      <c r="BF426">
        <f t="shared" si="155"/>
        <v>-2995.5382637107264</v>
      </c>
      <c r="BH426">
        <f t="shared" si="140"/>
        <v>-1075.5661762507521</v>
      </c>
      <c r="BJ426">
        <f t="shared" si="141"/>
        <v>822.23779604432661</v>
      </c>
      <c r="BN426" s="20">
        <f t="shared" si="142"/>
        <v>206.11159967303146</v>
      </c>
      <c r="BP426">
        <f t="shared" si="143"/>
        <v>578.50485568758836</v>
      </c>
      <c r="BR426">
        <f t="shared" si="144"/>
        <v>-75.226263587119405</v>
      </c>
      <c r="BT426">
        <f t="shared" si="145"/>
        <v>66.137917847017818</v>
      </c>
      <c r="BV426">
        <f t="shared" si="146"/>
        <v>-1206.4515123366641</v>
      </c>
      <c r="BX426">
        <f t="shared" si="147"/>
        <v>177.59502250972042</v>
      </c>
      <c r="CB426">
        <f t="shared" si="148"/>
        <v>26407.143867470651</v>
      </c>
      <c r="CD426">
        <f t="shared" si="149"/>
        <v>41460.189001910134</v>
      </c>
      <c r="CF426">
        <f t="shared" si="150"/>
        <v>16311.186375735746</v>
      </c>
    </row>
    <row r="427" spans="12:84" x14ac:dyDescent="0.25">
      <c r="L427">
        <v>416</v>
      </c>
      <c r="M427">
        <f t="shared" si="162"/>
        <v>2.6138050877867256</v>
      </c>
      <c r="P427">
        <f t="shared" si="156"/>
        <v>15680.382914035779</v>
      </c>
      <c r="Q427">
        <f t="shared" si="157"/>
        <v>10018.116008178727</v>
      </c>
      <c r="V427">
        <f t="shared" si="158"/>
        <v>-23023.731960174955</v>
      </c>
      <c r="W427">
        <f t="shared" si="159"/>
        <v>11762.68120572511</v>
      </c>
      <c r="AB427">
        <f t="shared" si="160"/>
        <v>-9319.6170859642207</v>
      </c>
      <c r="AC427">
        <f t="shared" si="161"/>
        <v>-12481.883991821273</v>
      </c>
      <c r="AW427">
        <v>420</v>
      </c>
      <c r="AX427">
        <f t="shared" si="151"/>
        <v>210</v>
      </c>
      <c r="AZ427">
        <f t="shared" si="152"/>
        <v>15437.343842396458</v>
      </c>
      <c r="BB427">
        <f t="shared" si="153"/>
        <v>-18770.46913257198</v>
      </c>
      <c r="BD427">
        <f t="shared" si="154"/>
        <v>8331.23048546256</v>
      </c>
      <c r="BF427">
        <f t="shared" si="155"/>
        <v>-2584.4193656885632</v>
      </c>
      <c r="BH427">
        <f t="shared" si="140"/>
        <v>-833.49911125073766</v>
      </c>
      <c r="BJ427">
        <f t="shared" si="141"/>
        <v>809.02390943399871</v>
      </c>
      <c r="BN427" s="20">
        <f t="shared" si="142"/>
        <v>103.44772045414167</v>
      </c>
      <c r="BP427">
        <f t="shared" si="143"/>
        <v>595.62238598598401</v>
      </c>
      <c r="BR427">
        <f t="shared" si="144"/>
        <v>-64.6258885652597</v>
      </c>
      <c r="BT427">
        <f t="shared" si="145"/>
        <v>52.467734049169756</v>
      </c>
      <c r="BV427">
        <f t="shared" si="146"/>
        <v>-872.32094313961966</v>
      </c>
      <c r="BX427">
        <f t="shared" si="147"/>
        <v>160.93378939884497</v>
      </c>
      <c r="CB427">
        <f t="shared" si="148"/>
        <v>26663.746542035962</v>
      </c>
      <c r="CD427">
        <f t="shared" si="149"/>
        <v>45645.86764114043</v>
      </c>
      <c r="CF427">
        <f t="shared" si="150"/>
        <v>20782.239071188131</v>
      </c>
    </row>
    <row r="428" spans="12:84" x14ac:dyDescent="0.25">
      <c r="L428">
        <v>417</v>
      </c>
      <c r="M428">
        <f t="shared" si="162"/>
        <v>2.6200882730939052</v>
      </c>
      <c r="P428">
        <f t="shared" si="156"/>
        <v>15664.646494177505</v>
      </c>
      <c r="Q428">
        <f t="shared" si="157"/>
        <v>9990.9255266973778</v>
      </c>
      <c r="V428">
        <f t="shared" si="158"/>
        <v>-23034.747454075747</v>
      </c>
      <c r="W428">
        <f t="shared" si="159"/>
        <v>11743.647868688164</v>
      </c>
      <c r="AB428">
        <f t="shared" si="160"/>
        <v>-9335.3535058224952</v>
      </c>
      <c r="AC428">
        <f t="shared" si="161"/>
        <v>-12509.074473302622</v>
      </c>
      <c r="AW428">
        <v>421</v>
      </c>
      <c r="AX428">
        <f t="shared" si="151"/>
        <v>210.5</v>
      </c>
      <c r="AZ428">
        <f t="shared" si="152"/>
        <v>19498.771696221396</v>
      </c>
      <c r="BB428">
        <f t="shared" si="153"/>
        <v>-19961.55082673701</v>
      </c>
      <c r="BD428">
        <f t="shared" si="154"/>
        <v>7914.4809298371911</v>
      </c>
      <c r="BF428">
        <f t="shared" si="155"/>
        <v>-2179.9074109715639</v>
      </c>
      <c r="BH428">
        <f t="shared" si="140"/>
        <v>-703.37842614752913</v>
      </c>
      <c r="BJ428">
        <f t="shared" si="141"/>
        <v>751.76252993271282</v>
      </c>
      <c r="BN428" s="20">
        <f t="shared" si="142"/>
        <v>10.508760555874339</v>
      </c>
      <c r="BP428">
        <f t="shared" si="143"/>
        <v>575.75930959123014</v>
      </c>
      <c r="BR428">
        <f t="shared" si="144"/>
        <v>-56.517697650940754</v>
      </c>
      <c r="BT428">
        <f t="shared" si="145"/>
        <v>42.871152647534345</v>
      </c>
      <c r="BV428">
        <f t="shared" si="146"/>
        <v>-657.36948905246265</v>
      </c>
      <c r="BX428">
        <f t="shared" si="147"/>
        <v>133.1320676939483</v>
      </c>
      <c r="CB428">
        <f t="shared" si="148"/>
        <v>27466.124656055301</v>
      </c>
      <c r="CD428">
        <f t="shared" si="149"/>
        <v>49576.682961381812</v>
      </c>
      <c r="CF428">
        <f t="shared" si="150"/>
        <v>24996.135725945187</v>
      </c>
    </row>
    <row r="429" spans="12:84" x14ac:dyDescent="0.25">
      <c r="L429">
        <v>418</v>
      </c>
      <c r="M429">
        <f t="shared" si="162"/>
        <v>2.6263714584010849</v>
      </c>
      <c r="P429">
        <f t="shared" si="156"/>
        <v>15649.081226652328</v>
      </c>
      <c r="Q429">
        <f t="shared" si="157"/>
        <v>9963.6367077413815</v>
      </c>
      <c r="V429">
        <f t="shared" si="158"/>
        <v>-23045.643141343371</v>
      </c>
      <c r="W429">
        <f t="shared" si="159"/>
        <v>11724.545695418967</v>
      </c>
      <c r="AB429">
        <f t="shared" si="160"/>
        <v>-9350.918773347672</v>
      </c>
      <c r="AC429">
        <f t="shared" si="161"/>
        <v>-12536.363292258618</v>
      </c>
      <c r="AW429">
        <v>422</v>
      </c>
      <c r="AX429">
        <f t="shared" si="151"/>
        <v>211</v>
      </c>
      <c r="AZ429">
        <f t="shared" si="152"/>
        <v>23368.08985787155</v>
      </c>
      <c r="BB429">
        <f t="shared" si="153"/>
        <v>-20957.534215981203</v>
      </c>
      <c r="BD429">
        <f t="shared" si="154"/>
        <v>7562.7917167634268</v>
      </c>
      <c r="BF429">
        <f t="shared" si="155"/>
        <v>-1804.0261460052075</v>
      </c>
      <c r="BH429">
        <f t="shared" si="140"/>
        <v>-628.44994135491584</v>
      </c>
      <c r="BJ429">
        <f t="shared" si="141"/>
        <v>676.96008029786981</v>
      </c>
      <c r="BN429" s="20">
        <f t="shared" si="142"/>
        <v>-63.076687382539951</v>
      </c>
      <c r="BP429">
        <f t="shared" si="143"/>
        <v>532.94510098187448</v>
      </c>
      <c r="BR429">
        <f t="shared" si="144"/>
        <v>-50.18005477016191</v>
      </c>
      <c r="BT429">
        <f t="shared" si="145"/>
        <v>35.820133365295959</v>
      </c>
      <c r="BV429">
        <f t="shared" si="146"/>
        <v>-515.19319920221392</v>
      </c>
      <c r="BX429">
        <f t="shared" si="147"/>
        <v>108.19484595069936</v>
      </c>
      <c r="CB429">
        <f t="shared" si="148"/>
        <v>28656.156109018495</v>
      </c>
      <c r="CD429">
        <f t="shared" si="149"/>
        <v>53283.769974111892</v>
      </c>
      <c r="CF429">
        <f t="shared" si="150"/>
        <v>28986.906287475063</v>
      </c>
    </row>
    <row r="430" spans="12:84" x14ac:dyDescent="0.25">
      <c r="L430">
        <v>419</v>
      </c>
      <c r="M430">
        <f t="shared" si="162"/>
        <v>2.6326546437082645</v>
      </c>
      <c r="P430">
        <f t="shared" si="156"/>
        <v>15633.687725950356</v>
      </c>
      <c r="Q430">
        <f t="shared" si="157"/>
        <v>9936.2506286265834</v>
      </c>
      <c r="V430">
        <f t="shared" si="158"/>
        <v>-23056.41859183475</v>
      </c>
      <c r="W430">
        <f t="shared" si="159"/>
        <v>11705.37544003861</v>
      </c>
      <c r="AB430">
        <f t="shared" si="160"/>
        <v>-9366.3122740496437</v>
      </c>
      <c r="AC430">
        <f t="shared" si="161"/>
        <v>-12563.749371373417</v>
      </c>
      <c r="AW430">
        <v>423</v>
      </c>
      <c r="AX430">
        <f t="shared" si="151"/>
        <v>211.5</v>
      </c>
      <c r="AZ430">
        <f t="shared" si="152"/>
        <v>27070.929473583899</v>
      </c>
      <c r="BB430">
        <f t="shared" si="153"/>
        <v>-21774.927278946572</v>
      </c>
      <c r="BD430">
        <f t="shared" si="154"/>
        <v>7248.5667460859686</v>
      </c>
      <c r="BF430">
        <f t="shared" si="155"/>
        <v>-1465.5461058562726</v>
      </c>
      <c r="BH430">
        <f t="shared" si="140"/>
        <v>-578.19207377455143</v>
      </c>
      <c r="BJ430">
        <f t="shared" si="141"/>
        <v>598.25851398738473</v>
      </c>
      <c r="BN430" s="20">
        <f t="shared" si="142"/>
        <v>-115.85595595850504</v>
      </c>
      <c r="BP430">
        <f t="shared" si="143"/>
        <v>479.66461809426056</v>
      </c>
      <c r="BR430">
        <f t="shared" si="144"/>
        <v>-45.119486929081241</v>
      </c>
      <c r="BT430">
        <f t="shared" si="145"/>
        <v>30.457618578352239</v>
      </c>
      <c r="BV430">
        <f t="shared" si="146"/>
        <v>-417.21663088696516</v>
      </c>
      <c r="BX430">
        <f t="shared" si="147"/>
        <v>88.136277314771931</v>
      </c>
      <c r="CB430">
        <f t="shared" si="148"/>
        <v>30116.7629536776</v>
      </c>
      <c r="CD430">
        <f t="shared" si="149"/>
        <v>56791.886789306911</v>
      </c>
      <c r="CF430">
        <f t="shared" si="150"/>
        <v>32778.714998221127</v>
      </c>
    </row>
    <row r="431" spans="12:84" x14ac:dyDescent="0.25">
      <c r="L431">
        <v>420</v>
      </c>
      <c r="M431">
        <f t="shared" si="162"/>
        <v>2.6389378290154442</v>
      </c>
      <c r="P431">
        <f t="shared" si="156"/>
        <v>15618.466599780641</v>
      </c>
      <c r="Q431">
        <f t="shared" si="157"/>
        <v>9908.7683705084983</v>
      </c>
      <c r="V431">
        <f t="shared" si="158"/>
        <v>-23067.073380153553</v>
      </c>
      <c r="W431">
        <f t="shared" si="159"/>
        <v>11686.137859355949</v>
      </c>
      <c r="AB431">
        <f t="shared" si="160"/>
        <v>-9381.5334002193595</v>
      </c>
      <c r="AC431">
        <f t="shared" si="161"/>
        <v>-12591.231629491502</v>
      </c>
      <c r="AW431">
        <v>424</v>
      </c>
      <c r="AX431">
        <f t="shared" si="151"/>
        <v>212</v>
      </c>
      <c r="AZ431">
        <f t="shared" si="152"/>
        <v>30622.938837405065</v>
      </c>
      <c r="BB431">
        <f t="shared" si="153"/>
        <v>-22432.918017626285</v>
      </c>
      <c r="BD431">
        <f t="shared" si="154"/>
        <v>6959.4707091986929</v>
      </c>
      <c r="BF431">
        <f t="shared" si="155"/>
        <v>-1166.4168488625801</v>
      </c>
      <c r="BH431">
        <f t="shared" si="140"/>
        <v>-538.66103471837232</v>
      </c>
      <c r="BJ431">
        <f t="shared" si="141"/>
        <v>523.15013200609098</v>
      </c>
      <c r="BN431" s="20">
        <f t="shared" si="142"/>
        <v>-150.64265484407161</v>
      </c>
      <c r="BP431">
        <f t="shared" si="143"/>
        <v>424.47521410248982</v>
      </c>
      <c r="BR431">
        <f t="shared" si="144"/>
        <v>-40.999850120419993</v>
      </c>
      <c r="BT431">
        <f t="shared" si="145"/>
        <v>26.267632978826679</v>
      </c>
      <c r="BV431">
        <f t="shared" si="146"/>
        <v>-347.01852975388067</v>
      </c>
      <c r="BX431">
        <f t="shared" si="147"/>
        <v>72.407284924774487</v>
      </c>
      <c r="CB431">
        <f t="shared" si="148"/>
        <v>31762.027809842137</v>
      </c>
      <c r="CD431">
        <f t="shared" si="149"/>
        <v>60121.344859157311</v>
      </c>
      <c r="CF431">
        <f t="shared" si="150"/>
        <v>36390.13659867541</v>
      </c>
    </row>
    <row r="432" spans="12:84" x14ac:dyDescent="0.25">
      <c r="L432">
        <v>421</v>
      </c>
      <c r="M432">
        <f t="shared" si="162"/>
        <v>2.6452210143226238</v>
      </c>
      <c r="P432">
        <f t="shared" si="156"/>
        <v>15603.418449047176</v>
      </c>
      <c r="Q432">
        <f t="shared" si="157"/>
        <v>9881.1910183396176</v>
      </c>
      <c r="V432">
        <f t="shared" si="158"/>
        <v>-23077.607085666976</v>
      </c>
      <c r="W432">
        <f t="shared" si="159"/>
        <v>11666.833712837732</v>
      </c>
      <c r="AB432">
        <f t="shared" si="160"/>
        <v>-9396.5815509528238</v>
      </c>
      <c r="AC432">
        <f t="shared" si="161"/>
        <v>-12618.808981660382</v>
      </c>
      <c r="AW432">
        <v>425</v>
      </c>
      <c r="AX432">
        <f t="shared" si="151"/>
        <v>212.5</v>
      </c>
      <c r="AZ432">
        <f t="shared" si="152"/>
        <v>34035.341562664617</v>
      </c>
      <c r="BB432">
        <f t="shared" si="153"/>
        <v>-22950.732675556814</v>
      </c>
      <c r="BD432">
        <f t="shared" si="154"/>
        <v>6690.1401918395068</v>
      </c>
      <c r="BF432">
        <f t="shared" si="155"/>
        <v>-904.84178285953453</v>
      </c>
      <c r="BH432">
        <f t="shared" si="140"/>
        <v>-504.13257493643886</v>
      </c>
      <c r="BJ432">
        <f t="shared" si="141"/>
        <v>455.22153522914363</v>
      </c>
      <c r="BN432" s="20">
        <f t="shared" si="142"/>
        <v>-171.56269519429171</v>
      </c>
      <c r="BP432">
        <f t="shared" si="143"/>
        <v>372.21821393761604</v>
      </c>
      <c r="BR432">
        <f t="shared" si="144"/>
        <v>-37.588380338184983</v>
      </c>
      <c r="BT432">
        <f t="shared" si="145"/>
        <v>22.921381385076092</v>
      </c>
      <c r="BV432">
        <f t="shared" si="146"/>
        <v>-294.98149940396218</v>
      </c>
      <c r="BX432">
        <f t="shared" si="147"/>
        <v>60.08193990645151</v>
      </c>
      <c r="CB432">
        <f t="shared" si="148"/>
        <v>33529.657517769017</v>
      </c>
      <c r="CD432">
        <f t="shared" si="149"/>
        <v>63289.564081685996</v>
      </c>
      <c r="CF432">
        <f t="shared" si="150"/>
        <v>39836.817656435087</v>
      </c>
    </row>
    <row r="433" spans="12:84" x14ac:dyDescent="0.25">
      <c r="L433">
        <v>422</v>
      </c>
      <c r="M433">
        <f t="shared" si="162"/>
        <v>2.6515041996298034</v>
      </c>
      <c r="P433">
        <f t="shared" si="156"/>
        <v>15588.543867825192</v>
      </c>
      <c r="Q433">
        <f t="shared" si="157"/>
        <v>9853.5196608265833</v>
      </c>
      <c r="V433">
        <f t="shared" si="158"/>
        <v>-23088.019292522367</v>
      </c>
      <c r="W433">
        <f t="shared" si="159"/>
        <v>11647.463762578609</v>
      </c>
      <c r="AB433">
        <f t="shared" si="160"/>
        <v>-9411.4561321748079</v>
      </c>
      <c r="AC433">
        <f t="shared" si="161"/>
        <v>-12646.480339173417</v>
      </c>
      <c r="AW433">
        <v>426</v>
      </c>
      <c r="AX433">
        <f t="shared" si="151"/>
        <v>213</v>
      </c>
      <c r="AZ433">
        <f t="shared" si="152"/>
        <v>37317.395086717319</v>
      </c>
      <c r="BB433">
        <f t="shared" si="153"/>
        <v>-23346.250875082937</v>
      </c>
      <c r="BD433">
        <f t="shared" si="154"/>
        <v>6438.0739043712874</v>
      </c>
      <c r="BF433">
        <f t="shared" si="155"/>
        <v>-677.23101524496269</v>
      </c>
      <c r="BH433">
        <f t="shared" si="140"/>
        <v>-472.50799160410662</v>
      </c>
      <c r="BJ433">
        <f t="shared" si="141"/>
        <v>395.65805270839223</v>
      </c>
      <c r="BN433" s="20">
        <f t="shared" si="142"/>
        <v>-182.52120794198021</v>
      </c>
      <c r="BP433">
        <f t="shared" si="143"/>
        <v>325.11211657461473</v>
      </c>
      <c r="BR433">
        <f t="shared" si="144"/>
        <v>-34.720618860592133</v>
      </c>
      <c r="BT433">
        <f t="shared" si="145"/>
        <v>20.199844485461437</v>
      </c>
      <c r="BV433">
        <f t="shared" si="146"/>
        <v>-255.26616480153427</v>
      </c>
      <c r="BX433">
        <f t="shared" si="147"/>
        <v>50.346091648316076</v>
      </c>
      <c r="CB433">
        <f t="shared" si="148"/>
        <v>35374.897394028099</v>
      </c>
      <c r="CD433">
        <f t="shared" si="149"/>
        <v>66311.810614330359</v>
      </c>
      <c r="CF433">
        <f t="shared" si="150"/>
        <v>43132.607509808047</v>
      </c>
    </row>
    <row r="434" spans="12:84" x14ac:dyDescent="0.25">
      <c r="L434">
        <v>423</v>
      </c>
      <c r="M434">
        <f t="shared" si="162"/>
        <v>2.6577873849369831</v>
      </c>
      <c r="P434">
        <f t="shared" si="156"/>
        <v>15573.843443337682</v>
      </c>
      <c r="Q434">
        <f t="shared" si="157"/>
        <v>9825.7553903872122</v>
      </c>
      <c r="V434">
        <f t="shared" si="158"/>
        <v>-23098.309589663622</v>
      </c>
      <c r="W434">
        <f t="shared" si="159"/>
        <v>11628.028773271049</v>
      </c>
      <c r="AB434">
        <f t="shared" si="160"/>
        <v>-9426.1565566623176</v>
      </c>
      <c r="AC434">
        <f t="shared" si="161"/>
        <v>-12674.244609612788</v>
      </c>
      <c r="AW434">
        <v>427</v>
      </c>
      <c r="AX434">
        <f t="shared" si="151"/>
        <v>213.5</v>
      </c>
      <c r="AZ434">
        <f t="shared" si="152"/>
        <v>40477.368539952447</v>
      </c>
      <c r="BB434">
        <f t="shared" si="153"/>
        <v>-23635.409126116869</v>
      </c>
      <c r="BD434">
        <f t="shared" si="154"/>
        <v>6201.819908569234</v>
      </c>
      <c r="BF434">
        <f t="shared" si="155"/>
        <v>-479.40198889076657</v>
      </c>
      <c r="BH434">
        <f t="shared" si="140"/>
        <v>-443.12739100353286</v>
      </c>
      <c r="BJ434">
        <f t="shared" si="141"/>
        <v>344.33145975808327</v>
      </c>
      <c r="BN434" s="20">
        <f t="shared" si="142"/>
        <v>-186.65777796365515</v>
      </c>
      <c r="BP434">
        <f t="shared" si="143"/>
        <v>283.80923418609234</v>
      </c>
      <c r="BR434">
        <f t="shared" si="144"/>
        <v>-32.27800215663428</v>
      </c>
      <c r="BT434">
        <f t="shared" si="145"/>
        <v>17.951902249100904</v>
      </c>
      <c r="BV434">
        <f t="shared" si="146"/>
        <v>-224.19161088324344</v>
      </c>
      <c r="BX434">
        <f t="shared" si="147"/>
        <v>42.570323322890019</v>
      </c>
      <c r="CB434">
        <f t="shared" si="148"/>
        <v>37265.752692944712</v>
      </c>
      <c r="CD434">
        <f t="shared" si="149"/>
        <v>69201.537935211352</v>
      </c>
      <c r="CF434">
        <f t="shared" si="150"/>
        <v>46289.970188952153</v>
      </c>
    </row>
    <row r="435" spans="12:84" x14ac:dyDescent="0.25">
      <c r="L435">
        <v>424</v>
      </c>
      <c r="M435">
        <f t="shared" si="162"/>
        <v>2.6640705702441627</v>
      </c>
      <c r="P435">
        <f t="shared" si="156"/>
        <v>15559.317755932236</v>
      </c>
      <c r="Q435">
        <f t="shared" si="157"/>
        <v>9797.8993031073587</v>
      </c>
      <c r="V435">
        <f t="shared" si="158"/>
        <v>-23108.477570847434</v>
      </c>
      <c r="W435">
        <f t="shared" si="159"/>
        <v>11608.529512175151</v>
      </c>
      <c r="AB435">
        <f t="shared" si="160"/>
        <v>-9440.6822440677643</v>
      </c>
      <c r="AC435">
        <f t="shared" si="161"/>
        <v>-12702.100696892641</v>
      </c>
      <c r="AW435">
        <v>428</v>
      </c>
      <c r="AX435">
        <f t="shared" si="151"/>
        <v>214</v>
      </c>
      <c r="AZ435">
        <f t="shared" si="152"/>
        <v>43522.887570361621</v>
      </c>
      <c r="BB435">
        <f t="shared" si="153"/>
        <v>-23832.068688092491</v>
      </c>
      <c r="BD435">
        <f t="shared" si="154"/>
        <v>5980.2562130674678</v>
      </c>
      <c r="BF435">
        <f t="shared" si="155"/>
        <v>-307.23625901172494</v>
      </c>
      <c r="BH435">
        <f t="shared" si="140"/>
        <v>-415.82410737750104</v>
      </c>
      <c r="BJ435">
        <f t="shared" si="141"/>
        <v>300.49909346230731</v>
      </c>
      <c r="BN435" s="20">
        <f t="shared" si="142"/>
        <v>-186.29566589851214</v>
      </c>
      <c r="BP435">
        <f t="shared" si="143"/>
        <v>248.14252003570576</v>
      </c>
      <c r="BR435">
        <f t="shared" si="144"/>
        <v>-30.173393019625109</v>
      </c>
      <c r="BT435">
        <f t="shared" si="145"/>
        <v>16.070244037033721</v>
      </c>
      <c r="BV435">
        <f t="shared" si="146"/>
        <v>-199.35504845936379</v>
      </c>
      <c r="BX435">
        <f t="shared" si="147"/>
        <v>36.286329389567825</v>
      </c>
      <c r="CB435">
        <f t="shared" si="148"/>
        <v>39179.392133151057</v>
      </c>
      <c r="CD435">
        <f t="shared" si="149"/>
        <v>71970.592028915606</v>
      </c>
      <c r="CF435">
        <f t="shared" si="150"/>
        <v>49320.138437327383</v>
      </c>
    </row>
    <row r="436" spans="12:84" x14ac:dyDescent="0.25">
      <c r="L436">
        <v>425</v>
      </c>
      <c r="M436">
        <f t="shared" si="162"/>
        <v>2.6703537555513424</v>
      </c>
      <c r="P436">
        <f t="shared" si="156"/>
        <v>15544.967379058118</v>
      </c>
      <c r="Q436">
        <f t="shared" si="157"/>
        <v>9769.9524986976539</v>
      </c>
      <c r="V436">
        <f t="shared" si="158"/>
        <v>-23118.522834659318</v>
      </c>
      <c r="W436">
        <f t="shared" si="159"/>
        <v>11588.966749088357</v>
      </c>
      <c r="AB436">
        <f t="shared" si="160"/>
        <v>-9455.0326209418818</v>
      </c>
      <c r="AC436">
        <f t="shared" si="161"/>
        <v>-12730.047501302346</v>
      </c>
      <c r="AW436">
        <v>429</v>
      </c>
      <c r="AX436">
        <f t="shared" si="151"/>
        <v>214.5</v>
      </c>
      <c r="AZ436">
        <f t="shared" si="152"/>
        <v>46461.037663473166</v>
      </c>
      <c r="BB436">
        <f t="shared" si="153"/>
        <v>-23948.124430915566</v>
      </c>
      <c r="BD436">
        <f t="shared" si="154"/>
        <v>5772.3441593787174</v>
      </c>
      <c r="BF436">
        <f t="shared" si="155"/>
        <v>-156.98671228057128</v>
      </c>
      <c r="BH436">
        <f t="shared" si="140"/>
        <v>-390.55382863083719</v>
      </c>
      <c r="BJ436">
        <f t="shared" si="141"/>
        <v>263.20386518895111</v>
      </c>
      <c r="BN436" s="20">
        <f t="shared" si="142"/>
        <v>-183.07443466489826</v>
      </c>
      <c r="BP436">
        <f t="shared" si="143"/>
        <v>217.57830039328687</v>
      </c>
      <c r="BR436">
        <f t="shared" si="144"/>
        <v>-28.341582870739558</v>
      </c>
      <c r="BT436">
        <f t="shared" si="145"/>
        <v>14.4768064973166</v>
      </c>
      <c r="BV436">
        <f t="shared" si="146"/>
        <v>-179.13781109519937</v>
      </c>
      <c r="BX436">
        <f t="shared" si="147"/>
        <v>31.148758298347655</v>
      </c>
      <c r="CB436">
        <f t="shared" si="148"/>
        <v>41099.526085468358</v>
      </c>
      <c r="CD436">
        <f t="shared" si="149"/>
        <v>74629.38214726506</v>
      </c>
      <c r="CF436">
        <f t="shared" si="150"/>
        <v>52233.20139750724</v>
      </c>
    </row>
    <row r="437" spans="12:84" x14ac:dyDescent="0.25">
      <c r="L437">
        <v>426</v>
      </c>
      <c r="M437">
        <f t="shared" si="162"/>
        <v>2.676636940858522</v>
      </c>
      <c r="P437">
        <f t="shared" si="156"/>
        <v>15530.79287924364</v>
      </c>
      <c r="Q437">
        <f t="shared" si="157"/>
        <v>9741.9160804500807</v>
      </c>
      <c r="V437">
        <f t="shared" si="158"/>
        <v>-23128.444984529451</v>
      </c>
      <c r="W437">
        <f t="shared" si="159"/>
        <v>11569.341256315056</v>
      </c>
      <c r="AB437">
        <f t="shared" si="160"/>
        <v>-9469.2071207563604</v>
      </c>
      <c r="AC437">
        <f t="shared" si="161"/>
        <v>-12758.083919549919</v>
      </c>
      <c r="AW437">
        <v>430</v>
      </c>
      <c r="AX437">
        <f t="shared" si="151"/>
        <v>215</v>
      </c>
      <c r="AZ437">
        <f t="shared" si="152"/>
        <v>49298.390514583669</v>
      </c>
      <c r="BB437">
        <f t="shared" si="153"/>
        <v>-23993.717303907233</v>
      </c>
      <c r="BD437">
        <f t="shared" si="154"/>
        <v>5577.0672450632992</v>
      </c>
      <c r="BF437">
        <f t="shared" si="155"/>
        <v>-25.384779686095726</v>
      </c>
      <c r="BH437">
        <f t="shared" si="140"/>
        <v>-367.26897663124464</v>
      </c>
      <c r="BJ437">
        <f t="shared" si="141"/>
        <v>231.4797965209635</v>
      </c>
      <c r="BN437" s="20">
        <f t="shared" si="142"/>
        <v>-178.11766112669378</v>
      </c>
      <c r="BP437">
        <f t="shared" si="143"/>
        <v>191.46400767526777</v>
      </c>
      <c r="BR437">
        <f t="shared" si="144"/>
        <v>-26.732946054421344</v>
      </c>
      <c r="BT437">
        <f t="shared" si="145"/>
        <v>13.113612078528099</v>
      </c>
      <c r="BV437">
        <f t="shared" si="146"/>
        <v>-162.41836945012955</v>
      </c>
      <c r="BX437">
        <f t="shared" si="147"/>
        <v>26.902176767167635</v>
      </c>
      <c r="CB437">
        <f t="shared" si="148"/>
        <v>43014.531455817021</v>
      </c>
      <c r="CD437">
        <f t="shared" si="149"/>
        <v>77187.043887233449</v>
      </c>
      <c r="CF437">
        <f t="shared" si="150"/>
        <v>55038.188227964318</v>
      </c>
    </row>
    <row r="438" spans="12:84" x14ac:dyDescent="0.25">
      <c r="L438">
        <v>427</v>
      </c>
      <c r="M438">
        <f t="shared" si="162"/>
        <v>2.6829201261657016</v>
      </c>
      <c r="P438">
        <f t="shared" si="156"/>
        <v>15516.79481607378</v>
      </c>
      <c r="Q438">
        <f t="shared" si="157"/>
        <v>9713.7911551944253</v>
      </c>
      <c r="V438">
        <f t="shared" si="158"/>
        <v>-23138.243628748354</v>
      </c>
      <c r="W438">
        <f t="shared" si="159"/>
        <v>11549.653808636098</v>
      </c>
      <c r="AB438">
        <f t="shared" si="160"/>
        <v>-9483.2051839262203</v>
      </c>
      <c r="AC438">
        <f t="shared" si="161"/>
        <v>-12786.208844805575</v>
      </c>
      <c r="AW438">
        <v>431</v>
      </c>
      <c r="AX438">
        <f t="shared" si="151"/>
        <v>215.5</v>
      </c>
      <c r="AZ438">
        <f t="shared" si="152"/>
        <v>52041.015515036415</v>
      </c>
      <c r="BB438">
        <f t="shared" si="153"/>
        <v>-23977.47471918516</v>
      </c>
      <c r="BD438">
        <f t="shared" si="154"/>
        <v>5393.4327567476766</v>
      </c>
      <c r="BF438">
        <f t="shared" si="155"/>
        <v>90.355118574386026</v>
      </c>
      <c r="BH438">
        <f t="shared" si="140"/>
        <v>-345.88905312857491</v>
      </c>
      <c r="BJ438">
        <f t="shared" si="141"/>
        <v>204.44459524228387</v>
      </c>
      <c r="BN438" s="20">
        <f t="shared" si="142"/>
        <v>-172.17998263462655</v>
      </c>
      <c r="BP438">
        <f t="shared" si="143"/>
        <v>169.15166274888392</v>
      </c>
      <c r="BR438">
        <f t="shared" si="144"/>
        <v>-25.309124784561575</v>
      </c>
      <c r="BT438">
        <f t="shared" si="145"/>
        <v>11.936813235963571</v>
      </c>
      <c r="BV438">
        <f t="shared" si="146"/>
        <v>-148.39994570938674</v>
      </c>
      <c r="BX438">
        <f t="shared" si="147"/>
        <v>23.356119257436387</v>
      </c>
      <c r="CB438">
        <f t="shared" si="148"/>
        <v>44916.122828353575</v>
      </c>
      <c r="CD438">
        <f t="shared" si="149"/>
        <v>79651.595745035665</v>
      </c>
      <c r="CF438">
        <f t="shared" si="150"/>
        <v>57743.159796812593</v>
      </c>
    </row>
    <row r="439" spans="12:84" x14ac:dyDescent="0.25">
      <c r="L439">
        <v>428</v>
      </c>
      <c r="M439">
        <f t="shared" si="162"/>
        <v>2.6892033114728813</v>
      </c>
      <c r="P439">
        <f t="shared" si="156"/>
        <v>15502.973742168106</v>
      </c>
      <c r="Q439">
        <f t="shared" si="157"/>
        <v>9685.5788332545817</v>
      </c>
      <c r="V439">
        <f t="shared" si="158"/>
        <v>-23147.918380482326</v>
      </c>
      <c r="W439">
        <f t="shared" si="159"/>
        <v>11529.905183278208</v>
      </c>
      <c r="AB439">
        <f t="shared" si="160"/>
        <v>-9497.0262578318943</v>
      </c>
      <c r="AC439">
        <f t="shared" si="161"/>
        <v>-12814.421166745418</v>
      </c>
      <c r="AW439">
        <v>432</v>
      </c>
      <c r="AX439">
        <f t="shared" si="151"/>
        <v>216</v>
      </c>
      <c r="AZ439">
        <f t="shared" si="152"/>
        <v>54694.495761769176</v>
      </c>
      <c r="BB439">
        <f t="shared" si="153"/>
        <v>-23906.74158549268</v>
      </c>
      <c r="BD439">
        <f t="shared" si="154"/>
        <v>5220.4882301833895</v>
      </c>
      <c r="BF439">
        <f t="shared" si="155"/>
        <v>192.57741619552797</v>
      </c>
      <c r="BH439">
        <f t="shared" si="140"/>
        <v>-326.30383589678246</v>
      </c>
      <c r="BJ439">
        <f t="shared" si="141"/>
        <v>181.33196819206853</v>
      </c>
      <c r="BN439" s="20">
        <f t="shared" si="142"/>
        <v>-165.76008600430885</v>
      </c>
      <c r="BP439">
        <f t="shared" si="143"/>
        <v>150.05216452988455</v>
      </c>
      <c r="BR439">
        <f t="shared" si="144"/>
        <v>-24.040044087455101</v>
      </c>
      <c r="BT439">
        <f t="shared" si="145"/>
        <v>10.912712566892958</v>
      </c>
      <c r="BV439">
        <f t="shared" si="146"/>
        <v>-136.50370580501851</v>
      </c>
      <c r="BX439">
        <f t="shared" si="147"/>
        <v>20.367091095291027</v>
      </c>
      <c r="CB439">
        <f t="shared" si="148"/>
        <v>46798.412934429034</v>
      </c>
      <c r="CD439">
        <f t="shared" si="149"/>
        <v>82030.084859460752</v>
      </c>
      <c r="CF439">
        <f t="shared" si="150"/>
        <v>60355.305234275991</v>
      </c>
    </row>
    <row r="440" spans="12:84" x14ac:dyDescent="0.25">
      <c r="L440">
        <v>429</v>
      </c>
      <c r="M440">
        <f t="shared" si="162"/>
        <v>2.6954864967800609</v>
      </c>
      <c r="P440">
        <f t="shared" si="156"/>
        <v>15489.330203158946</v>
      </c>
      <c r="Q440">
        <f t="shared" si="157"/>
        <v>9657.280228404712</v>
      </c>
      <c r="V440">
        <f t="shared" si="158"/>
        <v>-23157.468857788739</v>
      </c>
      <c r="W440">
        <f t="shared" si="159"/>
        <v>11510.096159883298</v>
      </c>
      <c r="AB440">
        <f t="shared" si="160"/>
        <v>-9510.6697968410535</v>
      </c>
      <c r="AC440">
        <f t="shared" si="161"/>
        <v>-12842.719771595288</v>
      </c>
      <c r="AW440">
        <v>433</v>
      </c>
      <c r="AX440">
        <f t="shared" si="151"/>
        <v>216.5</v>
      </c>
      <c r="AZ440">
        <f t="shared" si="152"/>
        <v>57263.951897373772</v>
      </c>
      <c r="BB440">
        <f t="shared" si="153"/>
        <v>-23787.786381370908</v>
      </c>
      <c r="BD440">
        <f t="shared" si="154"/>
        <v>5057.3363122349983</v>
      </c>
      <c r="BF440">
        <f t="shared" si="155"/>
        <v>283.24340029156224</v>
      </c>
      <c r="BH440">
        <f t="shared" si="140"/>
        <v>-308.38468394914065</v>
      </c>
      <c r="BJ440">
        <f t="shared" si="141"/>
        <v>161.49433998050452</v>
      </c>
      <c r="BN440" s="20">
        <f t="shared" si="142"/>
        <v>-159.18219211783855</v>
      </c>
      <c r="BP440">
        <f t="shared" si="143"/>
        <v>133.65352221411283</v>
      </c>
      <c r="BR440">
        <f t="shared" si="144"/>
        <v>-22.901812281169935</v>
      </c>
      <c r="BT440">
        <f t="shared" si="145"/>
        <v>10.015039641387128</v>
      </c>
      <c r="BV440">
        <f t="shared" si="146"/>
        <v>-126.30067955013217</v>
      </c>
      <c r="BX440">
        <f t="shared" si="147"/>
        <v>17.825778125004579</v>
      </c>
      <c r="CB440">
        <f t="shared" si="148"/>
        <v>48657.247020932911</v>
      </c>
      <c r="CD440">
        <f t="shared" si="149"/>
        <v>84328.718544472387</v>
      </c>
      <c r="CF440">
        <f t="shared" si="150"/>
        <v>62881.037645406926</v>
      </c>
    </row>
    <row r="441" spans="12:84" x14ac:dyDescent="0.25">
      <c r="L441">
        <v>430</v>
      </c>
      <c r="M441">
        <f t="shared" si="162"/>
        <v>2.7017696820872406</v>
      </c>
      <c r="P441">
        <f t="shared" si="156"/>
        <v>15475.864737669865</v>
      </c>
      <c r="Q441">
        <f t="shared" si="157"/>
        <v>9628.8964578252799</v>
      </c>
      <c r="V441">
        <f t="shared" si="158"/>
        <v>-23166.894683631097</v>
      </c>
      <c r="W441">
        <f t="shared" si="159"/>
        <v>11490.227520477696</v>
      </c>
      <c r="AB441">
        <f t="shared" si="160"/>
        <v>-9524.1352623301354</v>
      </c>
      <c r="AC441">
        <f t="shared" si="161"/>
        <v>-12871.10354217472</v>
      </c>
      <c r="AW441">
        <v>434</v>
      </c>
      <c r="AX441">
        <f t="shared" si="151"/>
        <v>217</v>
      </c>
      <c r="AZ441">
        <f t="shared" si="152"/>
        <v>59754.071967997632</v>
      </c>
      <c r="BB441">
        <f t="shared" si="153"/>
        <v>-23625.977888727564</v>
      </c>
      <c r="BD441">
        <f t="shared" si="154"/>
        <v>4903.1439702604284</v>
      </c>
      <c r="BF441">
        <f t="shared" si="155"/>
        <v>363.99057028181448</v>
      </c>
      <c r="BH441">
        <f t="shared" si="140"/>
        <v>-291.99532798922587</v>
      </c>
      <c r="BJ441">
        <f t="shared" si="141"/>
        <v>144.3926117856106</v>
      </c>
      <c r="BN441" s="20">
        <f t="shared" si="142"/>
        <v>-152.65287575245475</v>
      </c>
      <c r="BP441">
        <f t="shared" si="143"/>
        <v>119.52159364068559</v>
      </c>
      <c r="BR441">
        <f t="shared" si="144"/>
        <v>-21.875220673324069</v>
      </c>
      <c r="BT441">
        <f t="shared" si="145"/>
        <v>9.2230486609811049</v>
      </c>
      <c r="BV441">
        <f t="shared" si="146"/>
        <v>-117.46723156344709</v>
      </c>
      <c r="BX441">
        <f t="shared" si="147"/>
        <v>15.647969483943916</v>
      </c>
      <c r="CB441">
        <f t="shared" si="148"/>
        <v>50489.729030430462</v>
      </c>
      <c r="CD441">
        <f t="shared" si="149"/>
        <v>86552.980217030883</v>
      </c>
      <c r="CF441">
        <f t="shared" si="150"/>
        <v>65326.084613831204</v>
      </c>
    </row>
    <row r="442" spans="12:84" x14ac:dyDescent="0.25">
      <c r="L442">
        <v>431</v>
      </c>
      <c r="M442">
        <f t="shared" si="162"/>
        <v>2.7080528673944202</v>
      </c>
      <c r="P442">
        <f t="shared" si="156"/>
        <v>15462.577877294378</v>
      </c>
      <c r="Q442">
        <f t="shared" si="157"/>
        <v>9600.4286420589488</v>
      </c>
      <c r="V442">
        <f t="shared" si="158"/>
        <v>-23176.195485893935</v>
      </c>
      <c r="W442">
        <f t="shared" si="159"/>
        <v>11470.300049441263</v>
      </c>
      <c r="AB442">
        <f t="shared" si="160"/>
        <v>-9537.4221227056223</v>
      </c>
      <c r="AC442">
        <f t="shared" si="161"/>
        <v>-12899.571357941051</v>
      </c>
      <c r="AW442">
        <v>435</v>
      </c>
      <c r="AX442">
        <f t="shared" si="151"/>
        <v>217.5</v>
      </c>
      <c r="AZ442">
        <f t="shared" si="152"/>
        <v>62169.144537129192</v>
      </c>
      <c r="BB442">
        <f t="shared" si="153"/>
        <v>-23425.933527113455</v>
      </c>
      <c r="BD442">
        <f t="shared" si="154"/>
        <v>4757.1463062658158</v>
      </c>
      <c r="BF442">
        <f t="shared" si="155"/>
        <v>436.18687617461978</v>
      </c>
      <c r="BH442">
        <f t="shared" si="140"/>
        <v>-276.99986437801124</v>
      </c>
      <c r="BJ442">
        <f t="shared" si="141"/>
        <v>129.581460835239</v>
      </c>
      <c r="BN442" s="20">
        <f t="shared" si="142"/>
        <v>-146.29996478645577</v>
      </c>
      <c r="BP442">
        <f t="shared" si="143"/>
        <v>107.2932125056808</v>
      </c>
      <c r="BR442">
        <f t="shared" si="144"/>
        <v>-20.944655172656887</v>
      </c>
      <c r="BT442">
        <f t="shared" si="145"/>
        <v>8.5201647831832457</v>
      </c>
      <c r="BV442">
        <f t="shared" si="146"/>
        <v>-109.7552444188986</v>
      </c>
      <c r="BX442">
        <f t="shared" si="147"/>
        <v>13.768083546374955</v>
      </c>
      <c r="CB442">
        <f t="shared" si="148"/>
        <v>52293.882199706051</v>
      </c>
      <c r="CD442">
        <f t="shared" si="149"/>
        <v>88707.729911900213</v>
      </c>
      <c r="CF442">
        <f t="shared" si="150"/>
        <v>67695.571004705227</v>
      </c>
    </row>
    <row r="443" spans="12:84" x14ac:dyDescent="0.25">
      <c r="L443">
        <v>432</v>
      </c>
      <c r="M443">
        <f t="shared" si="162"/>
        <v>2.7143360527015998</v>
      </c>
      <c r="P443">
        <f t="shared" si="156"/>
        <v>15449.470146574982</v>
      </c>
      <c r="Q443">
        <f t="shared" si="157"/>
        <v>9571.8779049663372</v>
      </c>
      <c r="V443">
        <f t="shared" si="158"/>
        <v>-23185.370897397512</v>
      </c>
      <c r="W443">
        <f t="shared" si="159"/>
        <v>11450.314533476436</v>
      </c>
      <c r="AB443">
        <f t="shared" si="160"/>
        <v>-9550.5298534250178</v>
      </c>
      <c r="AC443">
        <f t="shared" si="161"/>
        <v>-12928.122095033663</v>
      </c>
      <c r="AW443">
        <v>436</v>
      </c>
      <c r="AX443">
        <f t="shared" si="151"/>
        <v>218</v>
      </c>
      <c r="AZ443">
        <f t="shared" si="152"/>
        <v>64513.092707214848</v>
      </c>
      <c r="BB443">
        <f t="shared" si="153"/>
        <v>-23191.642406421739</v>
      </c>
      <c r="BD443">
        <f t="shared" si="154"/>
        <v>4618.6463740768104</v>
      </c>
      <c r="BF443">
        <f t="shared" si="155"/>
        <v>500.97760659223928</v>
      </c>
      <c r="BH443">
        <f t="shared" si="140"/>
        <v>-263.26792524513991</v>
      </c>
      <c r="BJ443">
        <f t="shared" si="141"/>
        <v>116.69423935028846</v>
      </c>
      <c r="BN443" s="20">
        <f t="shared" si="142"/>
        <v>-140.19890770821939</v>
      </c>
      <c r="BP443">
        <f t="shared" si="143"/>
        <v>96.66672161950585</v>
      </c>
      <c r="BR443">
        <f t="shared" si="144"/>
        <v>-20.097295400365685</v>
      </c>
      <c r="BT443">
        <f t="shared" si="145"/>
        <v>7.8930047510640371</v>
      </c>
      <c r="BV443">
        <f t="shared" si="146"/>
        <v>-102.97172213655482</v>
      </c>
      <c r="BX443">
        <f t="shared" si="147"/>
        <v>12.134512979718567</v>
      </c>
      <c r="CB443">
        <f t="shared" si="148"/>
        <v>54068.404229871339</v>
      </c>
      <c r="CD443">
        <f t="shared" si="149"/>
        <v>90797.29051339619</v>
      </c>
      <c r="CF443">
        <f t="shared" si="150"/>
        <v>69994.093058175509</v>
      </c>
    </row>
    <row r="444" spans="12:84" x14ac:dyDescent="0.25">
      <c r="L444">
        <v>433</v>
      </c>
      <c r="M444">
        <f t="shared" si="162"/>
        <v>2.7206192380087795</v>
      </c>
      <c r="P444">
        <f t="shared" si="156"/>
        <v>15436.542062982448</v>
      </c>
      <c r="Q444">
        <f t="shared" si="157"/>
        <v>9543.2453736816606</v>
      </c>
      <c r="V444">
        <f t="shared" si="158"/>
        <v>-23194.420555912286</v>
      </c>
      <c r="W444">
        <f t="shared" si="159"/>
        <v>11430.271761577162</v>
      </c>
      <c r="AB444">
        <f t="shared" si="160"/>
        <v>-9563.4579370175525</v>
      </c>
      <c r="AC444">
        <f t="shared" si="161"/>
        <v>-12956.754626318339</v>
      </c>
      <c r="AW444">
        <v>437</v>
      </c>
      <c r="AX444">
        <f t="shared" si="151"/>
        <v>218.5</v>
      </c>
      <c r="AZ444">
        <f t="shared" si="152"/>
        <v>66789.507403597614</v>
      </c>
      <c r="BB444">
        <f t="shared" si="153"/>
        <v>-22926.566823206831</v>
      </c>
      <c r="BD444">
        <f t="shared" si="154"/>
        <v>4487.0124114542405</v>
      </c>
      <c r="BF444">
        <f t="shared" si="155"/>
        <v>559.32472626738354</v>
      </c>
      <c r="BH444">
        <f t="shared" si="140"/>
        <v>-250.67763539074471</v>
      </c>
      <c r="BJ444">
        <f t="shared" si="141"/>
        <v>105.42921420606795</v>
      </c>
      <c r="BN444" s="20">
        <f t="shared" si="142"/>
        <v>-134.39055451651996</v>
      </c>
      <c r="BP444">
        <f t="shared" si="143"/>
        <v>87.392311103713638</v>
      </c>
      <c r="BR444">
        <f t="shared" si="144"/>
        <v>-19.322517414918096</v>
      </c>
      <c r="BT444">
        <f t="shared" si="145"/>
        <v>7.3306575862476375</v>
      </c>
      <c r="BV444">
        <f t="shared" si="146"/>
        <v>-96.964563459306675</v>
      </c>
      <c r="BX444">
        <f t="shared" si="147"/>
        <v>10.706245516106671</v>
      </c>
      <c r="CB444">
        <f t="shared" si="148"/>
        <v>55812.489388293608</v>
      </c>
      <c r="CD444">
        <f t="shared" si="149"/>
        <v>92825.521265017582</v>
      </c>
      <c r="CF444">
        <f t="shared" si="150"/>
        <v>72225.783726131762</v>
      </c>
    </row>
    <row r="445" spans="12:84" x14ac:dyDescent="0.25">
      <c r="L445">
        <v>434</v>
      </c>
      <c r="M445">
        <f t="shared" si="162"/>
        <v>2.7269024233159591</v>
      </c>
      <c r="P445">
        <f t="shared" si="156"/>
        <v>15423.794136895374</v>
      </c>
      <c r="Q445">
        <f t="shared" si="157"/>
        <v>9514.5321785682281</v>
      </c>
      <c r="V445">
        <f t="shared" si="158"/>
        <v>-23203.344104173237</v>
      </c>
      <c r="W445">
        <f t="shared" si="159"/>
        <v>11410.172524997761</v>
      </c>
      <c r="AB445">
        <f t="shared" si="160"/>
        <v>-9576.2058631046257</v>
      </c>
      <c r="AC445">
        <f t="shared" si="161"/>
        <v>-12985.467821431772</v>
      </c>
      <c r="AW445">
        <v>438</v>
      </c>
      <c r="AX445">
        <f t="shared" si="151"/>
        <v>219</v>
      </c>
      <c r="AZ445">
        <f t="shared" si="152"/>
        <v>69001.67890490088</v>
      </c>
      <c r="BB445">
        <f t="shared" si="153"/>
        <v>-22633.725808297382</v>
      </c>
      <c r="BD445">
        <f t="shared" si="154"/>
        <v>4361.6735937588683</v>
      </c>
      <c r="BF445">
        <f t="shared" si="155"/>
        <v>612.03933337041747</v>
      </c>
      <c r="BH445">
        <f t="shared" si="140"/>
        <v>-239.11701917186747</v>
      </c>
      <c r="BJ445">
        <f t="shared" si="141"/>
        <v>95.537733389302119</v>
      </c>
      <c r="BN445" s="20">
        <f t="shared" si="142"/>
        <v>-128.89311593704306</v>
      </c>
      <c r="BP445">
        <f t="shared" si="143"/>
        <v>79.263198752063204</v>
      </c>
      <c r="BR445">
        <f t="shared" si="144"/>
        <v>-18.611442659744757</v>
      </c>
      <c r="BT445">
        <f t="shared" si="145"/>
        <v>6.8241489837953484</v>
      </c>
      <c r="BV445">
        <f t="shared" si="146"/>
        <v>-91.612460575079652</v>
      </c>
      <c r="BX445">
        <f t="shared" si="147"/>
        <v>9.4503856534435577</v>
      </c>
      <c r="CB445">
        <f t="shared" si="148"/>
        <v>57525.698314654604</v>
      </c>
      <c r="CD445">
        <f t="shared" si="149"/>
        <v>94795.880227055299</v>
      </c>
      <c r="CF445">
        <f t="shared" si="150"/>
        <v>74394.369749735211</v>
      </c>
    </row>
    <row r="446" spans="12:84" x14ac:dyDescent="0.25">
      <c r="L446">
        <v>435</v>
      </c>
      <c r="M446">
        <f t="shared" si="162"/>
        <v>2.7331856086231388</v>
      </c>
      <c r="P446">
        <f t="shared" si="156"/>
        <v>15411.226871580056</v>
      </c>
      <c r="Q446">
        <f t="shared" si="157"/>
        <v>9485.7394531738173</v>
      </c>
      <c r="V446">
        <f t="shared" si="158"/>
        <v>-23212.141189893959</v>
      </c>
      <c r="W446">
        <f t="shared" si="159"/>
        <v>11390.017617221672</v>
      </c>
      <c r="AB446">
        <f t="shared" si="160"/>
        <v>-9588.7731284199435</v>
      </c>
      <c r="AC446">
        <f t="shared" si="161"/>
        <v>-13014.260546826183</v>
      </c>
      <c r="AW446">
        <v>439</v>
      </c>
      <c r="AX446">
        <f t="shared" si="151"/>
        <v>219.5</v>
      </c>
      <c r="AZ446">
        <f t="shared" si="152"/>
        <v>71152.626074383836</v>
      </c>
      <c r="BB446">
        <f t="shared" si="153"/>
        <v>-22315.76392493851</v>
      </c>
      <c r="BD446">
        <f t="shared" si="154"/>
        <v>4242.1150841729341</v>
      </c>
      <c r="BF446">
        <f t="shared" si="155"/>
        <v>659.80820006506849</v>
      </c>
      <c r="BH446">
        <f t="shared" si="140"/>
        <v>-228.48439744756325</v>
      </c>
      <c r="BJ446">
        <f t="shared" si="141"/>
        <v>86.814363540805886</v>
      </c>
      <c r="BN446" s="20">
        <f t="shared" si="142"/>
        <v>-123.71019484066068</v>
      </c>
      <c r="BP446">
        <f t="shared" si="143"/>
        <v>72.108007888267835</v>
      </c>
      <c r="BR446">
        <f t="shared" si="144"/>
        <v>-17.956593313657322</v>
      </c>
      <c r="BT446">
        <f t="shared" si="145"/>
        <v>6.3660374408385012</v>
      </c>
      <c r="BV446">
        <f t="shared" si="146"/>
        <v>-86.817609293245269</v>
      </c>
      <c r="BX446">
        <f t="shared" si="147"/>
        <v>8.3403182116995573</v>
      </c>
      <c r="CB446">
        <f t="shared" si="148"/>
        <v>59207.862085481502</v>
      </c>
      <c r="CD446">
        <f t="shared" si="149"/>
        <v>96711.477283251123</v>
      </c>
      <c r="CF446">
        <f t="shared" si="150"/>
        <v>76503.221238261307</v>
      </c>
    </row>
    <row r="447" spans="12:84" x14ac:dyDescent="0.25">
      <c r="L447">
        <v>436</v>
      </c>
      <c r="M447">
        <f t="shared" si="162"/>
        <v>2.7394687939303184</v>
      </c>
      <c r="P447">
        <f t="shared" si="156"/>
        <v>15398.840763170612</v>
      </c>
      <c r="Q447">
        <f t="shared" si="157"/>
        <v>9456.8683341859269</v>
      </c>
      <c r="V447">
        <f t="shared" si="158"/>
        <v>-23220.811465780571</v>
      </c>
      <c r="W447">
        <f t="shared" si="159"/>
        <v>11369.807833930148</v>
      </c>
      <c r="AB447">
        <f t="shared" si="160"/>
        <v>-9601.1592368293877</v>
      </c>
      <c r="AC447">
        <f t="shared" si="161"/>
        <v>-13043.131665814073</v>
      </c>
      <c r="AW447">
        <v>440</v>
      </c>
      <c r="AX447">
        <f t="shared" si="151"/>
        <v>220</v>
      </c>
      <c r="AZ447">
        <f t="shared" si="152"/>
        <v>73245.123066789354</v>
      </c>
      <c r="BB447">
        <f t="shared" si="153"/>
        <v>-21975.008029463374</v>
      </c>
      <c r="BD447">
        <f t="shared" si="154"/>
        <v>4127.8728854491528</v>
      </c>
      <c r="BF447">
        <f t="shared" si="155"/>
        <v>703.21538183547148</v>
      </c>
      <c r="BH447">
        <f t="shared" si="140"/>
        <v>-218.68816691655121</v>
      </c>
      <c r="BJ447">
        <f t="shared" si="141"/>
        <v>79.088814325929917</v>
      </c>
      <c r="BN447" s="20">
        <f t="shared" si="142"/>
        <v>-118.83617187193924</v>
      </c>
      <c r="BP447">
        <f t="shared" si="143"/>
        <v>65.784374574970983</v>
      </c>
      <c r="BR447">
        <f t="shared" si="144"/>
        <v>-17.351626039175621</v>
      </c>
      <c r="BT447">
        <f t="shared" si="145"/>
        <v>5.950106168335286</v>
      </c>
      <c r="BV447">
        <f t="shared" si="146"/>
        <v>-82.50036900543634</v>
      </c>
      <c r="BX447">
        <f t="shared" si="147"/>
        <v>7.3543335826236556</v>
      </c>
      <c r="CB447">
        <f t="shared" si="148"/>
        <v>60859.011072596921</v>
      </c>
      <c r="CD447">
        <f t="shared" si="149"/>
        <v>98575.119143853633</v>
      </c>
      <c r="CF447">
        <f t="shared" si="150"/>
        <v>78555.394599913314</v>
      </c>
    </row>
    <row r="448" spans="12:84" x14ac:dyDescent="0.25">
      <c r="L448">
        <v>437</v>
      </c>
      <c r="M448">
        <f t="shared" si="162"/>
        <v>2.745751979237498</v>
      </c>
      <c r="P448">
        <f t="shared" si="156"/>
        <v>15386.636300649388</v>
      </c>
      <c r="Q448">
        <f t="shared" si="157"/>
        <v>9427.9199613868968</v>
      </c>
      <c r="V448">
        <f t="shared" si="158"/>
        <v>-23229.354589545426</v>
      </c>
      <c r="W448">
        <f t="shared" si="159"/>
        <v>11349.543972970827</v>
      </c>
      <c r="AB448">
        <f t="shared" si="160"/>
        <v>-9613.3636993506116</v>
      </c>
      <c r="AC448">
        <f t="shared" si="161"/>
        <v>-13072.080038613103</v>
      </c>
      <c r="AW448">
        <v>441</v>
      </c>
      <c r="AX448">
        <f t="shared" si="151"/>
        <v>220.5</v>
      </c>
      <c r="AZ448">
        <f t="shared" si="152"/>
        <v>75281.723488649353</v>
      </c>
      <c r="BB448">
        <f t="shared" si="153"/>
        <v>-21613.514236754898</v>
      </c>
      <c r="BD448">
        <f t="shared" si="154"/>
        <v>4018.5288019908771</v>
      </c>
      <c r="BF448">
        <f t="shared" si="155"/>
        <v>742.75978899843642</v>
      </c>
      <c r="BH448">
        <f t="shared" si="140"/>
        <v>-209.64622942276313</v>
      </c>
      <c r="BJ448">
        <f t="shared" si="141"/>
        <v>72.219390674791967</v>
      </c>
      <c r="BN448" s="20">
        <f t="shared" si="142"/>
        <v>-114.25980842794149</v>
      </c>
      <c r="BP448">
        <f t="shared" si="143"/>
        <v>60.173676749401125</v>
      </c>
      <c r="BR448">
        <f t="shared" si="144"/>
        <v>-16.791124177695075</v>
      </c>
      <c r="BT448">
        <f t="shared" si="145"/>
        <v>5.5711255402083335</v>
      </c>
      <c r="BV448">
        <f t="shared" si="146"/>
        <v>-78.595296817126552</v>
      </c>
      <c r="BX448">
        <f t="shared" si="147"/>
        <v>6.4745883851825141</v>
      </c>
      <c r="CB448">
        <f t="shared" si="148"/>
        <v>62479.321884037883</v>
      </c>
      <c r="CD448">
        <f t="shared" si="149"/>
        <v>100389.34760902144</v>
      </c>
      <c r="CF448">
        <f t="shared" si="150"/>
        <v>80553.669667295195</v>
      </c>
    </row>
    <row r="449" spans="12:84" x14ac:dyDescent="0.25">
      <c r="L449">
        <v>438</v>
      </c>
      <c r="M449">
        <f t="shared" si="162"/>
        <v>2.7520351645446777</v>
      </c>
      <c r="P449">
        <f t="shared" si="156"/>
        <v>15374.613965827673</v>
      </c>
      <c r="Q449">
        <f t="shared" si="157"/>
        <v>9398.8954776089195</v>
      </c>
      <c r="V449">
        <f t="shared" si="158"/>
        <v>-23237.770223920626</v>
      </c>
      <c r="W449">
        <f t="shared" si="159"/>
        <v>11329.226834326244</v>
      </c>
      <c r="AB449">
        <f t="shared" si="160"/>
        <v>-9625.3860341723266</v>
      </c>
      <c r="AC449">
        <f t="shared" si="161"/>
        <v>-13101.104522391081</v>
      </c>
      <c r="AW449">
        <v>442</v>
      </c>
      <c r="AX449">
        <f t="shared" si="151"/>
        <v>221</v>
      </c>
      <c r="AZ449">
        <f t="shared" si="152"/>
        <v>77264.782110966946</v>
      </c>
      <c r="BB449">
        <f t="shared" si="153"/>
        <v>-21233.10691842133</v>
      </c>
      <c r="BD449">
        <f t="shared" si="154"/>
        <v>3913.7056872794956</v>
      </c>
      <c r="BF449">
        <f t="shared" si="155"/>
        <v>778.86948433583245</v>
      </c>
      <c r="BH449">
        <f t="shared" si="140"/>
        <v>-201.28524589187279</v>
      </c>
      <c r="BJ449">
        <f t="shared" si="141"/>
        <v>66.087710492795452</v>
      </c>
      <c r="BN449" s="20">
        <f t="shared" si="142"/>
        <v>-109.96664720346962</v>
      </c>
      <c r="BP449">
        <f t="shared" si="143"/>
        <v>55.176730183567578</v>
      </c>
      <c r="BR449">
        <f t="shared" si="144"/>
        <v>-16.270434002449676</v>
      </c>
      <c r="BT449">
        <f t="shared" si="145"/>
        <v>5.2246681047191696</v>
      </c>
      <c r="BV449">
        <f t="shared" si="146"/>
        <v>-75.048164685953495</v>
      </c>
      <c r="BX449">
        <f t="shared" si="147"/>
        <v>5.686312204508698</v>
      </c>
      <c r="CB449">
        <f t="shared" si="148"/>
        <v>64069.077591315079</v>
      </c>
      <c r="CD449">
        <f t="shared" si="149"/>
        <v>102156.47217318839</v>
      </c>
      <c r="CF449">
        <f t="shared" si="150"/>
        <v>82500.581801714216</v>
      </c>
    </row>
    <row r="450" spans="12:84" x14ac:dyDescent="0.25">
      <c r="L450">
        <v>439</v>
      </c>
      <c r="M450">
        <f t="shared" si="162"/>
        <v>2.7583183498518573</v>
      </c>
      <c r="P450">
        <f t="shared" si="156"/>
        <v>15362.774233326658</v>
      </c>
      <c r="Q450">
        <f t="shared" si="157"/>
        <v>9369.7960286889138</v>
      </c>
      <c r="V450">
        <f t="shared" si="158"/>
        <v>-23246.05803667134</v>
      </c>
      <c r="W450">
        <f t="shared" si="159"/>
        <v>11308.85722008224</v>
      </c>
      <c r="AB450">
        <f t="shared" si="160"/>
        <v>-9637.2257666733422</v>
      </c>
      <c r="AC450">
        <f t="shared" si="161"/>
        <v>-13130.203971311086</v>
      </c>
      <c r="AW450">
        <v>443</v>
      </c>
      <c r="AX450">
        <f t="shared" si="151"/>
        <v>221.5</v>
      </c>
      <c r="AZ450">
        <f t="shared" si="152"/>
        <v>79196.474298870206</v>
      </c>
      <c r="BB450">
        <f t="shared" si="153"/>
        <v>-20835.411212441813</v>
      </c>
      <c r="BD450">
        <f t="shared" si="154"/>
        <v>3813.0630643335594</v>
      </c>
      <c r="BF450">
        <f t="shared" si="155"/>
        <v>811.91333958223015</v>
      </c>
      <c r="BH450">
        <f t="shared" si="140"/>
        <v>-193.53982464095466</v>
      </c>
      <c r="BJ450">
        <f t="shared" si="141"/>
        <v>60.594451587862686</v>
      </c>
      <c r="BN450" s="20">
        <f t="shared" si="142"/>
        <v>-105.94060061456939</v>
      </c>
      <c r="BP450">
        <f t="shared" si="143"/>
        <v>50.710291754050999</v>
      </c>
      <c r="BR450">
        <f t="shared" si="144"/>
        <v>-15.785534530050294</v>
      </c>
      <c r="BT450">
        <f t="shared" si="145"/>
        <v>4.90696319483851</v>
      </c>
      <c r="BV450">
        <f t="shared" si="146"/>
        <v>-71.813689496334973</v>
      </c>
      <c r="BX450">
        <f t="shared" si="147"/>
        <v>4.9771966389731741</v>
      </c>
      <c r="CB450">
        <f t="shared" si="148"/>
        <v>65628.637788658802</v>
      </c>
      <c r="CD450">
        <f t="shared" si="149"/>
        <v>103878.59788217591</v>
      </c>
      <c r="CF450">
        <f t="shared" si="150"/>
        <v>84398.449679947342</v>
      </c>
    </row>
    <row r="451" spans="12:84" x14ac:dyDescent="0.25">
      <c r="L451">
        <v>440</v>
      </c>
      <c r="M451">
        <f t="shared" si="162"/>
        <v>2.7646015351590369</v>
      </c>
      <c r="P451">
        <f t="shared" si="156"/>
        <v>15351.117570558708</v>
      </c>
      <c r="Q451">
        <f t="shared" si="157"/>
        <v>9340.6227634233019</v>
      </c>
      <c r="V451">
        <f t="shared" si="158"/>
        <v>-23254.217700608904</v>
      </c>
      <c r="W451">
        <f t="shared" si="159"/>
        <v>11288.435934396311</v>
      </c>
      <c r="AB451">
        <f t="shared" si="160"/>
        <v>-9648.8824294412916</v>
      </c>
      <c r="AC451">
        <f t="shared" si="161"/>
        <v>-13159.377236576698</v>
      </c>
      <c r="AW451">
        <v>444</v>
      </c>
      <c r="AX451">
        <f t="shared" si="151"/>
        <v>222</v>
      </c>
      <c r="AZ451">
        <f t="shared" si="152"/>
        <v>81078.813352956859</v>
      </c>
      <c r="BB451">
        <f t="shared" si="153"/>
        <v>-20421.880236202218</v>
      </c>
      <c r="BD451">
        <f t="shared" si="154"/>
        <v>3716.2931520130819</v>
      </c>
      <c r="BF451">
        <f t="shared" si="155"/>
        <v>842.21056537616153</v>
      </c>
      <c r="BH451">
        <f t="shared" si="140"/>
        <v>-186.35171018239399</v>
      </c>
      <c r="BJ451">
        <f t="shared" si="141"/>
        <v>55.65592701786106</v>
      </c>
      <c r="BN451" s="20">
        <f t="shared" si="142"/>
        <v>-102.16499019759081</v>
      </c>
      <c r="BP451">
        <f t="shared" si="143"/>
        <v>46.704224657170855</v>
      </c>
      <c r="BR451">
        <f t="shared" si="144"/>
        <v>-15.332933144642386</v>
      </c>
      <c r="BT451">
        <f t="shared" si="145"/>
        <v>4.6147816770185779</v>
      </c>
      <c r="BV451">
        <f t="shared" si="146"/>
        <v>-68.853786840160794</v>
      </c>
      <c r="BX451">
        <f t="shared" si="147"/>
        <v>4.3369206836716288</v>
      </c>
      <c r="CB451">
        <f t="shared" si="148"/>
        <v>67158.415976928474</v>
      </c>
      <c r="CD451">
        <f t="shared" si="149"/>
        <v>105557.64920624049</v>
      </c>
      <c r="CF451">
        <f t="shared" si="150"/>
        <v>86249.39938080094</v>
      </c>
    </row>
    <row r="452" spans="12:84" x14ac:dyDescent="0.25">
      <c r="L452">
        <v>441</v>
      </c>
      <c r="M452">
        <f t="shared" si="162"/>
        <v>2.7708847204662166</v>
      </c>
      <c r="P452">
        <f t="shared" si="156"/>
        <v>15339.64443770891</v>
      </c>
      <c r="Q452">
        <f t="shared" si="157"/>
        <v>9311.3768335226396</v>
      </c>
      <c r="V452">
        <f t="shared" si="158"/>
        <v>-23262.248893603763</v>
      </c>
      <c r="W452">
        <f t="shared" si="159"/>
        <v>11267.963783465848</v>
      </c>
      <c r="AB452">
        <f t="shared" si="160"/>
        <v>-9660.3555622910899</v>
      </c>
      <c r="AC452">
        <f t="shared" si="161"/>
        <v>-13188.62316647736</v>
      </c>
      <c r="AW452">
        <v>445</v>
      </c>
      <c r="AX452">
        <f t="shared" si="151"/>
        <v>222.5</v>
      </c>
      <c r="AZ452">
        <f t="shared" si="152"/>
        <v>82913.665965190608</v>
      </c>
      <c r="BB452">
        <f t="shared" si="153"/>
        <v>-19993.817962636906</v>
      </c>
      <c r="BD452">
        <f t="shared" si="154"/>
        <v>3623.1172969218851</v>
      </c>
      <c r="BF452">
        <f t="shared" si="155"/>
        <v>870.03852888509209</v>
      </c>
      <c r="BH452">
        <f t="shared" si="140"/>
        <v>-179.66901015443631</v>
      </c>
      <c r="BJ452">
        <f t="shared" si="141"/>
        <v>51.201323531948489</v>
      </c>
      <c r="BN452" s="20">
        <f t="shared" si="142"/>
        <v>-98.623214806526832</v>
      </c>
      <c r="BP452">
        <f t="shared" si="143"/>
        <v>43.099200677336817</v>
      </c>
      <c r="BR452">
        <f t="shared" si="144"/>
        <v>-14.909581260043865</v>
      </c>
      <c r="BT452">
        <f t="shared" si="145"/>
        <v>4.3453438570943241</v>
      </c>
      <c r="BV452">
        <f t="shared" si="146"/>
        <v>-66.136214087865625</v>
      </c>
      <c r="BX452">
        <f t="shared" si="147"/>
        <v>3.7567789975173431</v>
      </c>
      <c r="CB452">
        <f t="shared" si="148"/>
        <v>68658.862438451455</v>
      </c>
      <c r="CD452">
        <f t="shared" si="149"/>
        <v>107195.39056494282</v>
      </c>
      <c r="CF452">
        <f t="shared" si="150"/>
        <v>88055.385305403484</v>
      </c>
    </row>
    <row r="453" spans="12:84" x14ac:dyDescent="0.25">
      <c r="L453">
        <v>442</v>
      </c>
      <c r="M453">
        <f t="shared" si="162"/>
        <v>2.7771679057733962</v>
      </c>
      <c r="P453">
        <f t="shared" si="156"/>
        <v>15328.355287716906</v>
      </c>
      <c r="Q453">
        <f t="shared" si="157"/>
        <v>9282.0593935661655</v>
      </c>
      <c r="V453">
        <f t="shared" si="158"/>
        <v>-23270.151298598164</v>
      </c>
      <c r="W453">
        <f t="shared" si="159"/>
        <v>11247.441575496316</v>
      </c>
      <c r="AB453">
        <f t="shared" si="160"/>
        <v>-9671.6447122830941</v>
      </c>
      <c r="AC453">
        <f t="shared" si="161"/>
        <v>-13217.940606433835</v>
      </c>
      <c r="AW453">
        <v>446</v>
      </c>
      <c r="AX453">
        <f t="shared" si="151"/>
        <v>223</v>
      </c>
      <c r="AZ453">
        <f t="shared" si="152"/>
        <v>84702.765987382241</v>
      </c>
      <c r="BB453">
        <f t="shared" si="153"/>
        <v>-19552.398532752868</v>
      </c>
      <c r="BD453">
        <f t="shared" si="154"/>
        <v>3533.2827918446669</v>
      </c>
      <c r="BF453">
        <f t="shared" si="155"/>
        <v>895.63919065106631</v>
      </c>
      <c r="BH453">
        <f t="shared" si="140"/>
        <v>-173.44547985819196</v>
      </c>
      <c r="BJ453">
        <f t="shared" si="141"/>
        <v>47.170469465640906</v>
      </c>
      <c r="BN453" s="20">
        <f t="shared" si="142"/>
        <v>-95.299168141015912</v>
      </c>
      <c r="BP453">
        <f t="shared" si="143"/>
        <v>39.844835642626784</v>
      </c>
      <c r="BR453">
        <f t="shared" si="144"/>
        <v>-14.512805672152604</v>
      </c>
      <c r="BT453">
        <f t="shared" si="145"/>
        <v>4.0962453380031576</v>
      </c>
      <c r="BV453">
        <f t="shared" si="146"/>
        <v>-63.633506045023431</v>
      </c>
      <c r="BX453">
        <f t="shared" si="147"/>
        <v>3.2293884850109649</v>
      </c>
      <c r="CB453">
        <f t="shared" si="148"/>
        <v>70130.451251883715</v>
      </c>
      <c r="CD453">
        <f t="shared" si="149"/>
        <v>108793.4440324746</v>
      </c>
      <c r="CF453">
        <f t="shared" si="150"/>
        <v>89818.208388878877</v>
      </c>
    </row>
    <row r="454" spans="12:84" x14ac:dyDescent="0.25">
      <c r="L454">
        <v>443</v>
      </c>
      <c r="M454">
        <f t="shared" si="162"/>
        <v>2.7834510910805759</v>
      </c>
      <c r="P454">
        <f t="shared" si="156"/>
        <v>15317.250566259005</v>
      </c>
      <c r="Q454">
        <f t="shared" si="157"/>
        <v>9252.671600956206</v>
      </c>
      <c r="V454">
        <f t="shared" si="158"/>
        <v>-23277.924603618696</v>
      </c>
      <c r="W454">
        <f t="shared" si="159"/>
        <v>11226.870120669344</v>
      </c>
      <c r="AB454">
        <f t="shared" si="160"/>
        <v>-9682.7494337409953</v>
      </c>
      <c r="AC454">
        <f t="shared" si="161"/>
        <v>-13247.328399043794</v>
      </c>
      <c r="AW454">
        <v>447</v>
      </c>
      <c r="AX454">
        <f t="shared" si="151"/>
        <v>223.5</v>
      </c>
      <c r="AZ454">
        <f t="shared" si="152"/>
        <v>86447.726698322294</v>
      </c>
      <c r="BB454">
        <f t="shared" si="153"/>
        <v>-19098.682628744129</v>
      </c>
      <c r="BD454">
        <f t="shared" si="154"/>
        <v>3446.560051915571</v>
      </c>
      <c r="BF454">
        <f t="shared" si="155"/>
        <v>919.2244253838868</v>
      </c>
      <c r="BH454">
        <f t="shared" si="140"/>
        <v>-167.63987261019506</v>
      </c>
      <c r="BJ454">
        <f t="shared" si="141"/>
        <v>43.512025212891928</v>
      </c>
      <c r="BN454" s="20">
        <f t="shared" si="142"/>
        <v>-92.177487525046132</v>
      </c>
      <c r="BP454">
        <f t="shared" si="143"/>
        <v>36.898173316373629</v>
      </c>
      <c r="BR454">
        <f t="shared" si="144"/>
        <v>-14.140252297590754</v>
      </c>
      <c r="BT454">
        <f t="shared" si="145"/>
        <v>3.8653969103921533</v>
      </c>
      <c r="BV454">
        <f t="shared" si="146"/>
        <v>-61.322132787558182</v>
      </c>
      <c r="BX454">
        <f t="shared" si="147"/>
        <v>2.7484549861261516</v>
      </c>
      <c r="CB454">
        <f t="shared" si="148"/>
        <v>71573.670444930991</v>
      </c>
      <c r="CD454">
        <f t="shared" si="149"/>
        <v>110353.30466265653</v>
      </c>
      <c r="CF454">
        <f t="shared" si="150"/>
        <v>91539.531993462893</v>
      </c>
    </row>
    <row r="455" spans="12:84" x14ac:dyDescent="0.25">
      <c r="L455">
        <v>444</v>
      </c>
      <c r="M455">
        <f t="shared" si="162"/>
        <v>2.7897342763877555</v>
      </c>
      <c r="P455">
        <f t="shared" si="156"/>
        <v>15306.330711730596</v>
      </c>
      <c r="Q455">
        <f t="shared" si="157"/>
        <v>9223.2146158724954</v>
      </c>
      <c r="V455">
        <f t="shared" si="158"/>
        <v>-23285.568501788581</v>
      </c>
      <c r="W455">
        <f t="shared" si="159"/>
        <v>11206.250231110747</v>
      </c>
      <c r="AB455">
        <f t="shared" si="160"/>
        <v>-9693.6692882694042</v>
      </c>
      <c r="AC455">
        <f t="shared" si="161"/>
        <v>-13276.785384127505</v>
      </c>
      <c r="AW455">
        <v>448</v>
      </c>
      <c r="AX455">
        <f t="shared" si="151"/>
        <v>224</v>
      </c>
      <c r="AZ455">
        <f t="shared" si="152"/>
        <v>88150.051740203809</v>
      </c>
      <c r="BB455">
        <f t="shared" si="153"/>
        <v>-18633.631412900573</v>
      </c>
      <c r="BD455">
        <f t="shared" si="154"/>
        <v>3362.7401156104734</v>
      </c>
      <c r="BF455">
        <f t="shared" si="155"/>
        <v>940.9804379903328</v>
      </c>
      <c r="BH455">
        <f t="shared" si="140"/>
        <v>-162.21535734440138</v>
      </c>
      <c r="BJ455">
        <f t="shared" si="141"/>
        <v>40.182011309055767</v>
      </c>
      <c r="BN455" s="20">
        <f t="shared" si="142"/>
        <v>-89.243689737242079</v>
      </c>
      <c r="BP455">
        <f t="shared" si="143"/>
        <v>34.222449344737171</v>
      </c>
      <c r="BR455">
        <f t="shared" si="144"/>
        <v>-13.789839765468885</v>
      </c>
      <c r="BT455">
        <f t="shared" si="145"/>
        <v>3.6509754987071554</v>
      </c>
      <c r="BV455">
        <f t="shared" si="146"/>
        <v>-59.181827841690421</v>
      </c>
      <c r="BX455">
        <f t="shared" si="147"/>
        <v>2.3085864656114419</v>
      </c>
      <c r="CB455">
        <f t="shared" si="148"/>
        <v>72989.014536557486</v>
      </c>
      <c r="CD455">
        <f t="shared" si="149"/>
        <v>111876.35379873001</v>
      </c>
      <c r="CF455">
        <f t="shared" si="150"/>
        <v>93220.895814444215</v>
      </c>
    </row>
    <row r="456" spans="12:84" x14ac:dyDescent="0.25">
      <c r="L456">
        <v>445</v>
      </c>
      <c r="M456">
        <f t="shared" si="162"/>
        <v>2.7960174616949351</v>
      </c>
      <c r="P456">
        <f t="shared" si="156"/>
        <v>15295.596155228839</v>
      </c>
      <c r="Q456">
        <f t="shared" si="157"/>
        <v>9193.689601226366</v>
      </c>
      <c r="V456">
        <f t="shared" si="158"/>
        <v>-23293.082691339812</v>
      </c>
      <c r="W456">
        <f t="shared" si="159"/>
        <v>11185.582720858456</v>
      </c>
      <c r="AB456">
        <f t="shared" si="160"/>
        <v>-9704.4038447711609</v>
      </c>
      <c r="AC456">
        <f t="shared" si="161"/>
        <v>-13306.310398773634</v>
      </c>
      <c r="AW456">
        <v>449</v>
      </c>
      <c r="AX456">
        <f t="shared" si="151"/>
        <v>224.5</v>
      </c>
      <c r="AZ456">
        <f t="shared" si="152"/>
        <v>89811.144878341001</v>
      </c>
      <c r="BB456">
        <f t="shared" si="153"/>
        <v>-18158.118442491774</v>
      </c>
      <c r="BD456">
        <f t="shared" si="154"/>
        <v>3281.6324369382728</v>
      </c>
      <c r="BF456">
        <f t="shared" si="155"/>
        <v>961.07144364486066</v>
      </c>
      <c r="BH456">
        <f t="shared" ref="BH456:BH519" si="163">BN456+BR456+BV456</f>
        <v>-157.13900101077292</v>
      </c>
      <c r="BJ456">
        <f t="shared" ref="BJ456:BJ519" si="164">SUM(BP456,BT456,BX456)</f>
        <v>37.142606770376396</v>
      </c>
      <c r="BN456" s="20">
        <f t="shared" ref="BN456:BN519" si="165">$F$36*($F$32-AZ456)/(CB456^2+$F$37^2)^(3/2)</f>
        <v>-86.484231958161104</v>
      </c>
      <c r="BP456">
        <f t="shared" ref="BP456:BP519" si="166">$F$36*($G$32-BB456)/(CB456^2+($F$37)^2)^(3/2)</f>
        <v>31.786080443996333</v>
      </c>
      <c r="BR456">
        <f t="shared" ref="BR456:BR519" si="167">$F$47*($F$43-AZ456)/(CD456^2+($F$48)^2)^(3/2)</f>
        <v>-13.45972090396112</v>
      </c>
      <c r="BT456">
        <f t="shared" ref="BT456:BT519" si="168">$F$47*($G$43-BB456)/(CD456^2+($F$48)^2)^(3/2)</f>
        <v>3.4513838812673479</v>
      </c>
      <c r="BV456">
        <f t="shared" ref="BV456:BV519" si="169">$F$58*($F$54-AZ456)/(CF456^2+($F$59)^2)^(3/2)</f>
        <v>-57.195048148650685</v>
      </c>
      <c r="BX456">
        <f t="shared" ref="BX456:BX519" si="170">$F$58*($G$54-BB456)/(CF456^2+($F$59)^2)^(3/2)</f>
        <v>1.9051424451127177</v>
      </c>
      <c r="CB456">
        <f t="shared" ref="CB456:CB519" si="171">SQRT(($F$32-AZ456)^2+($G$32-BB456)^2)</f>
        <v>74376.978906336692</v>
      </c>
      <c r="CD456">
        <f t="shared" ref="CD456:CD519" si="172">SQRT(($F$43-AZ456)^2+($G$43-BB456)^2)</f>
        <v>113363.87067189172</v>
      </c>
      <c r="CF456">
        <f t="shared" ref="CF456:CF519" si="173">SQRT(($F$54-AZ456)^2+($G$54-BB456)^2)</f>
        <v>94863.728080012617</v>
      </c>
    </row>
    <row r="457" spans="12:84" x14ac:dyDescent="0.25">
      <c r="L457">
        <v>446</v>
      </c>
      <c r="M457">
        <f t="shared" si="162"/>
        <v>2.8023006470021148</v>
      </c>
      <c r="P457">
        <f t="shared" si="156"/>
        <v>15285.047320535647</v>
      </c>
      <c r="Q457">
        <f t="shared" si="157"/>
        <v>9164.0977226148425</v>
      </c>
      <c r="V457">
        <f t="shared" si="158"/>
        <v>-23300.466875625047</v>
      </c>
      <c r="W457">
        <f t="shared" si="159"/>
        <v>11164.86840583039</v>
      </c>
      <c r="AB457">
        <f t="shared" si="160"/>
        <v>-9714.9526794643534</v>
      </c>
      <c r="AC457">
        <f t="shared" si="161"/>
        <v>-13335.902277385158</v>
      </c>
      <c r="AW457">
        <v>450</v>
      </c>
      <c r="AX457">
        <f t="shared" ref="AX457:AX520" si="174">$F$17*AW457</f>
        <v>225</v>
      </c>
      <c r="AZ457">
        <f t="shared" ref="AZ457:AZ520" si="175">AZ456+BD456*$F$17+(BH456*0.5)*$F$17^2</f>
        <v>91432.318721683783</v>
      </c>
      <c r="BB457">
        <f t="shared" ref="BB457:BB520" si="176">BB456+(BF456*$F$17)+(BJ456*0.5)*$F$17^2</f>
        <v>-17672.939894823045</v>
      </c>
      <c r="BD457">
        <f t="shared" ref="BD457:BD520" si="177">BD456+BH456*$F$17</f>
        <v>3203.0629364328865</v>
      </c>
      <c r="BF457">
        <f t="shared" ref="BF457:BF520" si="178">BF456+BJ456*$F$17</f>
        <v>979.64274703004889</v>
      </c>
      <c r="BH457">
        <f t="shared" si="163"/>
        <v>-152.38131125581828</v>
      </c>
      <c r="BJ457">
        <f t="shared" si="164"/>
        <v>34.361164339228957</v>
      </c>
      <c r="BN457" s="20">
        <f t="shared" si="165"/>
        <v>-83.88652381285759</v>
      </c>
      <c r="BP457">
        <f t="shared" si="166"/>
        <v>29.561835030922687</v>
      </c>
      <c r="BR457">
        <f t="shared" si="167"/>
        <v>-13.148250595782232</v>
      </c>
      <c r="BT457">
        <f t="shared" si="168"/>
        <v>3.2652174219574124</v>
      </c>
      <c r="BV457">
        <f t="shared" si="169"/>
        <v>-55.346536847178442</v>
      </c>
      <c r="BX457">
        <f t="shared" si="170"/>
        <v>1.5341118863488612</v>
      </c>
      <c r="CB457">
        <f t="shared" si="171"/>
        <v>75738.055565908144</v>
      </c>
      <c r="CD457">
        <f t="shared" si="172"/>
        <v>114817.04254209567</v>
      </c>
      <c r="CF457">
        <f t="shared" si="173"/>
        <v>96469.356283338711</v>
      </c>
    </row>
    <row r="458" spans="12:84" x14ac:dyDescent="0.25">
      <c r="L458">
        <v>447</v>
      </c>
      <c r="M458">
        <f t="shared" si="162"/>
        <v>2.8085838323092944</v>
      </c>
      <c r="P458">
        <f t="shared" si="156"/>
        <v>15274.684624100944</v>
      </c>
      <c r="Q458">
        <f t="shared" si="157"/>
        <v>9134.4401482746216</v>
      </c>
      <c r="V458">
        <f t="shared" si="158"/>
        <v>-23307.720763129339</v>
      </c>
      <c r="W458">
        <f t="shared" si="159"/>
        <v>11144.108103792234</v>
      </c>
      <c r="AB458">
        <f t="shared" si="160"/>
        <v>-9725.3153758990557</v>
      </c>
      <c r="AC458">
        <f t="shared" si="161"/>
        <v>-13365.559851725378</v>
      </c>
      <c r="AW458">
        <v>451</v>
      </c>
      <c r="AX458">
        <f t="shared" si="174"/>
        <v>225.5</v>
      </c>
      <c r="AZ458">
        <f t="shared" si="175"/>
        <v>93014.802525993247</v>
      </c>
      <c r="BB458">
        <f t="shared" si="176"/>
        <v>-17178.823375765616</v>
      </c>
      <c r="BD458">
        <f t="shared" si="177"/>
        <v>3126.8722808049774</v>
      </c>
      <c r="BF458">
        <f t="shared" si="178"/>
        <v>996.82332919966336</v>
      </c>
      <c r="BH458">
        <f t="shared" si="163"/>
        <v>-147.91583393850755</v>
      </c>
      <c r="BJ458">
        <f t="shared" si="164"/>
        <v>31.809400350049778</v>
      </c>
      <c r="BN458" s="20">
        <f t="shared" si="165"/>
        <v>-81.438908221213609</v>
      </c>
      <c r="BP458">
        <f t="shared" si="166"/>
        <v>27.52615034726723</v>
      </c>
      <c r="BR458">
        <f t="shared" si="167"/>
        <v>-12.85395880469844</v>
      </c>
      <c r="BT458">
        <f t="shared" si="168"/>
        <v>3.0912364418096026</v>
      </c>
      <c r="BV458">
        <f t="shared" si="169"/>
        <v>-53.622966912595516</v>
      </c>
      <c r="BX458">
        <f t="shared" si="170"/>
        <v>1.1920135609729459</v>
      </c>
      <c r="CB458">
        <f t="shared" si="171"/>
        <v>77072.730009530773</v>
      </c>
      <c r="CD458">
        <f t="shared" si="172"/>
        <v>116236.97359308833</v>
      </c>
      <c r="CF458">
        <f t="shared" si="173"/>
        <v>98039.016649047611</v>
      </c>
    </row>
    <row r="459" spans="12:84" x14ac:dyDescent="0.25">
      <c r="L459">
        <v>448</v>
      </c>
      <c r="M459">
        <f t="shared" si="162"/>
        <v>2.8148670176164741</v>
      </c>
      <c r="P459">
        <f t="shared" ref="P459:P522" si="179">COS(M459)*$F$33+$F$32</f>
        <v>15264.508475026247</v>
      </c>
      <c r="Q459">
        <f t="shared" ref="Q459:Q522" si="180">SIN(M459)*$F$33+$G$32</f>
        <v>9104.7180490359551</v>
      </c>
      <c r="V459">
        <f t="shared" si="158"/>
        <v>-23314.844067481627</v>
      </c>
      <c r="W459">
        <f t="shared" si="159"/>
        <v>11123.302634325169</v>
      </c>
      <c r="AB459">
        <f t="shared" si="160"/>
        <v>-9735.4915249737533</v>
      </c>
      <c r="AC459">
        <f t="shared" si="161"/>
        <v>-13395.281950964045</v>
      </c>
      <c r="AW459">
        <v>452</v>
      </c>
      <c r="AX459">
        <f t="shared" si="174"/>
        <v>226</v>
      </c>
      <c r="AZ459">
        <f t="shared" si="175"/>
        <v>94559.749187153415</v>
      </c>
      <c r="BB459">
        <f t="shared" si="176"/>
        <v>-16676.435536122026</v>
      </c>
      <c r="BD459">
        <f t="shared" si="177"/>
        <v>3052.9143638357236</v>
      </c>
      <c r="BF459">
        <f t="shared" si="178"/>
        <v>1012.7280293746883</v>
      </c>
      <c r="BH459">
        <f t="shared" si="163"/>
        <v>-143.71879978400779</v>
      </c>
      <c r="BJ459">
        <f t="shared" si="164"/>
        <v>29.462725647529712</v>
      </c>
      <c r="BN459" s="20">
        <f t="shared" si="165"/>
        <v>-79.130623099780877</v>
      </c>
      <c r="BP459">
        <f t="shared" si="166"/>
        <v>25.658568184060439</v>
      </c>
      <c r="BR459">
        <f t="shared" si="167"/>
        <v>-12.575527826059538</v>
      </c>
      <c r="BT459">
        <f t="shared" si="168"/>
        <v>2.928343155121059</v>
      </c>
      <c r="BV459">
        <f t="shared" si="169"/>
        <v>-52.012648858167353</v>
      </c>
      <c r="BX459">
        <f t="shared" si="170"/>
        <v>0.8758143083482145</v>
      </c>
      <c r="CB459">
        <f t="shared" si="171"/>
        <v>78381.478897016787</v>
      </c>
      <c r="CD459">
        <f t="shared" si="172"/>
        <v>117624.69275937078</v>
      </c>
      <c r="CF459">
        <f t="shared" si="173"/>
        <v>99573.862505758341</v>
      </c>
    </row>
    <row r="460" spans="12:84" x14ac:dyDescent="0.25">
      <c r="L460">
        <v>449</v>
      </c>
      <c r="M460">
        <f t="shared" si="162"/>
        <v>2.8211502029236537</v>
      </c>
      <c r="P460">
        <f t="shared" si="179"/>
        <v>15254.519275048497</v>
      </c>
      <c r="Q460">
        <f t="shared" si="180"/>
        <v>9074.9325982764312</v>
      </c>
      <c r="V460">
        <f t="shared" ref="V460:V523" si="181">COS(M460)*$F$44+$F$43</f>
        <v>-23321.836507466054</v>
      </c>
      <c r="W460">
        <f t="shared" ref="W460:W523" si="182">SIN(M460)*$F$44+$G$43</f>
        <v>11102.452818793503</v>
      </c>
      <c r="AB460">
        <f t="shared" ref="AB460:AB523" si="183">COS(M460)*$F$55+$F$54</f>
        <v>-9745.4807249515034</v>
      </c>
      <c r="AC460">
        <f t="shared" ref="AC460:AC523" si="184">SIN(M460)*$F$55+$G$54</f>
        <v>-13425.067401723569</v>
      </c>
      <c r="AW460">
        <v>453</v>
      </c>
      <c r="AX460">
        <f t="shared" si="174"/>
        <v>226.5</v>
      </c>
      <c r="AZ460">
        <f t="shared" si="175"/>
        <v>96068.241519098287</v>
      </c>
      <c r="BB460">
        <f t="shared" si="176"/>
        <v>-16166.38868072874</v>
      </c>
      <c r="BD460">
        <f t="shared" si="177"/>
        <v>2981.0549639437199</v>
      </c>
      <c r="BF460">
        <f t="shared" si="178"/>
        <v>1027.4593921984531</v>
      </c>
      <c r="BH460">
        <f t="shared" si="163"/>
        <v>-139.76881462077381</v>
      </c>
      <c r="BJ460">
        <f t="shared" si="164"/>
        <v>27.299690847211725</v>
      </c>
      <c r="BN460" s="20">
        <f t="shared" si="165"/>
        <v>-76.951752062323635</v>
      </c>
      <c r="BP460">
        <f t="shared" si="166"/>
        <v>23.94126691508681</v>
      </c>
      <c r="BR460">
        <f t="shared" si="167"/>
        <v>-12.311773007644678</v>
      </c>
      <c r="BT460">
        <f t="shared" si="168"/>
        <v>2.7755623213601193</v>
      </c>
      <c r="BV460">
        <f t="shared" si="169"/>
        <v>-50.505289550805514</v>
      </c>
      <c r="BX460">
        <f t="shared" si="170"/>
        <v>0.58286161076479592</v>
      </c>
      <c r="CB460">
        <f t="shared" si="171"/>
        <v>79664.768379724759</v>
      </c>
      <c r="CD460">
        <f t="shared" si="172"/>
        <v>118981.16063447481</v>
      </c>
      <c r="CF460">
        <f t="shared" si="173"/>
        <v>101074.97171069264</v>
      </c>
    </row>
    <row r="461" spans="12:84" x14ac:dyDescent="0.25">
      <c r="L461">
        <v>450</v>
      </c>
      <c r="M461">
        <f t="shared" ref="M461:M524" si="185">M460+$O$5</f>
        <v>2.8274333882308333</v>
      </c>
      <c r="P461">
        <f t="shared" si="179"/>
        <v>15244.717418524202</v>
      </c>
      <c r="Q461">
        <f t="shared" si="180"/>
        <v>9045.0849718746449</v>
      </c>
      <c r="V461">
        <f t="shared" si="181"/>
        <v>-23328.697807033059</v>
      </c>
      <c r="W461">
        <f t="shared" si="182"/>
        <v>11081.559480312251</v>
      </c>
      <c r="AB461">
        <f t="shared" si="183"/>
        <v>-9755.282581475798</v>
      </c>
      <c r="AC461">
        <f t="shared" si="184"/>
        <v>-13454.915028125355</v>
      </c>
      <c r="AW461">
        <v>454</v>
      </c>
      <c r="AX461">
        <f t="shared" si="174"/>
        <v>227</v>
      </c>
      <c r="AZ461">
        <f t="shared" si="175"/>
        <v>97541.297899242549</v>
      </c>
      <c r="BB461">
        <f t="shared" si="176"/>
        <v>-15649.246523273612</v>
      </c>
      <c r="BD461">
        <f t="shared" si="177"/>
        <v>2911.170556633333</v>
      </c>
      <c r="BF461">
        <f t="shared" si="178"/>
        <v>1041.109237622059</v>
      </c>
      <c r="BH461">
        <f t="shared" si="163"/>
        <v>-136.04658800288399</v>
      </c>
      <c r="BJ461">
        <f t="shared" si="164"/>
        <v>25.301524626900267</v>
      </c>
      <c r="BN461" s="20">
        <f t="shared" si="165"/>
        <v>-74.893169584138491</v>
      </c>
      <c r="BP461">
        <f t="shared" si="166"/>
        <v>22.358671992637547</v>
      </c>
      <c r="BR461">
        <f t="shared" si="167"/>
        <v>-12.061626337148809</v>
      </c>
      <c r="BT461">
        <f t="shared" si="168"/>
        <v>2.6320249386588852</v>
      </c>
      <c r="BV461">
        <f t="shared" si="169"/>
        <v>-49.091792081596708</v>
      </c>
      <c r="BX461">
        <f t="shared" si="170"/>
        <v>0.31082769560383283</v>
      </c>
      <c r="CB461">
        <f t="shared" si="171"/>
        <v>80923.05292371496</v>
      </c>
      <c r="CD461">
        <f t="shared" si="172"/>
        <v>120307.27558651697</v>
      </c>
      <c r="CF461">
        <f t="shared" si="173"/>
        <v>102543.3532507553</v>
      </c>
    </row>
    <row r="462" spans="12:84" x14ac:dyDescent="0.25">
      <c r="L462">
        <v>451</v>
      </c>
      <c r="M462">
        <f t="shared" si="185"/>
        <v>2.833716573538013</v>
      </c>
      <c r="P462">
        <f t="shared" si="179"/>
        <v>15235.103292413876</v>
      </c>
      <c r="Q462">
        <f t="shared" si="180"/>
        <v>9015.1763481637772</v>
      </c>
      <c r="V462">
        <f t="shared" si="181"/>
        <v>-23335.427695310285</v>
      </c>
      <c r="W462">
        <f t="shared" si="182"/>
        <v>11060.623443714643</v>
      </c>
      <c r="AB462">
        <f t="shared" si="183"/>
        <v>-9764.8967075861237</v>
      </c>
      <c r="AC462">
        <f t="shared" si="184"/>
        <v>-13484.823651836223</v>
      </c>
      <c r="AW462">
        <v>455</v>
      </c>
      <c r="AX462">
        <f t="shared" si="174"/>
        <v>227.5</v>
      </c>
      <c r="AZ462">
        <f t="shared" si="175"/>
        <v>98979.877354058845</v>
      </c>
      <c r="BB462">
        <f t="shared" si="176"/>
        <v>-15125.52921388422</v>
      </c>
      <c r="BD462">
        <f t="shared" si="177"/>
        <v>2843.147262631891</v>
      </c>
      <c r="BF462">
        <f t="shared" si="178"/>
        <v>1053.7599999355091</v>
      </c>
      <c r="BH462">
        <f t="shared" si="163"/>
        <v>-132.53469547701042</v>
      </c>
      <c r="BJ462">
        <f t="shared" si="164"/>
        <v>23.451747991719458</v>
      </c>
      <c r="BN462" s="20">
        <f t="shared" si="165"/>
        <v>-72.946484248346422</v>
      </c>
      <c r="BP462">
        <f t="shared" si="166"/>
        <v>20.897130581911302</v>
      </c>
      <c r="BR462">
        <f t="shared" si="167"/>
        <v>-11.824122409885355</v>
      </c>
      <c r="BT462">
        <f t="shared" si="168"/>
        <v>2.4969544400692967</v>
      </c>
      <c r="BV462">
        <f t="shared" si="169"/>
        <v>-47.76408881877866</v>
      </c>
      <c r="BX462">
        <f t="shared" si="170"/>
        <v>5.7662969738858663E-2</v>
      </c>
      <c r="CB462">
        <f t="shared" si="171"/>
        <v>82156.774517202808</v>
      </c>
      <c r="CD462">
        <f t="shared" si="172"/>
        <v>121603.879187568</v>
      </c>
      <c r="CF462">
        <f t="shared" si="173"/>
        <v>103979.95312630535</v>
      </c>
    </row>
    <row r="463" spans="12:84" x14ac:dyDescent="0.25">
      <c r="L463">
        <v>452</v>
      </c>
      <c r="M463">
        <f t="shared" si="185"/>
        <v>2.8399997588451926</v>
      </c>
      <c r="P463">
        <f t="shared" si="179"/>
        <v>15225.677276266757</v>
      </c>
      <c r="Q463">
        <f t="shared" si="180"/>
        <v>8985.207907885082</v>
      </c>
      <c r="V463">
        <f t="shared" si="181"/>
        <v>-23342.025906613271</v>
      </c>
      <c r="W463">
        <f t="shared" si="182"/>
        <v>11039.645535519558</v>
      </c>
      <c r="AB463">
        <f t="shared" si="183"/>
        <v>-9774.322723733243</v>
      </c>
      <c r="AC463">
        <f t="shared" si="184"/>
        <v>-13514.792092114918</v>
      </c>
      <c r="AW463">
        <v>456</v>
      </c>
      <c r="AX463">
        <f t="shared" si="174"/>
        <v>228</v>
      </c>
      <c r="AZ463">
        <f t="shared" si="175"/>
        <v>100384.88414844016</v>
      </c>
      <c r="BB463">
        <f t="shared" si="176"/>
        <v>-14595.7177454175</v>
      </c>
      <c r="BD463">
        <f t="shared" si="177"/>
        <v>2776.8799148933858</v>
      </c>
      <c r="BF463">
        <f t="shared" si="178"/>
        <v>1065.4858739313688</v>
      </c>
      <c r="BH463">
        <f t="shared" si="163"/>
        <v>-129.21737024422615</v>
      </c>
      <c r="BJ463">
        <f t="shared" si="164"/>
        <v>21.73585081536163</v>
      </c>
      <c r="BN463" s="20">
        <f t="shared" si="165"/>
        <v>-71.103982421781097</v>
      </c>
      <c r="BP463">
        <f t="shared" si="166"/>
        <v>19.544638806290909</v>
      </c>
      <c r="BR463">
        <f t="shared" si="167"/>
        <v>-11.598386382511901</v>
      </c>
      <c r="BT463">
        <f t="shared" si="168"/>
        <v>2.3696549594615606</v>
      </c>
      <c r="BV463">
        <f t="shared" si="169"/>
        <v>-46.515001439933137</v>
      </c>
      <c r="BX463">
        <f t="shared" si="170"/>
        <v>-0.17844295039083888</v>
      </c>
      <c r="CB463">
        <f t="shared" si="171"/>
        <v>83366.36217470032</v>
      </c>
      <c r="CD463">
        <f t="shared" si="172"/>
        <v>122871.76104722192</v>
      </c>
      <c r="CF463">
        <f t="shared" si="173"/>
        <v>105385.65960851374</v>
      </c>
    </row>
    <row r="464" spans="12:84" x14ac:dyDescent="0.25">
      <c r="L464">
        <v>453</v>
      </c>
      <c r="M464">
        <f t="shared" si="185"/>
        <v>2.8462829441523723</v>
      </c>
      <c r="P464">
        <f t="shared" si="179"/>
        <v>15216.439742205819</v>
      </c>
      <c r="Q464">
        <f t="shared" si="180"/>
        <v>8955.1808341412652</v>
      </c>
      <c r="V464">
        <f t="shared" si="181"/>
        <v>-23348.492180455927</v>
      </c>
      <c r="W464">
        <f t="shared" si="182"/>
        <v>11018.626583898886</v>
      </c>
      <c r="AB464">
        <f t="shared" si="183"/>
        <v>-9783.5602577941809</v>
      </c>
      <c r="AC464">
        <f t="shared" si="184"/>
        <v>-13544.819165858735</v>
      </c>
      <c r="AW464">
        <v>457</v>
      </c>
      <c r="AX464">
        <f t="shared" si="174"/>
        <v>228.5</v>
      </c>
      <c r="AZ464">
        <f t="shared" si="175"/>
        <v>101757.17193460633</v>
      </c>
      <c r="BB464">
        <f t="shared" si="176"/>
        <v>-14060.257827099897</v>
      </c>
      <c r="BD464">
        <f t="shared" si="177"/>
        <v>2712.2712297712728</v>
      </c>
      <c r="BF464">
        <f t="shared" si="178"/>
        <v>1076.3537993390496</v>
      </c>
      <c r="BH464">
        <f t="shared" si="163"/>
        <v>-126.08032045132099</v>
      </c>
      <c r="BJ464">
        <f t="shared" si="164"/>
        <v>20.141019619876623</v>
      </c>
      <c r="BN464" s="20">
        <f t="shared" si="165"/>
        <v>-69.358573836251836</v>
      </c>
      <c r="BP464">
        <f t="shared" si="166"/>
        <v>18.290612297910997</v>
      </c>
      <c r="BR464">
        <f t="shared" si="167"/>
        <v>-11.383623591591219</v>
      </c>
      <c r="BT464">
        <f t="shared" si="168"/>
        <v>2.2495013169938343</v>
      </c>
      <c r="BV464">
        <f t="shared" si="169"/>
        <v>-45.338123023477934</v>
      </c>
      <c r="BX464">
        <f t="shared" si="170"/>
        <v>-0.3990939950282083</v>
      </c>
      <c r="CB464">
        <f t="shared" si="171"/>
        <v>84552.231669636036</v>
      </c>
      <c r="CD464">
        <f t="shared" si="172"/>
        <v>124111.66312728151</v>
      </c>
      <c r="CF464">
        <f t="shared" si="173"/>
        <v>106761.30794827602</v>
      </c>
    </row>
    <row r="465" spans="12:84" x14ac:dyDescent="0.25">
      <c r="L465">
        <v>454</v>
      </c>
      <c r="M465">
        <f t="shared" si="185"/>
        <v>2.8525661294595519</v>
      </c>
      <c r="P465">
        <f t="shared" si="179"/>
        <v>15207.391054913092</v>
      </c>
      <c r="Q465">
        <f t="shared" si="180"/>
        <v>8925.0963123497859</v>
      </c>
      <c r="V465">
        <f t="shared" si="181"/>
        <v>-23354.826261560836</v>
      </c>
      <c r="W465">
        <f t="shared" si="182"/>
        <v>10997.56741864485</v>
      </c>
      <c r="AB465">
        <f t="shared" si="183"/>
        <v>-9792.6089450869076</v>
      </c>
      <c r="AC465">
        <f t="shared" si="184"/>
        <v>-13574.903687650214</v>
      </c>
      <c r="AW465">
        <v>458</v>
      </c>
      <c r="AX465">
        <f t="shared" si="174"/>
        <v>229</v>
      </c>
      <c r="AZ465">
        <f t="shared" si="175"/>
        <v>103097.54750943556</v>
      </c>
      <c r="BB465">
        <f t="shared" si="176"/>
        <v>-13519.563299977888</v>
      </c>
      <c r="BD465">
        <f t="shared" si="177"/>
        <v>2649.2310695456122</v>
      </c>
      <c r="BF465">
        <f t="shared" si="178"/>
        <v>1086.424309148988</v>
      </c>
      <c r="BH465">
        <f t="shared" si="163"/>
        <v>-123.11056880268862</v>
      </c>
      <c r="BJ465">
        <f t="shared" si="164"/>
        <v>18.655907668106124</v>
      </c>
      <c r="BN465" s="20">
        <f t="shared" si="165"/>
        <v>-67.703739955563506</v>
      </c>
      <c r="BP465">
        <f t="shared" si="166"/>
        <v>17.12569251793645</v>
      </c>
      <c r="BR465">
        <f t="shared" si="167"/>
        <v>-11.179110573924996</v>
      </c>
      <c r="BT465">
        <f t="shared" si="168"/>
        <v>2.1359304397248646</v>
      </c>
      <c r="BV465">
        <f t="shared" si="169"/>
        <v>-44.227718273200111</v>
      </c>
      <c r="BX465">
        <f t="shared" si="170"/>
        <v>-0.60571528955519327</v>
      </c>
      <c r="CB465">
        <f t="shared" si="171"/>
        <v>85714.785442213397</v>
      </c>
      <c r="CD465">
        <f t="shared" si="172"/>
        <v>125324.28360321639</v>
      </c>
      <c r="CF465">
        <f t="shared" si="173"/>
        <v>108107.68460372025</v>
      </c>
    </row>
    <row r="466" spans="12:84" x14ac:dyDescent="0.25">
      <c r="L466">
        <v>455</v>
      </c>
      <c r="M466">
        <f t="shared" si="185"/>
        <v>2.8588493147667315</v>
      </c>
      <c r="P466">
        <f t="shared" si="179"/>
        <v>15198.531571615258</v>
      </c>
      <c r="Q466">
        <f t="shared" si="180"/>
        <v>8894.9555301960518</v>
      </c>
      <c r="V466">
        <f t="shared" si="181"/>
        <v>-23361.027899869321</v>
      </c>
      <c r="W466">
        <f t="shared" si="182"/>
        <v>10976.468871137236</v>
      </c>
      <c r="AB466">
        <f t="shared" si="183"/>
        <v>-9801.4684283847419</v>
      </c>
      <c r="AC466">
        <f t="shared" si="184"/>
        <v>-13605.044469803948</v>
      </c>
      <c r="AW466">
        <v>459</v>
      </c>
      <c r="AX466">
        <f t="shared" si="174"/>
        <v>229.5</v>
      </c>
      <c r="AZ466">
        <f t="shared" si="175"/>
        <v>104406.77422310803</v>
      </c>
      <c r="BB466">
        <f t="shared" si="176"/>
        <v>-12974.019156944882</v>
      </c>
      <c r="BD466">
        <f t="shared" si="177"/>
        <v>2587.675785144268</v>
      </c>
      <c r="BF466">
        <f t="shared" si="178"/>
        <v>1095.752262983041</v>
      </c>
      <c r="BH466">
        <f t="shared" si="163"/>
        <v>-120.29631160134224</v>
      </c>
      <c r="BJ466">
        <f t="shared" si="164"/>
        <v>17.270440124683592</v>
      </c>
      <c r="BN466" s="20">
        <f t="shared" si="165"/>
        <v>-66.133485605086506</v>
      </c>
      <c r="BP466">
        <f t="shared" si="166"/>
        <v>16.041582724332926</v>
      </c>
      <c r="BR466">
        <f t="shared" si="167"/>
        <v>-10.984187272141819</v>
      </c>
      <c r="BT466">
        <f t="shared" si="168"/>
        <v>2.0284339851228386</v>
      </c>
      <c r="BV466">
        <f t="shared" si="169"/>
        <v>-43.17863872411391</v>
      </c>
      <c r="BX466">
        <f t="shared" si="170"/>
        <v>-0.79957658477217064</v>
      </c>
      <c r="CB466">
        <f t="shared" si="171"/>
        <v>86854.412640865179</v>
      </c>
      <c r="CD466">
        <f t="shared" si="172"/>
        <v>126510.28032860826</v>
      </c>
      <c r="CF466">
        <f t="shared" si="173"/>
        <v>109425.53104409666</v>
      </c>
    </row>
    <row r="467" spans="12:84" x14ac:dyDescent="0.25">
      <c r="L467">
        <v>456</v>
      </c>
      <c r="M467">
        <f t="shared" si="185"/>
        <v>2.8651325000739112</v>
      </c>
      <c r="P467">
        <f t="shared" si="179"/>
        <v>15189.861642069543</v>
      </c>
      <c r="Q467">
        <f t="shared" si="180"/>
        <v>8864.7596775865313</v>
      </c>
      <c r="V467">
        <f t="shared" si="181"/>
        <v>-23367.096850551319</v>
      </c>
      <c r="W467">
        <f t="shared" si="182"/>
        <v>10955.331774310573</v>
      </c>
      <c r="AB467">
        <f t="shared" si="183"/>
        <v>-9810.1383579304566</v>
      </c>
      <c r="AC467">
        <f t="shared" si="184"/>
        <v>-13635.240322413469</v>
      </c>
      <c r="AW467">
        <v>460</v>
      </c>
      <c r="AX467">
        <f t="shared" si="174"/>
        <v>230</v>
      </c>
      <c r="AZ467">
        <f t="shared" si="175"/>
        <v>105685.57507673001</v>
      </c>
      <c r="BB467">
        <f t="shared" si="176"/>
        <v>-12423.984220437775</v>
      </c>
      <c r="BD467">
        <f t="shared" si="177"/>
        <v>2527.5276293435968</v>
      </c>
      <c r="BF467">
        <f t="shared" si="178"/>
        <v>1104.3874830453829</v>
      </c>
      <c r="BH467">
        <f t="shared" si="163"/>
        <v>-117.6267947023388</v>
      </c>
      <c r="BJ467">
        <f t="shared" si="164"/>
        <v>15.975648385338099</v>
      </c>
      <c r="BN467" s="20">
        <f t="shared" si="165"/>
        <v>-64.64229407033578</v>
      </c>
      <c r="BP467">
        <f t="shared" si="166"/>
        <v>15.030908596656401</v>
      </c>
      <c r="BR467">
        <f t="shared" si="167"/>
        <v>-10.798250246492833</v>
      </c>
      <c r="BT467">
        <f t="shared" si="168"/>
        <v>1.9265519769302821</v>
      </c>
      <c r="BV467">
        <f t="shared" si="169"/>
        <v>-42.186250385510199</v>
      </c>
      <c r="BX467">
        <f t="shared" si="170"/>
        <v>-0.98181218824858474</v>
      </c>
      <c r="CB467">
        <f t="shared" si="171"/>
        <v>87971.489264682721</v>
      </c>
      <c r="CD467">
        <f t="shared" si="172"/>
        <v>127670.2739508566</v>
      </c>
      <c r="CF467">
        <f t="shared" si="173"/>
        <v>110715.54717998275</v>
      </c>
    </row>
    <row r="468" spans="12:84" x14ac:dyDescent="0.25">
      <c r="L468">
        <v>457</v>
      </c>
      <c r="M468">
        <f t="shared" si="185"/>
        <v>2.8714156853810908</v>
      </c>
      <c r="P468">
        <f t="shared" si="179"/>
        <v>15181.381608549924</v>
      </c>
      <c r="Q468">
        <f t="shared" si="180"/>
        <v>8834.5099466017818</v>
      </c>
      <c r="V468">
        <f t="shared" si="181"/>
        <v>-23373.032874015051</v>
      </c>
      <c r="W468">
        <f t="shared" si="182"/>
        <v>10934.156962621248</v>
      </c>
      <c r="AB468">
        <f t="shared" si="183"/>
        <v>-9818.6183914500762</v>
      </c>
      <c r="AC468">
        <f t="shared" si="184"/>
        <v>-13665.490053398218</v>
      </c>
      <c r="AW468">
        <v>461</v>
      </c>
      <c r="AX468">
        <f t="shared" si="174"/>
        <v>230.5</v>
      </c>
      <c r="AZ468">
        <f t="shared" si="175"/>
        <v>106934.635542064</v>
      </c>
      <c r="BB468">
        <f t="shared" si="176"/>
        <v>-11869.793522866916</v>
      </c>
      <c r="BD468">
        <f t="shared" si="177"/>
        <v>2468.7142319924274</v>
      </c>
      <c r="BF468">
        <f t="shared" si="178"/>
        <v>1112.3753072380518</v>
      </c>
      <c r="BH468">
        <f t="shared" si="163"/>
        <v>-115.09220419371647</v>
      </c>
      <c r="BJ468">
        <f t="shared" si="164"/>
        <v>14.763528751579191</v>
      </c>
      <c r="BN468" s="20">
        <f t="shared" si="165"/>
        <v>-63.225085692989843</v>
      </c>
      <c r="BP468">
        <f t="shared" si="166"/>
        <v>14.08709943629108</v>
      </c>
      <c r="BR468">
        <f t="shared" si="167"/>
        <v>-10.620746744128951</v>
      </c>
      <c r="BT468">
        <f t="shared" si="168"/>
        <v>1.8298672963518274</v>
      </c>
      <c r="BV468">
        <f t="shared" si="169"/>
        <v>-41.246371756597689</v>
      </c>
      <c r="BX468">
        <f t="shared" si="170"/>
        <v>-1.1534379810637161</v>
      </c>
      <c r="CB468">
        <f t="shared" si="171"/>
        <v>89066.378381238756</v>
      </c>
      <c r="CD468">
        <f t="shared" si="172"/>
        <v>128804.85071972037</v>
      </c>
      <c r="CF468">
        <f t="shared" si="173"/>
        <v>111978.39446305785</v>
      </c>
    </row>
    <row r="469" spans="12:84" x14ac:dyDescent="0.25">
      <c r="L469">
        <v>458</v>
      </c>
      <c r="M469">
        <f t="shared" si="185"/>
        <v>2.8776988706882705</v>
      </c>
      <c r="P469">
        <f t="shared" si="179"/>
        <v>15173.091805833605</v>
      </c>
      <c r="Q469">
        <f t="shared" si="180"/>
        <v>8804.2075314493886</v>
      </c>
      <c r="V469">
        <f t="shared" si="181"/>
        <v>-23378.835735916477</v>
      </c>
      <c r="W469">
        <f t="shared" si="182"/>
        <v>10912.945272014573</v>
      </c>
      <c r="AB469">
        <f t="shared" si="183"/>
        <v>-9826.9081941663953</v>
      </c>
      <c r="AC469">
        <f t="shared" si="184"/>
        <v>-13695.792468550611</v>
      </c>
      <c r="AW469">
        <v>462</v>
      </c>
      <c r="AX469">
        <f t="shared" si="174"/>
        <v>231</v>
      </c>
      <c r="AZ469">
        <f t="shared" si="175"/>
        <v>108154.60613253601</v>
      </c>
      <c r="BB469">
        <f t="shared" si="176"/>
        <v>-11311.760428153942</v>
      </c>
      <c r="BD469">
        <f t="shared" si="177"/>
        <v>2411.1681298955691</v>
      </c>
      <c r="BF469">
        <f t="shared" si="178"/>
        <v>1119.7570716138414</v>
      </c>
      <c r="BH469">
        <f t="shared" si="163"/>
        <v>-112.6835699112664</v>
      </c>
      <c r="BJ469">
        <f t="shared" si="164"/>
        <v>13.626921494533478</v>
      </c>
      <c r="BN469" s="20">
        <f t="shared" si="165"/>
        <v>-61.877179878708588</v>
      </c>
      <c r="BP469">
        <f t="shared" si="166"/>
        <v>13.204286592784616</v>
      </c>
      <c r="BR469">
        <f t="shared" si="167"/>
        <v>-10.451169501790362</v>
      </c>
      <c r="BT469">
        <f t="shared" si="168"/>
        <v>1.7380008985852409</v>
      </c>
      <c r="BV469">
        <f t="shared" si="169"/>
        <v>-40.355220530767461</v>
      </c>
      <c r="BX469">
        <f t="shared" si="170"/>
        <v>-1.3153659968363784</v>
      </c>
      <c r="CB469">
        <f t="shared" si="171"/>
        <v>90139.430399735793</v>
      </c>
      <c r="CD469">
        <f t="shared" si="172"/>
        <v>129914.56502460554</v>
      </c>
      <c r="CF469">
        <f t="shared" si="173"/>
        <v>113214.69869300844</v>
      </c>
    </row>
    <row r="470" spans="12:84" x14ac:dyDescent="0.25">
      <c r="L470">
        <v>459</v>
      </c>
      <c r="M470">
        <f t="shared" si="185"/>
        <v>2.8839820559954501</v>
      </c>
      <c r="P470">
        <f t="shared" si="179"/>
        <v>15164.992561187799</v>
      </c>
      <c r="Q470">
        <f t="shared" si="180"/>
        <v>8773.8536284168149</v>
      </c>
      <c r="V470">
        <f t="shared" si="181"/>
        <v>-23384.505207168542</v>
      </c>
      <c r="W470">
        <f t="shared" si="182"/>
        <v>10891.697539891769</v>
      </c>
      <c r="AB470">
        <f t="shared" si="183"/>
        <v>-9835.0074388122011</v>
      </c>
      <c r="AC470">
        <f t="shared" si="184"/>
        <v>-13726.146371583185</v>
      </c>
      <c r="AW470">
        <v>463</v>
      </c>
      <c r="AX470">
        <f t="shared" si="174"/>
        <v>231.5</v>
      </c>
      <c r="AZ470">
        <f t="shared" si="175"/>
        <v>109346.10475124489</v>
      </c>
      <c r="BB470">
        <f t="shared" si="176"/>
        <v>-10750.178527160206</v>
      </c>
      <c r="BD470">
        <f t="shared" si="177"/>
        <v>2354.826344939936</v>
      </c>
      <c r="BF470">
        <f t="shared" si="178"/>
        <v>1126.5705323611082</v>
      </c>
      <c r="BH470">
        <f t="shared" si="163"/>
        <v>-110.39268014736655</v>
      </c>
      <c r="BJ470">
        <f t="shared" si="164"/>
        <v>12.559407051330581</v>
      </c>
      <c r="BN470" s="20">
        <f t="shared" si="165"/>
        <v>-60.594260361033712</v>
      </c>
      <c r="BP470">
        <f t="shared" si="166"/>
        <v>12.37721635866486</v>
      </c>
      <c r="BR470">
        <f t="shared" si="167"/>
        <v>-10.289052177985933</v>
      </c>
      <c r="BT470">
        <f t="shared" si="168"/>
        <v>1.6506076466629727</v>
      </c>
      <c r="BV470">
        <f t="shared" si="169"/>
        <v>-39.509367608346899</v>
      </c>
      <c r="BX470">
        <f t="shared" si="170"/>
        <v>-1.4684169539972518</v>
      </c>
      <c r="CB470">
        <f t="shared" si="171"/>
        <v>91190.983383740531</v>
      </c>
      <c r="CD470">
        <f t="shared" si="172"/>
        <v>130999.94169170091</v>
      </c>
      <c r="CF470">
        <f t="shared" si="173"/>
        <v>114425.05256426007</v>
      </c>
    </row>
    <row r="471" spans="12:84" x14ac:dyDescent="0.25">
      <c r="L471">
        <v>460</v>
      </c>
      <c r="M471">
        <f t="shared" si="185"/>
        <v>2.8902652413026297</v>
      </c>
      <c r="P471">
        <f t="shared" si="179"/>
        <v>15157.084194356819</v>
      </c>
      <c r="Q471">
        <f t="shared" si="180"/>
        <v>8743.4494358241773</v>
      </c>
      <c r="V471">
        <f t="shared" si="181"/>
        <v>-23390.041063950226</v>
      </c>
      <c r="W471">
        <f t="shared" si="182"/>
        <v>10870.414605076923</v>
      </c>
      <c r="AB471">
        <f t="shared" si="183"/>
        <v>-9842.9158056431806</v>
      </c>
      <c r="AC471">
        <f t="shared" si="184"/>
        <v>-13756.550564175823</v>
      </c>
      <c r="AW471">
        <v>464</v>
      </c>
      <c r="AX471">
        <f t="shared" si="174"/>
        <v>232</v>
      </c>
      <c r="AZ471">
        <f t="shared" si="175"/>
        <v>110509.71883869644</v>
      </c>
      <c r="BB471">
        <f t="shared" si="176"/>
        <v>-10185.323335098235</v>
      </c>
      <c r="BD471">
        <f t="shared" si="177"/>
        <v>2299.6300048662529</v>
      </c>
      <c r="BF471">
        <f t="shared" si="178"/>
        <v>1132.8502358867736</v>
      </c>
      <c r="BH471">
        <f t="shared" si="163"/>
        <v>-108.21200613439785</v>
      </c>
      <c r="BJ471">
        <f t="shared" si="164"/>
        <v>11.555216664151658</v>
      </c>
      <c r="BN471" s="20">
        <f t="shared" si="165"/>
        <v>-59.372343525664569</v>
      </c>
      <c r="BP471">
        <f t="shared" si="166"/>
        <v>11.601175054860295</v>
      </c>
      <c r="BR471">
        <f t="shared" si="167"/>
        <v>-10.133965327269642</v>
      </c>
      <c r="BT471">
        <f t="shared" si="168"/>
        <v>1.5673726724554138</v>
      </c>
      <c r="BV471">
        <f t="shared" si="169"/>
        <v>-38.705697281463635</v>
      </c>
      <c r="BX471">
        <f t="shared" si="170"/>
        <v>-1.6133310631640503</v>
      </c>
      <c r="CB471">
        <f t="shared" si="171"/>
        <v>92221.363391173363</v>
      </c>
      <c r="CD471">
        <f t="shared" si="172"/>
        <v>132061.4780679743</v>
      </c>
      <c r="CF471">
        <f t="shared" si="173"/>
        <v>115610.01798106535</v>
      </c>
    </row>
    <row r="472" spans="12:84" x14ac:dyDescent="0.25">
      <c r="L472">
        <v>461</v>
      </c>
      <c r="M472">
        <f t="shared" si="185"/>
        <v>2.8965484266098094</v>
      </c>
      <c r="P472">
        <f t="shared" si="179"/>
        <v>15149.367017549446</v>
      </c>
      <c r="Q472">
        <f t="shared" si="180"/>
        <v>8712.9961539769392</v>
      </c>
      <c r="V472">
        <f t="shared" si="181"/>
        <v>-23395.443087715386</v>
      </c>
      <c r="W472">
        <f t="shared" si="182"/>
        <v>10849.097307783857</v>
      </c>
      <c r="AB472">
        <f t="shared" si="183"/>
        <v>-9850.6329824505538</v>
      </c>
      <c r="AC472">
        <f t="shared" si="184"/>
        <v>-13787.003846023061</v>
      </c>
      <c r="AW472">
        <v>465</v>
      </c>
      <c r="AX472">
        <f t="shared" si="174"/>
        <v>232.5</v>
      </c>
      <c r="AZ472">
        <f t="shared" si="175"/>
        <v>111646.00734036276</v>
      </c>
      <c r="BB472">
        <f t="shared" si="176"/>
        <v>-9617.453815071829</v>
      </c>
      <c r="BD472">
        <f t="shared" si="177"/>
        <v>2245.5240017990541</v>
      </c>
      <c r="BF472">
        <f t="shared" si="178"/>
        <v>1138.6278442188495</v>
      </c>
      <c r="BH472">
        <f t="shared" si="163"/>
        <v>-106.13463507394547</v>
      </c>
      <c r="BJ472">
        <f t="shared" si="164"/>
        <v>10.609155232697686</v>
      </c>
      <c r="BN472" s="20">
        <f t="shared" si="165"/>
        <v>-58.207749579845732</v>
      </c>
      <c r="BP472">
        <f t="shared" si="166"/>
        <v>10.871924419051643</v>
      </c>
      <c r="BR472">
        <f t="shared" si="167"/>
        <v>-9.9855128428551811</v>
      </c>
      <c r="BT472">
        <f t="shared" si="168"/>
        <v>1.4880081893259061</v>
      </c>
      <c r="BV472">
        <f t="shared" si="169"/>
        <v>-37.941372651244556</v>
      </c>
      <c r="BX472">
        <f t="shared" si="170"/>
        <v>-1.7507773756798639</v>
      </c>
      <c r="CB472">
        <f t="shared" si="171"/>
        <v>93230.8848319104</v>
      </c>
      <c r="CD472">
        <f t="shared" si="172"/>
        <v>133099.64591555201</v>
      </c>
      <c r="CF472">
        <f t="shared" si="173"/>
        <v>116770.12816590058</v>
      </c>
    </row>
    <row r="473" spans="12:84" x14ac:dyDescent="0.25">
      <c r="L473">
        <v>462</v>
      </c>
      <c r="M473">
        <f t="shared" si="185"/>
        <v>2.902831611916989</v>
      </c>
      <c r="P473">
        <f t="shared" si="179"/>
        <v>15141.841335426607</v>
      </c>
      <c r="Q473">
        <f t="shared" si="180"/>
        <v>8682.4949851185265</v>
      </c>
      <c r="V473">
        <f t="shared" si="181"/>
        <v>-23400.711065201376</v>
      </c>
      <c r="W473">
        <f t="shared" si="182"/>
        <v>10827.746489582969</v>
      </c>
      <c r="AB473">
        <f t="shared" si="183"/>
        <v>-9858.1586645733933</v>
      </c>
      <c r="AC473">
        <f t="shared" si="184"/>
        <v>-13817.505014881473</v>
      </c>
      <c r="AW473">
        <v>466</v>
      </c>
      <c r="AX473">
        <f t="shared" si="174"/>
        <v>233</v>
      </c>
      <c r="AZ473">
        <f t="shared" si="175"/>
        <v>112755.50251187805</v>
      </c>
      <c r="BB473">
        <f t="shared" si="176"/>
        <v>-9046.8137485583175</v>
      </c>
      <c r="BD473">
        <f t="shared" si="177"/>
        <v>2192.4566842620811</v>
      </c>
      <c r="BF473">
        <f t="shared" si="178"/>
        <v>1143.9324218351983</v>
      </c>
      <c r="BH473">
        <f t="shared" si="163"/>
        <v>-104.15421064751052</v>
      </c>
      <c r="BJ473">
        <f t="shared" si="164"/>
        <v>9.7165345265095606</v>
      </c>
      <c r="BN473" s="20">
        <f t="shared" si="165"/>
        <v>-57.097076345574187</v>
      </c>
      <c r="BP473">
        <f t="shared" si="166"/>
        <v>10.185645727663921</v>
      </c>
      <c r="BR473">
        <f t="shared" si="167"/>
        <v>-9.8433288050798282</v>
      </c>
      <c r="BT473">
        <f t="shared" si="168"/>
        <v>1.412250692956398</v>
      </c>
      <c r="BV473">
        <f t="shared" si="169"/>
        <v>-37.213805496856516</v>
      </c>
      <c r="BX473">
        <f t="shared" si="170"/>
        <v>-1.881361894110759</v>
      </c>
      <c r="CB473">
        <f t="shared" si="171"/>
        <v>94219.850835482081</v>
      </c>
      <c r="CD473">
        <f t="shared" si="172"/>
        <v>134114.89313701715</v>
      </c>
      <c r="CF473">
        <f t="shared" si="173"/>
        <v>117905.8895830453</v>
      </c>
    </row>
    <row r="474" spans="12:84" x14ac:dyDescent="0.25">
      <c r="L474">
        <v>463</v>
      </c>
      <c r="M474">
        <f t="shared" si="185"/>
        <v>2.9091147972241687</v>
      </c>
      <c r="P474">
        <f t="shared" si="179"/>
        <v>15134.507445089344</v>
      </c>
      <c r="Q474">
        <f t="shared" si="180"/>
        <v>8651.9471333828551</v>
      </c>
      <c r="V474">
        <f t="shared" si="181"/>
        <v>-23405.844788437458</v>
      </c>
      <c r="W474">
        <f t="shared" si="182"/>
        <v>10806.362993367999</v>
      </c>
      <c r="AB474">
        <f t="shared" si="183"/>
        <v>-9865.4925549106556</v>
      </c>
      <c r="AC474">
        <f t="shared" si="184"/>
        <v>-13848.052866617145</v>
      </c>
      <c r="AW474">
        <v>467</v>
      </c>
      <c r="AX474">
        <f t="shared" si="174"/>
        <v>233.5</v>
      </c>
      <c r="AZ474">
        <f t="shared" si="175"/>
        <v>113838.71157767814</v>
      </c>
      <c r="BB474">
        <f t="shared" si="176"/>
        <v>-8473.632970824905</v>
      </c>
      <c r="BD474">
        <f t="shared" si="177"/>
        <v>2140.3795789383257</v>
      </c>
      <c r="BF474">
        <f t="shared" si="178"/>
        <v>1148.790689098453</v>
      </c>
      <c r="BH474">
        <f t="shared" si="163"/>
        <v>-102.26488008638898</v>
      </c>
      <c r="BJ474">
        <f t="shared" si="164"/>
        <v>8.8731152110000924</v>
      </c>
      <c r="BN474" s="20">
        <f t="shared" si="165"/>
        <v>-56.037175458207344</v>
      </c>
      <c r="BP474">
        <f t="shared" si="166"/>
        <v>9.5388913428351767</v>
      </c>
      <c r="BR474">
        <f t="shared" si="167"/>
        <v>-9.707074682608873</v>
      </c>
      <c r="BT474">
        <f t="shared" si="168"/>
        <v>1.3398584967909319</v>
      </c>
      <c r="BV474">
        <f t="shared" si="169"/>
        <v>-36.520629945572757</v>
      </c>
      <c r="BX474">
        <f t="shared" si="170"/>
        <v>-2.0056346286260158</v>
      </c>
      <c r="CB474">
        <f t="shared" si="171"/>
        <v>95188.553623034371</v>
      </c>
      <c r="CD474">
        <f t="shared" si="172"/>
        <v>135107.6453496014</v>
      </c>
      <c r="CF474">
        <f t="shared" si="173"/>
        <v>119017.78369656393</v>
      </c>
    </row>
    <row r="475" spans="12:84" x14ac:dyDescent="0.25">
      <c r="L475">
        <v>464</v>
      </c>
      <c r="M475">
        <f t="shared" si="185"/>
        <v>2.9153979825313483</v>
      </c>
      <c r="P475">
        <f t="shared" si="179"/>
        <v>15127.365636067092</v>
      </c>
      <c r="Q475">
        <f t="shared" si="180"/>
        <v>8621.3538047468082</v>
      </c>
      <c r="V475">
        <f t="shared" si="181"/>
        <v>-23410.844054753037</v>
      </c>
      <c r="W475">
        <f t="shared" si="182"/>
        <v>10784.947663322766</v>
      </c>
      <c r="AB475">
        <f t="shared" si="183"/>
        <v>-9872.6343639329079</v>
      </c>
      <c r="AC475">
        <f t="shared" si="184"/>
        <v>-13878.646195253192</v>
      </c>
      <c r="AW475">
        <v>468</v>
      </c>
      <c r="AX475">
        <f t="shared" si="174"/>
        <v>234</v>
      </c>
      <c r="AZ475">
        <f t="shared" si="175"/>
        <v>114896.11825713651</v>
      </c>
      <c r="BB475">
        <f t="shared" si="176"/>
        <v>-7898.1284868743041</v>
      </c>
      <c r="BD475">
        <f t="shared" si="177"/>
        <v>2089.2471388951312</v>
      </c>
      <c r="BF475">
        <f t="shared" si="178"/>
        <v>1153.2272467039529</v>
      </c>
      <c r="BH475">
        <f t="shared" si="163"/>
        <v>-100.46124700060608</v>
      </c>
      <c r="BJ475">
        <f t="shared" si="164"/>
        <v>8.0750563934469888</v>
      </c>
      <c r="BN475" s="20">
        <f t="shared" si="165"/>
        <v>-55.025130760455482</v>
      </c>
      <c r="BP475">
        <f t="shared" si="166"/>
        <v>8.928542589705291</v>
      </c>
      <c r="BR475">
        <f t="shared" si="167"/>
        <v>-9.5764368410824705</v>
      </c>
      <c r="BT475">
        <f t="shared" si="168"/>
        <v>1.2706095567658264</v>
      </c>
      <c r="BV475">
        <f t="shared" si="169"/>
        <v>-35.859679399068135</v>
      </c>
      <c r="BX475">
        <f t="shared" si="170"/>
        <v>-2.1240957530241285</v>
      </c>
      <c r="CB475">
        <f t="shared" si="171"/>
        <v>96137.274879053686</v>
      </c>
      <c r="CD475">
        <f t="shared" si="172"/>
        <v>136078.30732404051</v>
      </c>
      <c r="CF475">
        <f t="shared" si="173"/>
        <v>120106.26857961332</v>
      </c>
    </row>
    <row r="476" spans="12:84" x14ac:dyDescent="0.25">
      <c r="L476">
        <v>465</v>
      </c>
      <c r="M476">
        <f t="shared" si="185"/>
        <v>2.9216811678385279</v>
      </c>
      <c r="P476">
        <f t="shared" si="179"/>
        <v>15120.416190306241</v>
      </c>
      <c r="Q476">
        <f t="shared" si="180"/>
        <v>8590.7162069826136</v>
      </c>
      <c r="V476">
        <f t="shared" si="181"/>
        <v>-23415.708666785631</v>
      </c>
      <c r="W476">
        <f t="shared" si="182"/>
        <v>10763.501344887829</v>
      </c>
      <c r="AB476">
        <f t="shared" si="183"/>
        <v>-9879.5838096937587</v>
      </c>
      <c r="AC476">
        <f t="shared" si="184"/>
        <v>-13909.283793017386</v>
      </c>
      <c r="AW476">
        <v>469</v>
      </c>
      <c r="AX476">
        <f t="shared" si="174"/>
        <v>234.5</v>
      </c>
      <c r="AZ476">
        <f t="shared" si="175"/>
        <v>115928.18417070899</v>
      </c>
      <c r="BB476">
        <f t="shared" si="176"/>
        <v>-7320.5054814731466</v>
      </c>
      <c r="BD476">
        <f t="shared" si="177"/>
        <v>2039.0165153948283</v>
      </c>
      <c r="BF476">
        <f t="shared" si="178"/>
        <v>1157.2647749006765</v>
      </c>
      <c r="BH476">
        <f t="shared" si="163"/>
        <v>-98.738329272139879</v>
      </c>
      <c r="BJ476">
        <f t="shared" si="164"/>
        <v>7.3188716030849532</v>
      </c>
      <c r="BN476" s="20">
        <f t="shared" si="165"/>
        <v>-54.058238693479161</v>
      </c>
      <c r="BP476">
        <f t="shared" si="166"/>
        <v>8.3517730456543298</v>
      </c>
      <c r="BR476">
        <f t="shared" si="167"/>
        <v>-9.4511243204548858</v>
      </c>
      <c r="BT476">
        <f t="shared" si="168"/>
        <v>1.2042995468323059</v>
      </c>
      <c r="BV476">
        <f t="shared" si="169"/>
        <v>-35.228966258205823</v>
      </c>
      <c r="BX476">
        <f t="shared" si="170"/>
        <v>-2.2372009894016829</v>
      </c>
      <c r="CB476">
        <f t="shared" si="171"/>
        <v>97066.28611941346</v>
      </c>
      <c r="CD476">
        <f t="shared" si="172"/>
        <v>137027.26430196266</v>
      </c>
      <c r="CF476">
        <f t="shared" si="173"/>
        <v>121171.78039001075</v>
      </c>
    </row>
    <row r="477" spans="12:84" x14ac:dyDescent="0.25">
      <c r="L477">
        <v>466</v>
      </c>
      <c r="M477">
        <f t="shared" si="185"/>
        <v>2.9279643531457076</v>
      </c>
      <c r="P477">
        <f t="shared" si="179"/>
        <v>15113.65938215901</v>
      </c>
      <c r="Q477">
        <f t="shared" si="180"/>
        <v>8560.0355496101747</v>
      </c>
      <c r="V477">
        <f t="shared" si="181"/>
        <v>-23420.438432488692</v>
      </c>
      <c r="W477">
        <f t="shared" si="182"/>
        <v>10742.024884727121</v>
      </c>
      <c r="AB477">
        <f t="shared" si="183"/>
        <v>-9886.3406178409896</v>
      </c>
      <c r="AC477">
        <f t="shared" si="184"/>
        <v>-13939.964450389825</v>
      </c>
      <c r="AW477">
        <v>470</v>
      </c>
      <c r="AX477">
        <f t="shared" si="174"/>
        <v>235</v>
      </c>
      <c r="AZ477">
        <f t="shared" si="175"/>
        <v>116935.35013724738</v>
      </c>
      <c r="BB477">
        <f t="shared" si="176"/>
        <v>-6740.9582350724231</v>
      </c>
      <c r="BD477">
        <f t="shared" si="177"/>
        <v>1989.6473507587584</v>
      </c>
      <c r="BF477">
        <f t="shared" si="178"/>
        <v>1160.9242107022189</v>
      </c>
      <c r="BH477">
        <f t="shared" si="163"/>
        <v>-97.091521408389383</v>
      </c>
      <c r="BJ477">
        <f t="shared" si="164"/>
        <v>6.6013902911993547</v>
      </c>
      <c r="BN477" s="20">
        <f t="shared" si="165"/>
        <v>-53.133990500267942</v>
      </c>
      <c r="BP477">
        <f t="shared" si="166"/>
        <v>7.8060164687670213</v>
      </c>
      <c r="BR477">
        <f t="shared" si="167"/>
        <v>-9.3308668477708849</v>
      </c>
      <c r="BT477">
        <f t="shared" si="168"/>
        <v>1.1407401524806462</v>
      </c>
      <c r="BV477">
        <f t="shared" si="169"/>
        <v>-34.626664060350549</v>
      </c>
      <c r="BX477">
        <f t="shared" si="170"/>
        <v>-2.3453663300483121</v>
      </c>
      <c r="CB477">
        <f t="shared" si="171"/>
        <v>97975.849053140773</v>
      </c>
      <c r="CD477">
        <f t="shared" si="172"/>
        <v>137954.88320403514</v>
      </c>
      <c r="CF477">
        <f t="shared" si="173"/>
        <v>122214.73472526926</v>
      </c>
    </row>
    <row r="478" spans="12:84" x14ac:dyDescent="0.25">
      <c r="L478">
        <v>467</v>
      </c>
      <c r="M478">
        <f t="shared" si="185"/>
        <v>2.9342475384528872</v>
      </c>
      <c r="P478">
        <f t="shared" si="179"/>
        <v>15107.095478372619</v>
      </c>
      <c r="Q478">
        <f t="shared" si="180"/>
        <v>8529.3130438493063</v>
      </c>
      <c r="V478">
        <f t="shared" si="181"/>
        <v>-23425.033165139168</v>
      </c>
      <c r="W478">
        <f t="shared" si="182"/>
        <v>10720.519130694514</v>
      </c>
      <c r="AB478">
        <f t="shared" si="183"/>
        <v>-9892.9045216273807</v>
      </c>
      <c r="AC478">
        <f t="shared" si="184"/>
        <v>-13970.686956150694</v>
      </c>
      <c r="AW478">
        <v>471</v>
      </c>
      <c r="AX478">
        <f t="shared" si="174"/>
        <v>235.5</v>
      </c>
      <c r="AZ478">
        <f t="shared" si="175"/>
        <v>117918.03737245071</v>
      </c>
      <c r="BB478">
        <f t="shared" si="176"/>
        <v>-6159.6709559349138</v>
      </c>
      <c r="BD478">
        <f t="shared" si="177"/>
        <v>1941.1015900545638</v>
      </c>
      <c r="BF478">
        <f t="shared" si="178"/>
        <v>1164.2249058478187</v>
      </c>
      <c r="BH478">
        <f t="shared" si="163"/>
        <v>-95.516560830068244</v>
      </c>
      <c r="BJ478">
        <f t="shared" si="164"/>
        <v>5.919724079492334</v>
      </c>
      <c r="BN478" s="20">
        <f t="shared" si="165"/>
        <v>-52.250056070669125</v>
      </c>
      <c r="BP478">
        <f t="shared" si="166"/>
        <v>7.2889387135050443</v>
      </c>
      <c r="BR478">
        <f t="shared" si="167"/>
        <v>-9.2154130567586563</v>
      </c>
      <c r="BT478">
        <f t="shared" si="168"/>
        <v>1.0797575542500637</v>
      </c>
      <c r="BV478">
        <f t="shared" si="169"/>
        <v>-34.051091702640463</v>
      </c>
      <c r="BX478">
        <f t="shared" si="170"/>
        <v>-2.4489721882627746</v>
      </c>
      <c r="CB478">
        <f t="shared" si="171"/>
        <v>98866.215935966044</v>
      </c>
      <c r="CD478">
        <f t="shared" si="172"/>
        <v>138861.51373967083</v>
      </c>
      <c r="CF478">
        <f t="shared" si="173"/>
        <v>123235.52786880304</v>
      </c>
    </row>
    <row r="479" spans="12:84" x14ac:dyDescent="0.25">
      <c r="L479">
        <v>468</v>
      </c>
      <c r="M479">
        <f t="shared" si="185"/>
        <v>2.9405307237600669</v>
      </c>
      <c r="P479">
        <f t="shared" si="179"/>
        <v>15100.724738078745</v>
      </c>
      <c r="Q479">
        <f t="shared" si="180"/>
        <v>8498.5499025719346</v>
      </c>
      <c r="V479">
        <f t="shared" si="181"/>
        <v>-23429.492683344877</v>
      </c>
      <c r="W479">
        <f t="shared" si="182"/>
        <v>10698.984931800354</v>
      </c>
      <c r="AB479">
        <f t="shared" si="183"/>
        <v>-9899.2752619212552</v>
      </c>
      <c r="AC479">
        <f t="shared" si="184"/>
        <v>-14001.450097428065</v>
      </c>
      <c r="AW479">
        <v>472</v>
      </c>
      <c r="AX479">
        <f t="shared" si="174"/>
        <v>236</v>
      </c>
      <c r="AZ479">
        <f t="shared" si="175"/>
        <v>118876.64859737424</v>
      </c>
      <c r="BB479">
        <f t="shared" si="176"/>
        <v>-5576.818537501068</v>
      </c>
      <c r="BD479">
        <f t="shared" si="177"/>
        <v>1893.3433096395297</v>
      </c>
      <c r="BF479">
        <f t="shared" si="178"/>
        <v>1167.1847678875649</v>
      </c>
      <c r="BH479">
        <f t="shared" si="163"/>
        <v>-94.009497635178093</v>
      </c>
      <c r="BJ479">
        <f t="shared" si="164"/>
        <v>5.2712371033448315</v>
      </c>
      <c r="BN479" s="20">
        <f t="shared" si="165"/>
        <v>-51.404269271630589</v>
      </c>
      <c r="BP479">
        <f t="shared" si="166"/>
        <v>6.7984130818912734</v>
      </c>
      <c r="BR479">
        <f t="shared" si="167"/>
        <v>-9.1045288895382726</v>
      </c>
      <c r="BT479">
        <f t="shared" si="168"/>
        <v>1.0211910772194082</v>
      </c>
      <c r="BV479">
        <f t="shared" si="169"/>
        <v>-33.500699474009231</v>
      </c>
      <c r="BX479">
        <f t="shared" si="170"/>
        <v>-2.5483670557658504</v>
      </c>
      <c r="CB479">
        <f t="shared" si="171"/>
        <v>99737.629914247314</v>
      </c>
      <c r="CD479">
        <f t="shared" si="172"/>
        <v>139747.48942785629</v>
      </c>
      <c r="CF479">
        <f t="shared" si="173"/>
        <v>124234.53793769478</v>
      </c>
    </row>
    <row r="480" spans="12:84" x14ac:dyDescent="0.25">
      <c r="L480">
        <v>469</v>
      </c>
      <c r="M480">
        <f t="shared" si="185"/>
        <v>2.9468139090672465</v>
      </c>
      <c r="P480">
        <f t="shared" si="179"/>
        <v>15094.547412783309</v>
      </c>
      <c r="Q480">
        <f t="shared" si="180"/>
        <v>8467.7473402542018</v>
      </c>
      <c r="V480">
        <f t="shared" si="181"/>
        <v>-23433.816811051682</v>
      </c>
      <c r="W480">
        <f t="shared" si="182"/>
        <v>10677.423138177941</v>
      </c>
      <c r="AB480">
        <f t="shared" si="183"/>
        <v>-9905.4525872166905</v>
      </c>
      <c r="AC480">
        <f t="shared" si="184"/>
        <v>-14032.252659745798</v>
      </c>
      <c r="AW480">
        <v>473</v>
      </c>
      <c r="AX480">
        <f t="shared" si="174"/>
        <v>236.5</v>
      </c>
      <c r="AZ480">
        <f t="shared" si="175"/>
        <v>119811.5690649896</v>
      </c>
      <c r="BB480">
        <f t="shared" si="176"/>
        <v>-4992.5672489193676</v>
      </c>
      <c r="BD480">
        <f t="shared" si="177"/>
        <v>1846.3385608219407</v>
      </c>
      <c r="BF480">
        <f t="shared" si="178"/>
        <v>1169.8203864392374</v>
      </c>
      <c r="BH480">
        <f t="shared" si="163"/>
        <v>-92.566667438955875</v>
      </c>
      <c r="BJ480">
        <f t="shared" si="164"/>
        <v>4.6535198952825452</v>
      </c>
      <c r="BN480" s="20">
        <f t="shared" si="165"/>
        <v>-50.594614620002723</v>
      </c>
      <c r="BP480">
        <f t="shared" si="166"/>
        <v>6.3324986421363292</v>
      </c>
      <c r="BR480">
        <f t="shared" si="167"/>
        <v>-8.9979961590672524</v>
      </c>
      <c r="BT480">
        <f t="shared" si="168"/>
        <v>0.96489198585294489</v>
      </c>
      <c r="BV480">
        <f t="shared" si="169"/>
        <v>-32.974056659885896</v>
      </c>
      <c r="BX480">
        <f t="shared" si="170"/>
        <v>-2.6438707327067288</v>
      </c>
      <c r="CB480">
        <f t="shared" si="171"/>
        <v>100590.32535827669</v>
      </c>
      <c r="CD480">
        <f t="shared" si="172"/>
        <v>140613.12853758616</v>
      </c>
      <c r="CF480">
        <f t="shared" si="173"/>
        <v>125212.12594126844</v>
      </c>
    </row>
    <row r="481" spans="12:84" x14ac:dyDescent="0.25">
      <c r="L481">
        <v>470</v>
      </c>
      <c r="M481">
        <f t="shared" si="185"/>
        <v>2.9530970943744261</v>
      </c>
      <c r="P481">
        <f t="shared" si="179"/>
        <v>15088.563746356536</v>
      </c>
      <c r="Q481">
        <f t="shared" si="180"/>
        <v>8436.906572928523</v>
      </c>
      <c r="V481">
        <f t="shared" si="181"/>
        <v>-23438.005377550424</v>
      </c>
      <c r="W481">
        <f t="shared" si="182"/>
        <v>10655.834601049966</v>
      </c>
      <c r="AB481">
        <f t="shared" si="183"/>
        <v>-9911.4362536434637</v>
      </c>
      <c r="AC481">
        <f t="shared" si="184"/>
        <v>-14063.093427071477</v>
      </c>
      <c r="AW481">
        <v>474</v>
      </c>
      <c r="AX481">
        <f t="shared" si="174"/>
        <v>237</v>
      </c>
      <c r="AZ481">
        <f t="shared" si="175"/>
        <v>120723.16751197071</v>
      </c>
      <c r="BB481">
        <f t="shared" si="176"/>
        <v>-4407.075365712838</v>
      </c>
      <c r="BD481">
        <f t="shared" si="177"/>
        <v>1800.0552271024628</v>
      </c>
      <c r="BF481">
        <f t="shared" si="178"/>
        <v>1172.1471463868786</v>
      </c>
      <c r="BH481">
        <f t="shared" si="163"/>
        <v>-91.184666940039534</v>
      </c>
      <c r="BJ481">
        <f t="shared" si="164"/>
        <v>4.06436633647336</v>
      </c>
      <c r="BN481" s="20">
        <f t="shared" si="165"/>
        <v>-49.819215168331283</v>
      </c>
      <c r="BP481">
        <f t="shared" si="166"/>
        <v>5.8894211165418744</v>
      </c>
      <c r="BR481">
        <f t="shared" si="167"/>
        <v>-8.895611253773831</v>
      </c>
      <c r="BT481">
        <f t="shared" si="168"/>
        <v>0.91072240643176861</v>
      </c>
      <c r="BV481">
        <f t="shared" si="169"/>
        <v>-32.469840517934422</v>
      </c>
      <c r="BX481">
        <f t="shared" si="170"/>
        <v>-2.7357771865002833</v>
      </c>
      <c r="CB481">
        <f t="shared" si="171"/>
        <v>101424.52818430695</v>
      </c>
      <c r="CD481">
        <f t="shared" si="172"/>
        <v>141458.73495544735</v>
      </c>
      <c r="CF481">
        <f t="shared" si="173"/>
        <v>126168.63675870773</v>
      </c>
    </row>
    <row r="482" spans="12:84" x14ac:dyDescent="0.25">
      <c r="L482">
        <v>471</v>
      </c>
      <c r="M482">
        <f t="shared" si="185"/>
        <v>2.9593802796816058</v>
      </c>
      <c r="P482">
        <f t="shared" si="179"/>
        <v>15082.773975023334</v>
      </c>
      <c r="Q482">
        <f t="shared" si="180"/>
        <v>8406.0288181355863</v>
      </c>
      <c r="V482">
        <f t="shared" si="181"/>
        <v>-23442.058217483667</v>
      </c>
      <c r="W482">
        <f t="shared" si="182"/>
        <v>10634.22017269491</v>
      </c>
      <c r="AB482">
        <f t="shared" si="183"/>
        <v>-9917.2260249766659</v>
      </c>
      <c r="AC482">
        <f t="shared" si="184"/>
        <v>-14093.971181864414</v>
      </c>
      <c r="AW482">
        <v>475</v>
      </c>
      <c r="AX482">
        <f t="shared" si="174"/>
        <v>237.5</v>
      </c>
      <c r="AZ482">
        <f t="shared" si="175"/>
        <v>121611.79704215443</v>
      </c>
      <c r="BB482">
        <f t="shared" si="176"/>
        <v>-3820.4937467273398</v>
      </c>
      <c r="BD482">
        <f t="shared" si="177"/>
        <v>1754.462893632443</v>
      </c>
      <c r="BF482">
        <f t="shared" si="178"/>
        <v>1174.1793295551154</v>
      </c>
      <c r="BH482">
        <f t="shared" si="163"/>
        <v>-89.860331906632297</v>
      </c>
      <c r="BJ482">
        <f t="shared" si="164"/>
        <v>3.5017532732813752</v>
      </c>
      <c r="BN482" s="20">
        <f t="shared" si="165"/>
        <v>-49.076321486301723</v>
      </c>
      <c r="BP482">
        <f t="shared" si="166"/>
        <v>5.4675559991088187</v>
      </c>
      <c r="BR482">
        <f t="shared" si="167"/>
        <v>-8.797183968243349</v>
      </c>
      <c r="BT482">
        <f t="shared" si="168"/>
        <v>0.85855436172259969</v>
      </c>
      <c r="BV482">
        <f t="shared" si="169"/>
        <v>-31.986826452087222</v>
      </c>
      <c r="BX482">
        <f t="shared" si="170"/>
        <v>-2.8243570875500428</v>
      </c>
      <c r="CB482">
        <f t="shared" si="171"/>
        <v>102240.45616489432</v>
      </c>
      <c r="CD482">
        <f t="shared" si="172"/>
        <v>142284.59898707119</v>
      </c>
      <c r="CF482">
        <f t="shared" si="173"/>
        <v>127104.40004307746</v>
      </c>
    </row>
    <row r="483" spans="12:84" x14ac:dyDescent="0.25">
      <c r="L483">
        <v>472</v>
      </c>
      <c r="M483">
        <f t="shared" si="185"/>
        <v>2.9656634649887854</v>
      </c>
      <c r="P483">
        <f t="shared" si="179"/>
        <v>15077.178327353955</v>
      </c>
      <c r="Q483">
        <f t="shared" si="180"/>
        <v>8375.1152948762792</v>
      </c>
      <c r="V483">
        <f t="shared" si="181"/>
        <v>-23445.975170852231</v>
      </c>
      <c r="W483">
        <f t="shared" si="182"/>
        <v>10612.580706413395</v>
      </c>
      <c r="AB483">
        <f t="shared" si="183"/>
        <v>-9922.821672646045</v>
      </c>
      <c r="AC483">
        <f t="shared" si="184"/>
        <v>-14124.884705123721</v>
      </c>
      <c r="AW483">
        <v>476</v>
      </c>
      <c r="AX483">
        <f t="shared" si="174"/>
        <v>238</v>
      </c>
      <c r="AZ483">
        <f t="shared" si="175"/>
        <v>122477.79594748233</v>
      </c>
      <c r="BB483">
        <f t="shared" si="176"/>
        <v>-3232.966362790622</v>
      </c>
      <c r="BD483">
        <f t="shared" si="177"/>
        <v>1709.5327276791268</v>
      </c>
      <c r="BF483">
        <f t="shared" si="178"/>
        <v>1175.930206191756</v>
      </c>
      <c r="BH483">
        <f t="shared" si="163"/>
        <v>-88.590717314202067</v>
      </c>
      <c r="BJ483">
        <f t="shared" si="164"/>
        <v>2.9638224540921008</v>
      </c>
      <c r="BN483" s="20">
        <f t="shared" si="165"/>
        <v>-48.364301631846054</v>
      </c>
      <c r="BP483">
        <f t="shared" si="166"/>
        <v>5.0654136125301434</v>
      </c>
      <c r="BR483">
        <f t="shared" si="167"/>
        <v>-8.7025364458862047</v>
      </c>
      <c r="BT483">
        <f t="shared" si="168"/>
        <v>0.80826890459352696</v>
      </c>
      <c r="BV483">
        <f t="shared" si="169"/>
        <v>-31.52387923646981</v>
      </c>
      <c r="BX483">
        <f t="shared" si="170"/>
        <v>-2.9098600630315699</v>
      </c>
      <c r="CB483">
        <f t="shared" si="171"/>
        <v>103038.31922735649</v>
      </c>
      <c r="CD483">
        <f t="shared" si="172"/>
        <v>143090.99809845191</v>
      </c>
      <c r="CF483">
        <f t="shared" si="173"/>
        <v>128019.73105833007</v>
      </c>
    </row>
    <row r="484" spans="12:84" x14ac:dyDescent="0.25">
      <c r="L484">
        <v>473</v>
      </c>
      <c r="M484">
        <f t="shared" si="185"/>
        <v>2.9719466502959651</v>
      </c>
      <c r="P484">
        <f t="shared" si="179"/>
        <v>15071.777024254992</v>
      </c>
      <c r="Q484">
        <f t="shared" si="180"/>
        <v>8344.1672235635669</v>
      </c>
      <c r="V484">
        <f t="shared" si="181"/>
        <v>-23449.756083021504</v>
      </c>
      <c r="W484">
        <f t="shared" si="182"/>
        <v>10590.917056494498</v>
      </c>
      <c r="AB484">
        <f t="shared" si="183"/>
        <v>-9928.2229757450077</v>
      </c>
      <c r="AC484">
        <f t="shared" si="184"/>
        <v>-14155.832776436433</v>
      </c>
      <c r="AW484">
        <v>477</v>
      </c>
      <c r="AX484">
        <f t="shared" si="174"/>
        <v>238.5</v>
      </c>
      <c r="AZ484">
        <f t="shared" si="175"/>
        <v>123321.48847165762</v>
      </c>
      <c r="BB484">
        <f t="shared" si="176"/>
        <v>-2644.6307818879827</v>
      </c>
      <c r="BD484">
        <f t="shared" si="177"/>
        <v>1665.2373690220256</v>
      </c>
      <c r="BF484">
        <f t="shared" si="178"/>
        <v>1177.4121174188022</v>
      </c>
      <c r="BH484">
        <f t="shared" si="163"/>
        <v>-87.373079398950381</v>
      </c>
      <c r="BJ484">
        <f t="shared" si="164"/>
        <v>2.448864490679751</v>
      </c>
      <c r="BN484" s="20">
        <f t="shared" si="165"/>
        <v>-47.681632016290976</v>
      </c>
      <c r="BP484">
        <f t="shared" si="166"/>
        <v>4.6816258557464492</v>
      </c>
      <c r="BR484">
        <f t="shared" si="167"/>
        <v>-8.6115022212906904</v>
      </c>
      <c r="BT484">
        <f t="shared" si="168"/>
        <v>0.75975533904088832</v>
      </c>
      <c r="BV484">
        <f t="shared" si="169"/>
        <v>-31.079945161368713</v>
      </c>
      <c r="BX484">
        <f t="shared" si="170"/>
        <v>-2.9925167041075862</v>
      </c>
      <c r="CB484">
        <f t="shared" si="171"/>
        <v>103818.31974030261</v>
      </c>
      <c r="CD484">
        <f t="shared" si="172"/>
        <v>143878.19760249206</v>
      </c>
      <c r="CF484">
        <f t="shared" si="173"/>
        <v>128914.93145519501</v>
      </c>
    </row>
    <row r="485" spans="12:84" x14ac:dyDescent="0.25">
      <c r="L485">
        <v>474</v>
      </c>
      <c r="M485">
        <f t="shared" si="185"/>
        <v>2.9782298356031447</v>
      </c>
      <c r="P485">
        <f t="shared" si="179"/>
        <v>15066.570278960644</v>
      </c>
      <c r="Q485">
        <f t="shared" si="180"/>
        <v>8313.1858259743167</v>
      </c>
      <c r="V485">
        <f t="shared" si="181"/>
        <v>-23453.400804727549</v>
      </c>
      <c r="W485">
        <f t="shared" si="182"/>
        <v>10569.230078182021</v>
      </c>
      <c r="AB485">
        <f t="shared" si="183"/>
        <v>-9933.4297210393561</v>
      </c>
      <c r="AC485">
        <f t="shared" si="184"/>
        <v>-14186.814174025683</v>
      </c>
      <c r="AW485">
        <v>478</v>
      </c>
      <c r="AX485">
        <f t="shared" si="174"/>
        <v>239</v>
      </c>
      <c r="AZ485">
        <f t="shared" si="175"/>
        <v>124143.18552124375</v>
      </c>
      <c r="BB485">
        <f t="shared" si="176"/>
        <v>-2055.6186151172465</v>
      </c>
      <c r="BD485">
        <f t="shared" si="177"/>
        <v>1621.5508293225505</v>
      </c>
      <c r="BF485">
        <f t="shared" si="178"/>
        <v>1178.636549664142</v>
      </c>
      <c r="BH485">
        <f t="shared" si="163"/>
        <v>-86.204859419730312</v>
      </c>
      <c r="BJ485">
        <f t="shared" si="164"/>
        <v>1.9553045898594674</v>
      </c>
      <c r="BN485" s="20">
        <f t="shared" si="165"/>
        <v>-47.026889077420094</v>
      </c>
      <c r="BP485">
        <f t="shared" si="166"/>
        <v>4.3149344283076871</v>
      </c>
      <c r="BR485">
        <f t="shared" si="167"/>
        <v>-8.5239253514866995</v>
      </c>
      <c r="BT485">
        <f t="shared" si="168"/>
        <v>0.71291051859061338</v>
      </c>
      <c r="BV485">
        <f t="shared" si="169"/>
        <v>-30.654044990823525</v>
      </c>
      <c r="BX485">
        <f t="shared" si="170"/>
        <v>-3.0725403570388328</v>
      </c>
      <c r="CB485">
        <f t="shared" si="171"/>
        <v>104580.65278831343</v>
      </c>
      <c r="CD485">
        <f t="shared" si="172"/>
        <v>144646.45129558089</v>
      </c>
      <c r="CF485">
        <f t="shared" si="173"/>
        <v>129790.28999124581</v>
      </c>
    </row>
    <row r="486" spans="12:84" x14ac:dyDescent="0.25">
      <c r="L486">
        <v>475</v>
      </c>
      <c r="M486">
        <f t="shared" si="185"/>
        <v>2.9845130209103243</v>
      </c>
      <c r="P486">
        <f t="shared" si="179"/>
        <v>15061.558297024294</v>
      </c>
      <c r="Q486">
        <f t="shared" si="180"/>
        <v>8282.1723252010524</v>
      </c>
      <c r="V486">
        <f t="shared" si="181"/>
        <v>-23456.909192082992</v>
      </c>
      <c r="W486">
        <f t="shared" si="182"/>
        <v>10547.520627640737</v>
      </c>
      <c r="AB486">
        <f t="shared" si="183"/>
        <v>-9938.441702975706</v>
      </c>
      <c r="AC486">
        <f t="shared" si="184"/>
        <v>-14217.827674798948</v>
      </c>
      <c r="AW486">
        <v>479</v>
      </c>
      <c r="AX486">
        <f t="shared" si="174"/>
        <v>239.5</v>
      </c>
      <c r="AZ486">
        <f t="shared" si="175"/>
        <v>124943.18532847756</v>
      </c>
      <c r="BB486">
        <f t="shared" si="176"/>
        <v>-1466.0559272114431</v>
      </c>
      <c r="BD486">
        <f t="shared" si="177"/>
        <v>1578.4483996126853</v>
      </c>
      <c r="BF486">
        <f t="shared" si="178"/>
        <v>1179.6142019590718</v>
      </c>
      <c r="BH486">
        <f t="shared" si="163"/>
        <v>-85.083668945800937</v>
      </c>
      <c r="BJ486">
        <f t="shared" si="164"/>
        <v>1.4816898363122202</v>
      </c>
      <c r="BN486" s="20">
        <f t="shared" si="165"/>
        <v>-46.398741682915777</v>
      </c>
      <c r="BP486">
        <f t="shared" si="166"/>
        <v>3.9641803474814994</v>
      </c>
      <c r="BR486">
        <f t="shared" si="167"/>
        <v>-8.4396596266623209</v>
      </c>
      <c r="BT486">
        <f t="shared" si="168"/>
        <v>0.66763821332223683</v>
      </c>
      <c r="BV486">
        <f t="shared" si="169"/>
        <v>-30.245267636222838</v>
      </c>
      <c r="BX486">
        <f t="shared" si="170"/>
        <v>-3.1501287244915157</v>
      </c>
      <c r="CB486">
        <f t="shared" si="171"/>
        <v>105325.50643494229</v>
      </c>
      <c r="CD486">
        <f t="shared" si="172"/>
        <v>145396.00204851344</v>
      </c>
      <c r="CF486">
        <f t="shared" si="173"/>
        <v>130646.08319990475</v>
      </c>
    </row>
    <row r="487" spans="12:84" x14ac:dyDescent="0.25">
      <c r="L487">
        <v>476</v>
      </c>
      <c r="M487">
        <f t="shared" si="185"/>
        <v>2.990796206217504</v>
      </c>
      <c r="P487">
        <f t="shared" si="179"/>
        <v>15056.741276310415</v>
      </c>
      <c r="Q487">
        <f t="shared" si="180"/>
        <v>8251.1279456036827</v>
      </c>
      <c r="V487">
        <f t="shared" si="181"/>
        <v>-23460.281106582712</v>
      </c>
      <c r="W487">
        <f t="shared" si="182"/>
        <v>10525.789561922578</v>
      </c>
      <c r="AB487">
        <f t="shared" si="183"/>
        <v>-9943.2587236895852</v>
      </c>
      <c r="AC487">
        <f t="shared" si="184"/>
        <v>-14248.872054396317</v>
      </c>
      <c r="AW487">
        <v>480</v>
      </c>
      <c r="AX487">
        <f t="shared" si="174"/>
        <v>240</v>
      </c>
      <c r="AZ487">
        <f t="shared" si="175"/>
        <v>125721.77406966567</v>
      </c>
      <c r="BB487">
        <f t="shared" si="176"/>
        <v>-876.06361500236812</v>
      </c>
      <c r="BD487">
        <f t="shared" si="177"/>
        <v>1535.9065651397848</v>
      </c>
      <c r="BF487">
        <f t="shared" si="178"/>
        <v>1180.355046877228</v>
      </c>
      <c r="BH487">
        <f t="shared" si="163"/>
        <v>-84.007276509349353</v>
      </c>
      <c r="BJ487">
        <f t="shared" si="164"/>
        <v>1.0266778373302623</v>
      </c>
      <c r="BN487" s="20">
        <f t="shared" si="165"/>
        <v>-45.795944194438391</v>
      </c>
      <c r="BP487">
        <f t="shared" si="166"/>
        <v>3.6282945992653013</v>
      </c>
      <c r="BR487">
        <f t="shared" si="167"/>
        <v>-8.3585678520115625</v>
      </c>
      <c r="BT487">
        <f t="shared" si="168"/>
        <v>0.6238485378673102</v>
      </c>
      <c r="BV487">
        <f t="shared" si="169"/>
        <v>-29.852764462899398</v>
      </c>
      <c r="BX487">
        <f t="shared" si="170"/>
        <v>-3.225465299802349</v>
      </c>
      <c r="CB487">
        <f t="shared" si="171"/>
        <v>106053.06197427775</v>
      </c>
      <c r="CD487">
        <f t="shared" si="172"/>
        <v>146127.08235562724</v>
      </c>
      <c r="CF487">
        <f t="shared" si="173"/>
        <v>131482.57601267239</v>
      </c>
    </row>
    <row r="488" spans="12:84" x14ac:dyDescent="0.25">
      <c r="L488">
        <v>477</v>
      </c>
      <c r="M488">
        <f t="shared" si="185"/>
        <v>2.9970793915246836</v>
      </c>
      <c r="P488">
        <f t="shared" si="179"/>
        <v>15052.119406986731</v>
      </c>
      <c r="Q488">
        <f t="shared" si="180"/>
        <v>8220.0539127611573</v>
      </c>
      <c r="V488">
        <f t="shared" si="181"/>
        <v>-23463.51641510929</v>
      </c>
      <c r="W488">
        <f t="shared" si="182"/>
        <v>10504.03773893281</v>
      </c>
      <c r="AB488">
        <f t="shared" si="183"/>
        <v>-9947.8805930132694</v>
      </c>
      <c r="AC488">
        <f t="shared" si="184"/>
        <v>-14279.946087238843</v>
      </c>
      <c r="AW488">
        <v>481</v>
      </c>
      <c r="AX488">
        <f t="shared" si="174"/>
        <v>240.5</v>
      </c>
      <c r="AZ488">
        <f t="shared" si="175"/>
        <v>126479.2264426719</v>
      </c>
      <c r="BB488">
        <f t="shared" si="176"/>
        <v>-285.75775683408784</v>
      </c>
      <c r="BD488">
        <f t="shared" si="177"/>
        <v>1493.9029268851102</v>
      </c>
      <c r="BF488">
        <f t="shared" si="178"/>
        <v>1180.8683857958931</v>
      </c>
      <c r="BH488">
        <f t="shared" si="163"/>
        <v>-82.973595480487234</v>
      </c>
      <c r="BJ488">
        <f t="shared" si="164"/>
        <v>0.58902656565739031</v>
      </c>
      <c r="BN488" s="20">
        <f t="shared" si="165"/>
        <v>-45.2173301296014</v>
      </c>
      <c r="BP488">
        <f t="shared" si="166"/>
        <v>3.3062897859181493</v>
      </c>
      <c r="BR488">
        <f t="shared" si="167"/>
        <v>-8.2805211933776643</v>
      </c>
      <c r="BT488">
        <f t="shared" si="168"/>
        <v>0.58145743368427205</v>
      </c>
      <c r="BV488">
        <f t="shared" si="169"/>
        <v>-29.475744157508164</v>
      </c>
      <c r="BX488">
        <f t="shared" si="170"/>
        <v>-3.2987206539450309</v>
      </c>
      <c r="CB488">
        <f t="shared" si="171"/>
        <v>106763.49417135945</v>
      </c>
      <c r="CD488">
        <f t="shared" si="172"/>
        <v>146839.91484564348</v>
      </c>
      <c r="CF488">
        <f t="shared" si="173"/>
        <v>132300.02233844847</v>
      </c>
    </row>
    <row r="489" spans="12:84" x14ac:dyDescent="0.25">
      <c r="L489">
        <v>478</v>
      </c>
      <c r="M489">
        <f t="shared" si="185"/>
        <v>3.0033625768318633</v>
      </c>
      <c r="P489">
        <f t="shared" si="179"/>
        <v>15047.692871516731</v>
      </c>
      <c r="Q489">
        <f t="shared" si="180"/>
        <v>8188.9514534230866</v>
      </c>
      <c r="V489">
        <f t="shared" si="181"/>
        <v>-23466.614989938291</v>
      </c>
      <c r="W489">
        <f t="shared" si="182"/>
        <v>10482.266017396161</v>
      </c>
      <c r="AB489">
        <f t="shared" si="183"/>
        <v>-9952.3071284832695</v>
      </c>
      <c r="AC489">
        <f t="shared" si="184"/>
        <v>-14311.048546576912</v>
      </c>
      <c r="AW489">
        <v>482</v>
      </c>
      <c r="AX489">
        <f t="shared" si="174"/>
        <v>241</v>
      </c>
      <c r="AZ489">
        <f t="shared" si="175"/>
        <v>127215.80620667941</v>
      </c>
      <c r="BB489">
        <f t="shared" si="176"/>
        <v>304.75006438456592</v>
      </c>
      <c r="BD489">
        <f t="shared" si="177"/>
        <v>1452.4161291448665</v>
      </c>
      <c r="BF489">
        <f t="shared" si="178"/>
        <v>1181.1628990787219</v>
      </c>
      <c r="BH489">
        <f t="shared" si="163"/>
        <v>-81.980673038837878</v>
      </c>
      <c r="BJ489">
        <f t="shared" si="164"/>
        <v>0.16758525830775106</v>
      </c>
      <c r="BN489" s="20">
        <f t="shared" si="165"/>
        <v>-44.661806365431431</v>
      </c>
      <c r="BP489">
        <f t="shared" si="166"/>
        <v>2.9972526509372051</v>
      </c>
      <c r="BR489">
        <f t="shared" si="167"/>
        <v>-8.2053985802119787</v>
      </c>
      <c r="BT489">
        <f t="shared" si="168"/>
        <v>0.54038619973192603</v>
      </c>
      <c r="BV489">
        <f t="shared" si="169"/>
        <v>-29.113468093194466</v>
      </c>
      <c r="BX489">
        <f t="shared" si="170"/>
        <v>-3.3700535923613799</v>
      </c>
      <c r="CB489">
        <f t="shared" si="171"/>
        <v>107456.97149177529</v>
      </c>
      <c r="CD489">
        <f t="shared" si="172"/>
        <v>147534.71275735972</v>
      </c>
      <c r="CF489">
        <f t="shared" si="173"/>
        <v>133098.66560343679</v>
      </c>
    </row>
    <row r="490" spans="12:84" x14ac:dyDescent="0.25">
      <c r="L490">
        <v>479</v>
      </c>
      <c r="M490">
        <f t="shared" si="185"/>
        <v>3.0096457621390429</v>
      </c>
      <c r="P490">
        <f t="shared" si="179"/>
        <v>15043.461844652453</v>
      </c>
      <c r="Q490">
        <f t="shared" si="180"/>
        <v>8157.8217954613083</v>
      </c>
      <c r="V490">
        <f t="shared" si="181"/>
        <v>-23469.576708743283</v>
      </c>
      <c r="W490">
        <f t="shared" si="182"/>
        <v>10460.475256822916</v>
      </c>
      <c r="AB490">
        <f t="shared" si="183"/>
        <v>-9956.5381553475472</v>
      </c>
      <c r="AC490">
        <f t="shared" si="184"/>
        <v>-14342.178204538692</v>
      </c>
      <c r="AW490">
        <v>483</v>
      </c>
      <c r="AX490">
        <f t="shared" si="174"/>
        <v>241.5</v>
      </c>
      <c r="AZ490">
        <f t="shared" si="175"/>
        <v>127931.76668712198</v>
      </c>
      <c r="BB490">
        <f t="shared" si="176"/>
        <v>895.35246208121532</v>
      </c>
      <c r="BD490">
        <f t="shared" si="177"/>
        <v>1411.4257926254477</v>
      </c>
      <c r="BF490">
        <f t="shared" si="178"/>
        <v>1181.2466917078757</v>
      </c>
      <c r="BH490">
        <f t="shared" si="163"/>
        <v>-81.02668013018237</v>
      </c>
      <c r="BJ490">
        <f t="shared" si="164"/>
        <v>-0.23871375218291924</v>
      </c>
      <c r="BN490" s="20">
        <f t="shared" si="165"/>
        <v>-44.128347832567961</v>
      </c>
      <c r="BP490">
        <f t="shared" si="166"/>
        <v>2.7003373780554334</v>
      </c>
      <c r="BR490">
        <f t="shared" si="167"/>
        <v>-8.1330861601121587</v>
      </c>
      <c r="BT490">
        <f t="shared" si="168"/>
        <v>0.50056106637299247</v>
      </c>
      <c r="BV490">
        <f t="shared" si="169"/>
        <v>-28.765246137502249</v>
      </c>
      <c r="BX490">
        <f t="shared" si="170"/>
        <v>-3.4396121966113453</v>
      </c>
      <c r="CB490">
        <f t="shared" si="171"/>
        <v>108133.65632079344</v>
      </c>
      <c r="CD490">
        <f t="shared" si="172"/>
        <v>148211.68038303469</v>
      </c>
      <c r="CF490">
        <f t="shared" si="173"/>
        <v>133878.7392547944</v>
      </c>
    </row>
    <row r="491" spans="12:84" x14ac:dyDescent="0.25">
      <c r="L491">
        <v>480</v>
      </c>
      <c r="M491">
        <f t="shared" si="185"/>
        <v>3.0159289474462225</v>
      </c>
      <c r="P491">
        <f t="shared" si="179"/>
        <v>15039.426493427598</v>
      </c>
      <c r="Q491">
        <f t="shared" si="180"/>
        <v>8126.6661678214168</v>
      </c>
      <c r="V491">
        <f t="shared" si="181"/>
        <v>-23472.40145460068</v>
      </c>
      <c r="W491">
        <f t="shared" si="182"/>
        <v>10438.666317474992</v>
      </c>
      <c r="AB491">
        <f t="shared" si="183"/>
        <v>-9960.573506572402</v>
      </c>
      <c r="AC491">
        <f t="shared" si="184"/>
        <v>-14373.333832178583</v>
      </c>
      <c r="AW491">
        <v>484</v>
      </c>
      <c r="AX491">
        <f t="shared" si="174"/>
        <v>242</v>
      </c>
      <c r="AZ491">
        <f t="shared" si="175"/>
        <v>128627.35124841843</v>
      </c>
      <c r="BB491">
        <f t="shared" si="176"/>
        <v>1485.9459687161302</v>
      </c>
      <c r="BD491">
        <f t="shared" si="177"/>
        <v>1370.9124525603565</v>
      </c>
      <c r="BF491">
        <f t="shared" si="178"/>
        <v>1181.1273348317843</v>
      </c>
      <c r="BH491">
        <f t="shared" si="163"/>
        <v>-80.109902309204841</v>
      </c>
      <c r="BJ491">
        <f t="shared" si="164"/>
        <v>-0.63086238169283027</v>
      </c>
      <c r="BN491" s="20">
        <f t="shared" si="165"/>
        <v>-43.61599265455326</v>
      </c>
      <c r="BP491">
        <f t="shared" si="166"/>
        <v>2.4147595742502532</v>
      </c>
      <c r="BR491">
        <f t="shared" si="167"/>
        <v>-8.0634767998563301</v>
      </c>
      <c r="BT491">
        <f t="shared" si="168"/>
        <v>0.46191280795439238</v>
      </c>
      <c r="BV491">
        <f t="shared" si="169"/>
        <v>-28.430432854795257</v>
      </c>
      <c r="BX491">
        <f t="shared" si="170"/>
        <v>-3.5075347638974761</v>
      </c>
      <c r="CB491">
        <f t="shared" si="171"/>
        <v>108793.70517239715</v>
      </c>
      <c r="CD491">
        <f t="shared" si="172"/>
        <v>148871.01348203543</v>
      </c>
      <c r="CF491">
        <f t="shared" si="173"/>
        <v>134640.46723088727</v>
      </c>
    </row>
    <row r="492" spans="12:84" x14ac:dyDescent="0.25">
      <c r="L492">
        <v>481</v>
      </c>
      <c r="M492">
        <f t="shared" si="185"/>
        <v>3.0222121327534022</v>
      </c>
      <c r="P492">
        <f t="shared" si="179"/>
        <v>15035.586977150921</v>
      </c>
      <c r="Q492">
        <f t="shared" si="180"/>
        <v>8095.4858004742437</v>
      </c>
      <c r="V492">
        <f t="shared" si="181"/>
        <v>-23475.089115994357</v>
      </c>
      <c r="W492">
        <f t="shared" si="182"/>
        <v>10416.840060331971</v>
      </c>
      <c r="AB492">
        <f t="shared" si="183"/>
        <v>-9964.4130228490794</v>
      </c>
      <c r="AC492">
        <f t="shared" si="184"/>
        <v>-14404.514199525756</v>
      </c>
      <c r="AW492">
        <v>485</v>
      </c>
      <c r="AX492">
        <f t="shared" si="174"/>
        <v>242.5</v>
      </c>
      <c r="AZ492">
        <f t="shared" si="175"/>
        <v>129302.79373690995</v>
      </c>
      <c r="BB492">
        <f t="shared" si="176"/>
        <v>2076.4307783343111</v>
      </c>
      <c r="BD492">
        <f t="shared" si="177"/>
        <v>1330.8575014057542</v>
      </c>
      <c r="BF492">
        <f t="shared" si="178"/>
        <v>1180.811903640938</v>
      </c>
      <c r="BH492">
        <f t="shared" si="163"/>
        <v>-79.228731380412398</v>
      </c>
      <c r="BJ492">
        <f t="shared" si="164"/>
        <v>-1.0097834075700987</v>
      </c>
      <c r="BN492" s="20">
        <f t="shared" si="165"/>
        <v>-43.123837691135108</v>
      </c>
      <c r="BP492">
        <f t="shared" si="166"/>
        <v>2.1397908582712426</v>
      </c>
      <c r="BR492">
        <f t="shared" si="167"/>
        <v>-7.9964696284147037</v>
      </c>
      <c r="BT492">
        <f t="shared" si="168"/>
        <v>0.42437639004492056</v>
      </c>
      <c r="BV492">
        <f t="shared" si="169"/>
        <v>-28.108424060862593</v>
      </c>
      <c r="BX492">
        <f t="shared" si="170"/>
        <v>-3.5739506558862617</v>
      </c>
      <c r="CB492">
        <f t="shared" si="171"/>
        <v>109437.26888859975</v>
      </c>
      <c r="CD492">
        <f t="shared" si="172"/>
        <v>149512.8996670749</v>
      </c>
      <c r="CF492">
        <f t="shared" si="173"/>
        <v>135384.06440074925</v>
      </c>
    </row>
    <row r="493" spans="12:84" x14ac:dyDescent="0.25">
      <c r="L493">
        <v>482</v>
      </c>
      <c r="M493">
        <f t="shared" si="185"/>
        <v>3.0284953180605818</v>
      </c>
      <c r="P493">
        <f t="shared" si="179"/>
        <v>15031.943447399946</v>
      </c>
      <c r="Q493">
        <f t="shared" si="180"/>
        <v>8064.2819243673039</v>
      </c>
      <c r="V493">
        <f t="shared" si="181"/>
        <v>-23477.639586820038</v>
      </c>
      <c r="W493">
        <f t="shared" si="182"/>
        <v>10394.997347057113</v>
      </c>
      <c r="AB493">
        <f t="shared" si="183"/>
        <v>-9968.0565526000537</v>
      </c>
      <c r="AC493">
        <f t="shared" si="184"/>
        <v>-14435.718075632696</v>
      </c>
      <c r="AW493">
        <v>486</v>
      </c>
      <c r="AX493">
        <f t="shared" si="174"/>
        <v>243</v>
      </c>
      <c r="AZ493">
        <f t="shared" si="175"/>
        <v>129958.31889619028</v>
      </c>
      <c r="BB493">
        <f t="shared" si="176"/>
        <v>2666.7105072288336</v>
      </c>
      <c r="BD493">
        <f t="shared" si="177"/>
        <v>1291.2431357155481</v>
      </c>
      <c r="BF493">
        <f t="shared" si="178"/>
        <v>1180.307011937153</v>
      </c>
      <c r="BH493">
        <f t="shared" si="163"/>
        <v>-78.381657758996823</v>
      </c>
      <c r="BJ493">
        <f t="shared" si="164"/>
        <v>-1.3763364329562724</v>
      </c>
      <c r="BN493" s="20">
        <f t="shared" si="165"/>
        <v>-42.651034448598715</v>
      </c>
      <c r="BP493">
        <f t="shared" si="166"/>
        <v>1.8747539861067803</v>
      </c>
      <c r="BR493">
        <f t="shared" si="167"/>
        <v>-7.9319696179211698</v>
      </c>
      <c r="BT493">
        <f t="shared" si="168"/>
        <v>0.38789064777625482</v>
      </c>
      <c r="BV493">
        <f t="shared" si="169"/>
        <v>-27.798653692476936</v>
      </c>
      <c r="BX493">
        <f t="shared" si="170"/>
        <v>-3.6389810668393077</v>
      </c>
      <c r="CB493">
        <f t="shared" si="171"/>
        <v>110064.49282941892</v>
      </c>
      <c r="CD493">
        <f t="shared" si="172"/>
        <v>150137.5187651517</v>
      </c>
      <c r="CF493">
        <f t="shared" si="173"/>
        <v>136109.73697510408</v>
      </c>
    </row>
    <row r="494" spans="12:84" x14ac:dyDescent="0.25">
      <c r="L494">
        <v>483</v>
      </c>
      <c r="M494">
        <f t="shared" si="185"/>
        <v>3.0347785033677614</v>
      </c>
      <c r="P494">
        <f t="shared" si="179"/>
        <v>15028.496048014993</v>
      </c>
      <c r="Q494">
        <f t="shared" si="180"/>
        <v>8033.0557713761946</v>
      </c>
      <c r="V494">
        <f t="shared" si="181"/>
        <v>-23480.052766389505</v>
      </c>
      <c r="W494">
        <f t="shared" si="182"/>
        <v>10373.139039963336</v>
      </c>
      <c r="AB494">
        <f t="shared" si="183"/>
        <v>-9971.503951985007</v>
      </c>
      <c r="AC494">
        <f t="shared" si="184"/>
        <v>-14466.944228623806</v>
      </c>
      <c r="AW494">
        <v>487</v>
      </c>
      <c r="AX494">
        <f t="shared" si="174"/>
        <v>243.5</v>
      </c>
      <c r="AZ494">
        <f t="shared" si="175"/>
        <v>130594.14275682818</v>
      </c>
      <c r="BB494">
        <f t="shared" si="176"/>
        <v>3256.6919711432906</v>
      </c>
      <c r="BD494">
        <f t="shared" si="177"/>
        <v>1252.0523068360496</v>
      </c>
      <c r="BF494">
        <f t="shared" si="178"/>
        <v>1179.6188437206749</v>
      </c>
      <c r="BH494">
        <f t="shared" si="163"/>
        <v>-77.56726348192268</v>
      </c>
      <c r="BJ494">
        <f t="shared" si="164"/>
        <v>-1.7313232743534239</v>
      </c>
      <c r="BN494" s="20">
        <f t="shared" si="165"/>
        <v>-42.196785323808029</v>
      </c>
      <c r="BP494">
        <f t="shared" si="166"/>
        <v>1.619018453356587</v>
      </c>
      <c r="BR494">
        <f t="shared" si="167"/>
        <v>-7.8698871990225188</v>
      </c>
      <c r="BT494">
        <f t="shared" si="168"/>
        <v>0.35239799213876766</v>
      </c>
      <c r="BV494">
        <f t="shared" si="169"/>
        <v>-27.500590959092136</v>
      </c>
      <c r="BX494">
        <f t="shared" si="170"/>
        <v>-3.7027397198487786</v>
      </c>
      <c r="CB494">
        <f t="shared" si="171"/>
        <v>110675.51705388799</v>
      </c>
      <c r="CD494">
        <f t="shared" si="172"/>
        <v>150745.04315511003</v>
      </c>
      <c r="CF494">
        <f t="shared" si="173"/>
        <v>136817.68289109526</v>
      </c>
    </row>
    <row r="495" spans="12:84" x14ac:dyDescent="0.25">
      <c r="L495">
        <v>484</v>
      </c>
      <c r="M495">
        <f t="shared" si="185"/>
        <v>3.0410616886749411</v>
      </c>
      <c r="P495">
        <f t="shared" si="179"/>
        <v>15025.244915093488</v>
      </c>
      <c r="Q495">
        <f t="shared" si="180"/>
        <v>8001.8085742559688</v>
      </c>
      <c r="V495">
        <f t="shared" si="181"/>
        <v>-23482.328559434558</v>
      </c>
      <c r="W495">
        <f t="shared" si="182"/>
        <v>10351.266001979178</v>
      </c>
      <c r="AB495">
        <f t="shared" si="183"/>
        <v>-9974.7550849065119</v>
      </c>
      <c r="AC495">
        <f t="shared" si="184"/>
        <v>-14498.191425744031</v>
      </c>
      <c r="AW495">
        <v>488</v>
      </c>
      <c r="AX495">
        <f t="shared" si="174"/>
        <v>244</v>
      </c>
      <c r="AZ495">
        <f t="shared" si="175"/>
        <v>131210.47300231096</v>
      </c>
      <c r="BB495">
        <f t="shared" si="176"/>
        <v>3846.2849775943337</v>
      </c>
      <c r="BD495">
        <f t="shared" si="177"/>
        <v>1213.2686750950884</v>
      </c>
      <c r="BF495">
        <f t="shared" si="178"/>
        <v>1178.7531820834981</v>
      </c>
      <c r="BH495">
        <f t="shared" si="163"/>
        <v>-76.784215807066587</v>
      </c>
      <c r="BJ495">
        <f t="shared" si="164"/>
        <v>-2.0754928356159192</v>
      </c>
      <c r="BN495" s="20">
        <f t="shared" si="165"/>
        <v>-41.760340151944568</v>
      </c>
      <c r="BP495">
        <f t="shared" si="166"/>
        <v>1.3719965218631858</v>
      </c>
      <c r="BR495">
        <f t="shared" si="167"/>
        <v>-7.8101379074066966</v>
      </c>
      <c r="BT495">
        <f t="shared" si="168"/>
        <v>0.31784414143810014</v>
      </c>
      <c r="BV495">
        <f t="shared" si="169"/>
        <v>-27.213737747715317</v>
      </c>
      <c r="BX495">
        <f t="shared" si="170"/>
        <v>-3.7653334989172049</v>
      </c>
      <c r="CB495">
        <f t="shared" si="171"/>
        <v>111270.47649247614</v>
      </c>
      <c r="CD495">
        <f t="shared" si="172"/>
        <v>151335.63808356441</v>
      </c>
      <c r="CF495">
        <f t="shared" si="173"/>
        <v>137508.092172679</v>
      </c>
    </row>
    <row r="496" spans="12:84" x14ac:dyDescent="0.25">
      <c r="L496">
        <v>485</v>
      </c>
      <c r="M496">
        <f t="shared" si="185"/>
        <v>3.0473448739821207</v>
      </c>
      <c r="P496">
        <f t="shared" si="179"/>
        <v>15022.19017698459</v>
      </c>
      <c r="Q496">
        <f t="shared" si="180"/>
        <v>7970.5415665924656</v>
      </c>
      <c r="V496">
        <f t="shared" si="181"/>
        <v>-23484.466876110786</v>
      </c>
      <c r="W496">
        <f t="shared" si="182"/>
        <v>10329.379096614726</v>
      </c>
      <c r="AB496">
        <f t="shared" si="183"/>
        <v>-9977.8098230154101</v>
      </c>
      <c r="AC496">
        <f t="shared" si="184"/>
        <v>-14529.458433407535</v>
      </c>
      <c r="AW496">
        <v>489</v>
      </c>
      <c r="AX496">
        <f t="shared" si="174"/>
        <v>244.5</v>
      </c>
      <c r="AZ496">
        <f t="shared" si="175"/>
        <v>131807.50931288264</v>
      </c>
      <c r="BB496">
        <f t="shared" si="176"/>
        <v>4435.4021320316306</v>
      </c>
      <c r="BD496">
        <f t="shared" si="177"/>
        <v>1174.8765671915551</v>
      </c>
      <c r="BF496">
        <f t="shared" si="178"/>
        <v>1177.7154356656902</v>
      </c>
      <c r="BH496">
        <f t="shared" si="163"/>
        <v>-76.031261344829986</v>
      </c>
      <c r="BJ496">
        <f t="shared" si="164"/>
        <v>-2.409545523927783</v>
      </c>
      <c r="BN496" s="20">
        <f t="shared" si="165"/>
        <v>-41.340993030853951</v>
      </c>
      <c r="BP496">
        <f t="shared" si="166"/>
        <v>1.1331396243476859</v>
      </c>
      <c r="BR496">
        <f t="shared" si="167"/>
        <v>-7.7526420586530733</v>
      </c>
      <c r="BT496">
        <f t="shared" si="168"/>
        <v>0.28417787542899786</v>
      </c>
      <c r="BV496">
        <f t="shared" si="169"/>
        <v>-26.937626255322961</v>
      </c>
      <c r="BX496">
        <f t="shared" si="170"/>
        <v>-3.8268630237044667</v>
      </c>
      <c r="CB496">
        <f t="shared" si="171"/>
        <v>111849.50111128209</v>
      </c>
      <c r="CD496">
        <f t="shared" si="172"/>
        <v>151909.46196077828</v>
      </c>
      <c r="CF496">
        <f t="shared" si="173"/>
        <v>138181.14726846153</v>
      </c>
    </row>
    <row r="497" spans="12:84" x14ac:dyDescent="0.25">
      <c r="L497">
        <v>486</v>
      </c>
      <c r="M497">
        <f t="shared" si="185"/>
        <v>3.0536280592893004</v>
      </c>
      <c r="P497">
        <f t="shared" si="179"/>
        <v>15019.331954284127</v>
      </c>
      <c r="Q497">
        <f t="shared" si="180"/>
        <v>7939.2559827536097</v>
      </c>
      <c r="V497">
        <f t="shared" si="181"/>
        <v>-23486.467632001109</v>
      </c>
      <c r="W497">
        <f t="shared" si="182"/>
        <v>10307.479187927527</v>
      </c>
      <c r="AB497">
        <f t="shared" si="183"/>
        <v>-9980.6680457158727</v>
      </c>
      <c r="AC497">
        <f t="shared" si="184"/>
        <v>-14560.74401724639</v>
      </c>
      <c r="AW497">
        <v>490</v>
      </c>
      <c r="AX497">
        <f t="shared" si="174"/>
        <v>245</v>
      </c>
      <c r="AZ497">
        <f t="shared" si="175"/>
        <v>132385.44368881031</v>
      </c>
      <c r="BB497">
        <f t="shared" si="176"/>
        <v>5023.9586566739845</v>
      </c>
      <c r="BD497">
        <f t="shared" si="177"/>
        <v>1136.8609365191401</v>
      </c>
      <c r="BF497">
        <f t="shared" si="178"/>
        <v>1176.5106629037264</v>
      </c>
      <c r="BH497">
        <f t="shared" si="163"/>
        <v>-75.307220672538676</v>
      </c>
      <c r="BJ497">
        <f t="shared" si="164"/>
        <v>-2.7341372567116249</v>
      </c>
      <c r="BN497" s="20">
        <f t="shared" si="165"/>
        <v>-40.93807939758215</v>
      </c>
      <c r="BP497">
        <f t="shared" si="166"/>
        <v>0.90193510634214591</v>
      </c>
      <c r="BR497">
        <f t="shared" si="167"/>
        <v>-7.6973244488431414</v>
      </c>
      <c r="BT497">
        <f t="shared" si="168"/>
        <v>0.25135080991499026</v>
      </c>
      <c r="BV497">
        <f t="shared" si="169"/>
        <v>-26.671816826113389</v>
      </c>
      <c r="BX497">
        <f t="shared" si="170"/>
        <v>-3.8874231729687612</v>
      </c>
      <c r="CB497">
        <f t="shared" si="171"/>
        <v>112412.71606835506</v>
      </c>
      <c r="CD497">
        <f t="shared" si="172"/>
        <v>152466.66663794441</v>
      </c>
      <c r="CF497">
        <f t="shared" si="173"/>
        <v>138837.02336860821</v>
      </c>
    </row>
    <row r="498" spans="12:84" x14ac:dyDescent="0.25">
      <c r="L498">
        <v>487</v>
      </c>
      <c r="M498">
        <f t="shared" si="185"/>
        <v>3.05991124459648</v>
      </c>
      <c r="P498">
        <f t="shared" si="179"/>
        <v>15016.670359829841</v>
      </c>
      <c r="Q498">
        <f t="shared" si="180"/>
        <v>7907.9530578406811</v>
      </c>
      <c r="V498">
        <f t="shared" si="181"/>
        <v>-23488.330748119111</v>
      </c>
      <c r="W498">
        <f t="shared" si="182"/>
        <v>10285.567140488476</v>
      </c>
      <c r="AB498">
        <f t="shared" si="183"/>
        <v>-9983.3296401701591</v>
      </c>
      <c r="AC498">
        <f t="shared" si="184"/>
        <v>-14592.046942159319</v>
      </c>
      <c r="AW498">
        <v>491</v>
      </c>
      <c r="AX498">
        <f t="shared" si="174"/>
        <v>245.5</v>
      </c>
      <c r="AZ498">
        <f t="shared" si="175"/>
        <v>132944.46075448583</v>
      </c>
      <c r="BB498">
        <f t="shared" si="176"/>
        <v>5611.8722209687594</v>
      </c>
      <c r="BD498">
        <f t="shared" si="177"/>
        <v>1099.2073261828707</v>
      </c>
      <c r="BF498">
        <f t="shared" si="178"/>
        <v>1175.1435942753706</v>
      </c>
      <c r="BH498">
        <f t="shared" si="163"/>
        <v>-74.610983387102692</v>
      </c>
      <c r="BJ498">
        <f t="shared" si="164"/>
        <v>-3.0498831026641104</v>
      </c>
      <c r="BN498" s="20">
        <f t="shared" si="165"/>
        <v>-40.550973335025169</v>
      </c>
      <c r="BP498">
        <f t="shared" si="166"/>
        <v>0.67790326952864899</v>
      </c>
      <c r="BR498">
        <f t="shared" si="167"/>
        <v>-7.6441140786363748</v>
      </c>
      <c r="BT498">
        <f t="shared" si="168"/>
        <v>0.21931718984183121</v>
      </c>
      <c r="BV498">
        <f t="shared" si="169"/>
        <v>-26.415895973441138</v>
      </c>
      <c r="BX498">
        <f t="shared" si="170"/>
        <v>-3.9471035620345907</v>
      </c>
      <c r="CB498">
        <f t="shared" si="171"/>
        <v>112960.2418624869</v>
      </c>
      <c r="CD498">
        <f t="shared" si="172"/>
        <v>153007.39766718983</v>
      </c>
      <c r="CF498">
        <f t="shared" si="173"/>
        <v>139475.88870231094</v>
      </c>
    </row>
    <row r="499" spans="12:84" x14ac:dyDescent="0.25">
      <c r="L499">
        <v>488</v>
      </c>
      <c r="M499">
        <f t="shared" si="185"/>
        <v>3.0661944299036596</v>
      </c>
      <c r="P499">
        <f t="shared" si="179"/>
        <v>15014.205498696923</v>
      </c>
      <c r="Q499">
        <f t="shared" si="180"/>
        <v>7876.6340276395567</v>
      </c>
      <c r="V499">
        <f t="shared" si="181"/>
        <v>-23490.056150912154</v>
      </c>
      <c r="W499">
        <f t="shared" si="182"/>
        <v>10263.64381934769</v>
      </c>
      <c r="AB499">
        <f t="shared" si="183"/>
        <v>-9985.7945013030767</v>
      </c>
      <c r="AC499">
        <f t="shared" si="184"/>
        <v>-14623.365972360443</v>
      </c>
      <c r="AW499">
        <v>492</v>
      </c>
      <c r="AX499">
        <f t="shared" si="174"/>
        <v>246</v>
      </c>
      <c r="AZ499">
        <f t="shared" si="175"/>
        <v>133484.73804465387</v>
      </c>
      <c r="BB499">
        <f t="shared" si="176"/>
        <v>6199.0627827186117</v>
      </c>
      <c r="BD499">
        <f t="shared" si="177"/>
        <v>1061.9018344893193</v>
      </c>
      <c r="BF499">
        <f t="shared" si="178"/>
        <v>1173.6186527240386</v>
      </c>
      <c r="BH499">
        <f t="shared" si="163"/>
        <v>-73.941503556019057</v>
      </c>
      <c r="BJ499">
        <f t="shared" si="164"/>
        <v>-3.3573605950995891</v>
      </c>
      <c r="BN499" s="20">
        <f t="shared" si="165"/>
        <v>-40.179085088762946</v>
      </c>
      <c r="BP499">
        <f t="shared" si="166"/>
        <v>0.46059468479118354</v>
      </c>
      <c r="BR499">
        <f t="shared" si="167"/>
        <v>-7.5929438987500584</v>
      </c>
      <c r="BT499">
        <f t="shared" si="168"/>
        <v>0.1880336991231813</v>
      </c>
      <c r="BV499">
        <f t="shared" si="169"/>
        <v>-26.16947456850605</v>
      </c>
      <c r="BX499">
        <f t="shared" si="170"/>
        <v>-4.0059889790139538</v>
      </c>
      <c r="CB499">
        <f t="shared" si="171"/>
        <v>113492.19447480526</v>
      </c>
      <c r="CD499">
        <f t="shared" si="172"/>
        <v>153531.79454551337</v>
      </c>
      <c r="CF499">
        <f t="shared" si="173"/>
        <v>140097.90481717439</v>
      </c>
    </row>
    <row r="500" spans="12:84" x14ac:dyDescent="0.25">
      <c r="L500">
        <v>489</v>
      </c>
      <c r="M500">
        <f t="shared" si="185"/>
        <v>3.0724776152108393</v>
      </c>
      <c r="P500">
        <f t="shared" si="179"/>
        <v>15011.937468193868</v>
      </c>
      <c r="Q500">
        <f t="shared" si="180"/>
        <v>7845.300128571922</v>
      </c>
      <c r="V500">
        <f t="shared" si="181"/>
        <v>-23491.643772264295</v>
      </c>
      <c r="W500">
        <f t="shared" si="182"/>
        <v>10241.710090000346</v>
      </c>
      <c r="AB500">
        <f t="shared" si="183"/>
        <v>-9988.062531806132</v>
      </c>
      <c r="AC500">
        <f t="shared" si="184"/>
        <v>-14654.699871428078</v>
      </c>
      <c r="AW500">
        <v>493</v>
      </c>
      <c r="AX500">
        <f t="shared" si="174"/>
        <v>246.5</v>
      </c>
      <c r="AZ500">
        <f t="shared" si="175"/>
        <v>134006.44627395403</v>
      </c>
      <c r="BB500">
        <f t="shared" si="176"/>
        <v>6785.4524390062434</v>
      </c>
      <c r="BD500">
        <f t="shared" si="177"/>
        <v>1024.9310827113097</v>
      </c>
      <c r="BF500">
        <f t="shared" si="178"/>
        <v>1171.9399724264888</v>
      </c>
      <c r="BH500">
        <f t="shared" si="163"/>
        <v>-73.29779553087215</v>
      </c>
      <c r="BJ500">
        <f t="shared" si="164"/>
        <v>-3.6571127514107276</v>
      </c>
      <c r="BN500" s="20">
        <f t="shared" si="165"/>
        <v>-39.821858776047435</v>
      </c>
      <c r="BP500">
        <f t="shared" si="166"/>
        <v>0.24958774694447494</v>
      </c>
      <c r="BR500">
        <f t="shared" si="167"/>
        <v>-7.543750574988481</v>
      </c>
      <c r="BT500">
        <f t="shared" si="168"/>
        <v>0.15745928562261519</v>
      </c>
      <c r="BV500">
        <f t="shared" si="169"/>
        <v>-25.932186179836229</v>
      </c>
      <c r="BX500">
        <f t="shared" si="170"/>
        <v>-4.0641597839778179</v>
      </c>
      <c r="CB500">
        <f t="shared" si="171"/>
        <v>114008.68550348649</v>
      </c>
      <c r="CD500">
        <f t="shared" si="172"/>
        <v>154039.99094376169</v>
      </c>
      <c r="CF500">
        <f t="shared" si="173"/>
        <v>140703.22684176746</v>
      </c>
    </row>
    <row r="501" spans="12:84" x14ac:dyDescent="0.25">
      <c r="L501">
        <v>490</v>
      </c>
      <c r="M501">
        <f t="shared" si="185"/>
        <v>3.0787608005180189</v>
      </c>
      <c r="P501">
        <f t="shared" si="179"/>
        <v>15009.866357858635</v>
      </c>
      <c r="Q501">
        <f t="shared" si="180"/>
        <v>7813.9525976464593</v>
      </c>
      <c r="V501">
        <f t="shared" si="181"/>
        <v>-23493.093549498954</v>
      </c>
      <c r="W501">
        <f t="shared" si="182"/>
        <v>10219.766818352522</v>
      </c>
      <c r="AB501">
        <f t="shared" si="183"/>
        <v>-9990.1336421413653</v>
      </c>
      <c r="AC501">
        <f t="shared" si="184"/>
        <v>-14686.047402353541</v>
      </c>
      <c r="AW501">
        <v>494</v>
      </c>
      <c r="AX501">
        <f t="shared" si="174"/>
        <v>247</v>
      </c>
      <c r="AZ501">
        <f t="shared" si="175"/>
        <v>134509.74959086833</v>
      </c>
      <c r="BB501">
        <f t="shared" si="176"/>
        <v>7370.9652861255618</v>
      </c>
      <c r="BD501">
        <f t="shared" si="177"/>
        <v>988.28218494587361</v>
      </c>
      <c r="BF501">
        <f t="shared" si="178"/>
        <v>1170.1114160507834</v>
      </c>
      <c r="BH501">
        <f t="shared" si="163"/>
        <v>-72.678930091105769</v>
      </c>
      <c r="BJ501">
        <f t="shared" si="164"/>
        <v>-3.949650828630662</v>
      </c>
      <c r="BN501" s="20">
        <f t="shared" si="165"/>
        <v>-39.478770270627805</v>
      </c>
      <c r="BP501">
        <f t="shared" si="166"/>
        <v>4.4486446299864875E-2</v>
      </c>
      <c r="BR501">
        <f t="shared" si="167"/>
        <v>-7.4964742711528967</v>
      </c>
      <c r="BT501">
        <f t="shared" si="168"/>
        <v>0.1275549998800356</v>
      </c>
      <c r="BV501">
        <f t="shared" si="169"/>
        <v>-25.703685549325058</v>
      </c>
      <c r="BX501">
        <f t="shared" si="170"/>
        <v>-4.1216922748105622</v>
      </c>
      <c r="CB501">
        <f t="shared" si="171"/>
        <v>114509.8222918923</v>
      </c>
      <c r="CD501">
        <f t="shared" si="172"/>
        <v>154532.11492165501</v>
      </c>
      <c r="CF501">
        <f t="shared" si="173"/>
        <v>141292.00373248241</v>
      </c>
    </row>
    <row r="502" spans="12:84" x14ac:dyDescent="0.25">
      <c r="L502">
        <v>491</v>
      </c>
      <c r="M502">
        <f t="shared" si="185"/>
        <v>3.0850439858251986</v>
      </c>
      <c r="P502">
        <f t="shared" si="179"/>
        <v>15007.992249455119</v>
      </c>
      <c r="Q502">
        <f t="shared" si="180"/>
        <v>7782.5926724100145</v>
      </c>
      <c r="V502">
        <f t="shared" si="181"/>
        <v>-23494.405425381417</v>
      </c>
      <c r="W502">
        <f t="shared" si="182"/>
        <v>10197.814870687011</v>
      </c>
      <c r="AB502">
        <f t="shared" si="183"/>
        <v>-9992.0077505448808</v>
      </c>
      <c r="AC502">
        <f t="shared" si="184"/>
        <v>-14717.407327589985</v>
      </c>
      <c r="AW502">
        <v>495</v>
      </c>
      <c r="AX502">
        <f t="shared" si="174"/>
        <v>247.5</v>
      </c>
      <c r="AZ502">
        <f t="shared" si="175"/>
        <v>134994.80581707988</v>
      </c>
      <c r="BB502">
        <f t="shared" si="176"/>
        <v>7955.5272877973748</v>
      </c>
      <c r="BD502">
        <f t="shared" si="177"/>
        <v>951.94271990032075</v>
      </c>
      <c r="BF502">
        <f t="shared" si="178"/>
        <v>1168.1365906364681</v>
      </c>
      <c r="BH502">
        <f t="shared" si="163"/>
        <v>-72.084030889066568</v>
      </c>
      <c r="BJ502">
        <f t="shared" si="164"/>
        <v>-4.2354568417322369</v>
      </c>
      <c r="BN502" s="20">
        <f t="shared" si="165"/>
        <v>-39.149325248639812</v>
      </c>
      <c r="BP502">
        <f t="shared" si="166"/>
        <v>-0.15508166497517931</v>
      </c>
      <c r="BR502">
        <f t="shared" si="167"/>
        <v>-7.4510584483274611</v>
      </c>
      <c r="BT502">
        <f t="shared" si="168"/>
        <v>9.8283846315536674E-2</v>
      </c>
      <c r="BV502">
        <f t="shared" si="169"/>
        <v>-25.483647192099301</v>
      </c>
      <c r="BX502">
        <f t="shared" si="170"/>
        <v>-4.1786590230725942</v>
      </c>
      <c r="CB502">
        <f t="shared" si="171"/>
        <v>114995.70805042176</v>
      </c>
      <c r="CD502">
        <f t="shared" si="172"/>
        <v>155008.28912979216</v>
      </c>
      <c r="CF502">
        <f t="shared" si="173"/>
        <v>141864.37850575004</v>
      </c>
    </row>
    <row r="503" spans="12:84" x14ac:dyDescent="0.25">
      <c r="L503">
        <v>492</v>
      </c>
      <c r="M503">
        <f t="shared" si="185"/>
        <v>3.0913271711323782</v>
      </c>
      <c r="P503">
        <f t="shared" si="179"/>
        <v>15006.315216969906</v>
      </c>
      <c r="Q503">
        <f t="shared" si="180"/>
        <v>7751.22159089874</v>
      </c>
      <c r="V503">
        <f t="shared" si="181"/>
        <v>-23495.579348121064</v>
      </c>
      <c r="W503">
        <f t="shared" si="182"/>
        <v>10175.855113629117</v>
      </c>
      <c r="AB503">
        <f t="shared" si="183"/>
        <v>-9993.684783030094</v>
      </c>
      <c r="AC503">
        <f t="shared" si="184"/>
        <v>-14748.77840910126</v>
      </c>
      <c r="AW503">
        <v>496</v>
      </c>
      <c r="AX503">
        <f t="shared" si="174"/>
        <v>248</v>
      </c>
      <c r="AZ503">
        <f t="shared" si="175"/>
        <v>135461.76667316892</v>
      </c>
      <c r="BB503">
        <f t="shared" si="176"/>
        <v>8539.0661510103928</v>
      </c>
      <c r="BD503">
        <f t="shared" si="177"/>
        <v>915.90070445578749</v>
      </c>
      <c r="BF503">
        <f t="shared" si="178"/>
        <v>1166.018862215602</v>
      </c>
      <c r="BH503">
        <f t="shared" si="163"/>
        <v>-71.512271170186324</v>
      </c>
      <c r="BJ503">
        <f t="shared" si="164"/>
        <v>-4.5149858683635946</v>
      </c>
      <c r="BN503" s="20">
        <f t="shared" si="165"/>
        <v>-38.83305738216513</v>
      </c>
      <c r="BP503">
        <f t="shared" si="166"/>
        <v>-0.34946733129650465</v>
      </c>
      <c r="BR503">
        <f t="shared" si="167"/>
        <v>-7.4074496791818776</v>
      </c>
      <c r="BT503">
        <f t="shared" si="168"/>
        <v>6.9610645772184829E-2</v>
      </c>
      <c r="BV503">
        <f t="shared" si="169"/>
        <v>-25.271764108839314</v>
      </c>
      <c r="BX503">
        <f t="shared" si="170"/>
        <v>-4.235129182839275</v>
      </c>
      <c r="CB503">
        <f t="shared" si="171"/>
        <v>115466.4419723561</v>
      </c>
      <c r="CD503">
        <f t="shared" si="172"/>
        <v>155468.63099948471</v>
      </c>
      <c r="CF503">
        <f t="shared" si="173"/>
        <v>142420.48845657494</v>
      </c>
    </row>
    <row r="504" spans="12:84" x14ac:dyDescent="0.25">
      <c r="L504">
        <v>493</v>
      </c>
      <c r="M504">
        <f t="shared" si="185"/>
        <v>3.0976103564395578</v>
      </c>
      <c r="P504">
        <f t="shared" si="179"/>
        <v>15004.835326609373</v>
      </c>
      <c r="Q504">
        <f t="shared" si="180"/>
        <v>7719.8405915892163</v>
      </c>
      <c r="V504">
        <f t="shared" si="181"/>
        <v>-23496.615271373441</v>
      </c>
      <c r="W504">
        <f t="shared" si="182"/>
        <v>10153.888414112451</v>
      </c>
      <c r="AB504">
        <f t="shared" si="183"/>
        <v>-9995.1646733906273</v>
      </c>
      <c r="AC504">
        <f t="shared" si="184"/>
        <v>-14780.159408410784</v>
      </c>
      <c r="AW504">
        <v>497</v>
      </c>
      <c r="AX504">
        <f t="shared" si="174"/>
        <v>248.5</v>
      </c>
      <c r="AZ504">
        <f t="shared" si="175"/>
        <v>135910.77799150054</v>
      </c>
      <c r="BB504">
        <f t="shared" si="176"/>
        <v>9121.511208884649</v>
      </c>
      <c r="BD504">
        <f t="shared" si="177"/>
        <v>880.14456887069434</v>
      </c>
      <c r="BF504">
        <f t="shared" si="178"/>
        <v>1163.7613692814202</v>
      </c>
      <c r="BH504">
        <f t="shared" si="163"/>
        <v>-70.96287074473274</v>
      </c>
      <c r="BJ504">
        <f t="shared" si="164"/>
        <v>-4.7886681611377977</v>
      </c>
      <c r="BN504" s="20">
        <f t="shared" si="165"/>
        <v>-38.529526668319676</v>
      </c>
      <c r="BP504">
        <f t="shared" si="166"/>
        <v>-0.53900129434280553</v>
      </c>
      <c r="BR504">
        <f t="shared" si="167"/>
        <v>-7.3655974760649121</v>
      </c>
      <c r="BT504">
        <f t="shared" si="168"/>
        <v>4.1501908373154865E-2</v>
      </c>
      <c r="BV504">
        <f t="shared" si="169"/>
        <v>-25.067746600348151</v>
      </c>
      <c r="BX504">
        <f t="shared" si="170"/>
        <v>-4.2911687751681473</v>
      </c>
      <c r="CB504">
        <f t="shared" si="171"/>
        <v>115922.11934396069</v>
      </c>
      <c r="CD504">
        <f t="shared" si="172"/>
        <v>155913.25292120321</v>
      </c>
      <c r="CF504">
        <f t="shared" si="173"/>
        <v>142960.46536427579</v>
      </c>
    </row>
    <row r="505" spans="12:84" x14ac:dyDescent="0.25">
      <c r="L505">
        <v>494</v>
      </c>
      <c r="M505">
        <f t="shared" si="185"/>
        <v>3.1038935417467375</v>
      </c>
      <c r="P505">
        <f t="shared" si="179"/>
        <v>15003.552636797049</v>
      </c>
      <c r="Q505">
        <f t="shared" si="180"/>
        <v>7688.450913349564</v>
      </c>
      <c r="V505">
        <f t="shared" si="181"/>
        <v>-23497.513154242064</v>
      </c>
      <c r="W505">
        <f t="shared" si="182"/>
        <v>10131.915639344696</v>
      </c>
      <c r="AB505">
        <f t="shared" si="183"/>
        <v>-9996.4473632029512</v>
      </c>
      <c r="AC505">
        <f t="shared" si="184"/>
        <v>-14811.549086650437</v>
      </c>
      <c r="AW505">
        <v>498</v>
      </c>
      <c r="AX505">
        <f t="shared" si="174"/>
        <v>249</v>
      </c>
      <c r="AZ505">
        <f t="shared" si="175"/>
        <v>136341.9799170928</v>
      </c>
      <c r="BB505">
        <f t="shared" si="176"/>
        <v>9702.793310005216</v>
      </c>
      <c r="BD505">
        <f t="shared" si="177"/>
        <v>844.66313349832797</v>
      </c>
      <c r="BF505">
        <f t="shared" si="178"/>
        <v>1161.3670352008514</v>
      </c>
      <c r="BH505">
        <f t="shared" si="163"/>
        <v>-70.435093189850534</v>
      </c>
      <c r="BJ505">
        <f t="shared" si="164"/>
        <v>-5.0569110863255764</v>
      </c>
      <c r="BN505" s="20">
        <f t="shared" si="165"/>
        <v>-38.238317882850119</v>
      </c>
      <c r="BP505">
        <f t="shared" si="166"/>
        <v>-0.72399585152512902</v>
      </c>
      <c r="BR505">
        <f t="shared" si="167"/>
        <v>-7.3254541317771178</v>
      </c>
      <c r="BT505">
        <f t="shared" si="168"/>
        <v>1.3925715769805613E-2</v>
      </c>
      <c r="BV505">
        <f t="shared" si="169"/>
        <v>-24.871321175223304</v>
      </c>
      <c r="BX505">
        <f t="shared" si="170"/>
        <v>-4.346840950570253</v>
      </c>
      <c r="CB505">
        <f t="shared" si="171"/>
        <v>116362.83164909587</v>
      </c>
      <c r="CD505">
        <f t="shared" si="172"/>
        <v>156342.26241235356</v>
      </c>
      <c r="CF505">
        <f t="shared" si="173"/>
        <v>143484.43568624684</v>
      </c>
    </row>
    <row r="506" spans="12:84" x14ac:dyDescent="0.25">
      <c r="L506">
        <v>495</v>
      </c>
      <c r="M506">
        <f t="shared" si="185"/>
        <v>3.1101767270539171</v>
      </c>
      <c r="P506">
        <f t="shared" si="179"/>
        <v>15002.46719817134</v>
      </c>
      <c r="Q506">
        <f t="shared" si="180"/>
        <v>7657.0537953905323</v>
      </c>
      <c r="V506">
        <f t="shared" si="181"/>
        <v>-23498.272961280061</v>
      </c>
      <c r="W506">
        <f t="shared" si="182"/>
        <v>10109.937656773373</v>
      </c>
      <c r="AB506">
        <f t="shared" si="183"/>
        <v>-9997.53280182866</v>
      </c>
      <c r="AC506">
        <f t="shared" si="184"/>
        <v>-14842.946204609467</v>
      </c>
      <c r="AW506">
        <v>499</v>
      </c>
      <c r="AX506">
        <f t="shared" si="174"/>
        <v>249.5</v>
      </c>
      <c r="AZ506">
        <f t="shared" si="175"/>
        <v>136755.50709719324</v>
      </c>
      <c r="BB506">
        <f t="shared" si="176"/>
        <v>10282.844713719851</v>
      </c>
      <c r="BD506">
        <f t="shared" si="177"/>
        <v>809.44558690340273</v>
      </c>
      <c r="BF506">
        <f t="shared" si="178"/>
        <v>1158.8385796576886</v>
      </c>
      <c r="BH506">
        <f t="shared" si="163"/>
        <v>-69.928243262643846</v>
      </c>
      <c r="BJ506">
        <f t="shared" si="164"/>
        <v>-5.3201009057986326</v>
      </c>
      <c r="BN506" s="20">
        <f t="shared" si="165"/>
        <v>-37.959039148220512</v>
      </c>
      <c r="BP506">
        <f t="shared" si="166"/>
        <v>-0.90474628613085539</v>
      </c>
      <c r="BR506">
        <f t="shared" si="167"/>
        <v>-7.2869745720179422</v>
      </c>
      <c r="BT506">
        <f t="shared" si="168"/>
        <v>-1.314838805266544E-2</v>
      </c>
      <c r="BV506">
        <f t="shared" si="169"/>
        <v>-24.682229542405395</v>
      </c>
      <c r="BX506">
        <f t="shared" si="170"/>
        <v>-4.4022062316151116</v>
      </c>
      <c r="CB506">
        <f t="shared" si="171"/>
        <v>116788.66666857456</v>
      </c>
      <c r="CD506">
        <f t="shared" si="172"/>
        <v>156755.76227504454</v>
      </c>
      <c r="CF506">
        <f t="shared" si="173"/>
        <v>143992.52074049012</v>
      </c>
    </row>
    <row r="507" spans="12:84" x14ac:dyDescent="0.25">
      <c r="L507">
        <v>496</v>
      </c>
      <c r="M507">
        <f t="shared" si="185"/>
        <v>3.1164599123610968</v>
      </c>
      <c r="P507">
        <f t="shared" si="179"/>
        <v>15001.579053583497</v>
      </c>
      <c r="Q507">
        <f t="shared" si="180"/>
        <v>7625.6504772165781</v>
      </c>
      <c r="V507">
        <f t="shared" si="181"/>
        <v>-23498.894662491552</v>
      </c>
      <c r="W507">
        <f t="shared" si="182"/>
        <v>10087.955334051605</v>
      </c>
      <c r="AB507">
        <f t="shared" si="183"/>
        <v>-9998.4209464165033</v>
      </c>
      <c r="AC507">
        <f t="shared" si="184"/>
        <v>-14874.349522783423</v>
      </c>
      <c r="AW507">
        <v>500</v>
      </c>
      <c r="AX507">
        <f t="shared" si="174"/>
        <v>250</v>
      </c>
      <c r="AZ507">
        <f t="shared" si="175"/>
        <v>137151.48886023712</v>
      </c>
      <c r="BB507">
        <f t="shared" si="176"/>
        <v>10861.59899093547</v>
      </c>
      <c r="BD507">
        <f t="shared" si="177"/>
        <v>774.48146527208075</v>
      </c>
      <c r="BF507">
        <f t="shared" si="178"/>
        <v>1156.1785292047894</v>
      </c>
      <c r="BH507">
        <f t="shared" si="163"/>
        <v>-69.44166450690345</v>
      </c>
      <c r="BJ507">
        <f t="shared" si="164"/>
        <v>-5.5786044173069502</v>
      </c>
      <c r="BN507" s="20">
        <f t="shared" si="165"/>
        <v>-37.691320607099605</v>
      </c>
      <c r="BP507">
        <f t="shared" si="166"/>
        <v>-1.0815321815586088</v>
      </c>
      <c r="BR507">
        <f t="shared" si="167"/>
        <v>-7.250116218595263</v>
      </c>
      <c r="BT507">
        <f t="shared" si="168"/>
        <v>-3.9749498165188052E-2</v>
      </c>
      <c r="BV507">
        <f t="shared" si="169"/>
        <v>-24.500227681208589</v>
      </c>
      <c r="BX507">
        <f t="shared" si="170"/>
        <v>-4.4573227375831532</v>
      </c>
      <c r="CB507">
        <f t="shared" si="171"/>
        <v>117199.70857449314</v>
      </c>
      <c r="CD507">
        <f t="shared" si="172"/>
        <v>157153.85074445492</v>
      </c>
      <c r="CF507">
        <f t="shared" si="173"/>
        <v>144484.83687761173</v>
      </c>
    </row>
    <row r="508" spans="12:84" x14ac:dyDescent="0.25">
      <c r="L508">
        <v>497</v>
      </c>
      <c r="M508">
        <f t="shared" si="185"/>
        <v>3.1227430976682764</v>
      </c>
      <c r="P508">
        <f t="shared" si="179"/>
        <v>15000.888238095953</v>
      </c>
      <c r="Q508">
        <f t="shared" si="180"/>
        <v>7594.2421985769315</v>
      </c>
      <c r="V508">
        <f t="shared" si="181"/>
        <v>-23499.378233332834</v>
      </c>
      <c r="W508">
        <f t="shared" si="182"/>
        <v>10065.969539003852</v>
      </c>
      <c r="AB508">
        <f t="shared" si="183"/>
        <v>-9999.1117619040469</v>
      </c>
      <c r="AC508">
        <f t="shared" si="184"/>
        <v>-14905.757801423069</v>
      </c>
      <c r="AW508">
        <v>501</v>
      </c>
      <c r="AX508">
        <f t="shared" si="174"/>
        <v>250.5</v>
      </c>
      <c r="AZ508">
        <f t="shared" si="175"/>
        <v>137530.0493848098</v>
      </c>
      <c r="BB508">
        <f t="shared" si="176"/>
        <v>11438.990929985703</v>
      </c>
      <c r="BD508">
        <f t="shared" si="177"/>
        <v>739.76063301862905</v>
      </c>
      <c r="BF508">
        <f t="shared" si="178"/>
        <v>1153.3892269961359</v>
      </c>
      <c r="BH508">
        <f t="shared" si="163"/>
        <v>-68.974737037708366</v>
      </c>
      <c r="BJ508">
        <f t="shared" si="164"/>
        <v>-5.8327704666137459</v>
      </c>
      <c r="BN508" s="20">
        <f t="shared" si="165"/>
        <v>-37.434813192968079</v>
      </c>
      <c r="BP508">
        <f t="shared" si="166"/>
        <v>-1.2546186307641278</v>
      </c>
      <c r="BR508">
        <f t="shared" si="167"/>
        <v>-7.2148388625717166</v>
      </c>
      <c r="BT508">
        <f t="shared" si="168"/>
        <v>-6.5905442962110691E-2</v>
      </c>
      <c r="BV508">
        <f t="shared" si="169"/>
        <v>-24.325084982168573</v>
      </c>
      <c r="BX508">
        <f t="shared" si="170"/>
        <v>-4.5122463928875076</v>
      </c>
      <c r="CB508">
        <f t="shared" si="171"/>
        <v>117596.03801974937</v>
      </c>
      <c r="CD508">
        <f t="shared" si="172"/>
        <v>157536.62162836042</v>
      </c>
      <c r="CF508">
        <f t="shared" si="173"/>
        <v>144961.49564291956</v>
      </c>
    </row>
    <row r="509" spans="12:84" x14ac:dyDescent="0.25">
      <c r="L509">
        <v>498</v>
      </c>
      <c r="M509">
        <f t="shared" si="185"/>
        <v>3.129026282975456</v>
      </c>
      <c r="P509">
        <f t="shared" si="179"/>
        <v>15000.394778980917</v>
      </c>
      <c r="Q509">
        <f t="shared" si="180"/>
        <v>7562.8301994166532</v>
      </c>
      <c r="V509">
        <f t="shared" si="181"/>
        <v>-23499.723654713358</v>
      </c>
      <c r="W509">
        <f t="shared" si="182"/>
        <v>10043.981139591657</v>
      </c>
      <c r="AB509">
        <f t="shared" si="183"/>
        <v>-9999.6052210190828</v>
      </c>
      <c r="AC509">
        <f t="shared" si="184"/>
        <v>-14937.169800583346</v>
      </c>
      <c r="AW509">
        <v>502</v>
      </c>
      <c r="AX509">
        <f t="shared" si="174"/>
        <v>251</v>
      </c>
      <c r="AZ509">
        <f t="shared" si="175"/>
        <v>137891.3078591894</v>
      </c>
      <c r="BB509">
        <f t="shared" si="176"/>
        <v>12014.956447175444</v>
      </c>
      <c r="BD509">
        <f t="shared" si="177"/>
        <v>705.27326449977488</v>
      </c>
      <c r="BF509">
        <f t="shared" si="178"/>
        <v>1150.4728417628289</v>
      </c>
      <c r="BH509">
        <f t="shared" si="163"/>
        <v>-68.526875489612536</v>
      </c>
      <c r="BJ509">
        <f t="shared" si="164"/>
        <v>-6.0829313436321515</v>
      </c>
      <c r="BN509" s="20">
        <f t="shared" si="165"/>
        <v>-37.189187490319483</v>
      </c>
      <c r="BP509">
        <f t="shared" si="166"/>
        <v>-1.4242573508912535</v>
      </c>
      <c r="BR509">
        <f t="shared" si="167"/>
        <v>-7.1811045465952166</v>
      </c>
      <c r="BT509">
        <f t="shared" si="168"/>
        <v>-9.1642871923685698E-2</v>
      </c>
      <c r="BV509">
        <f t="shared" si="169"/>
        <v>-24.156583452697845</v>
      </c>
      <c r="BX509">
        <f t="shared" si="170"/>
        <v>-4.5670311208172123</v>
      </c>
      <c r="CB509">
        <f t="shared" si="171"/>
        <v>117977.73222294987</v>
      </c>
      <c r="CD509">
        <f t="shared" si="172"/>
        <v>157904.16443833688</v>
      </c>
      <c r="CF509">
        <f t="shared" si="173"/>
        <v>145422.60392921188</v>
      </c>
    </row>
    <row r="510" spans="12:84" x14ac:dyDescent="0.25">
      <c r="L510">
        <v>499</v>
      </c>
      <c r="M510">
        <f t="shared" si="185"/>
        <v>3.1353094682826357</v>
      </c>
      <c r="P510">
        <f t="shared" si="179"/>
        <v>15000.098695719313</v>
      </c>
      <c r="Q510">
        <f t="shared" si="180"/>
        <v>7531.4157198276844</v>
      </c>
      <c r="V510">
        <f t="shared" si="181"/>
        <v>-23499.930912996482</v>
      </c>
      <c r="W510">
        <f t="shared" si="182"/>
        <v>10021.991003879379</v>
      </c>
      <c r="AB510">
        <f t="shared" si="183"/>
        <v>-9999.9013042806873</v>
      </c>
      <c r="AC510">
        <f t="shared" si="184"/>
        <v>-14968.584280172316</v>
      </c>
      <c r="AW510">
        <v>503</v>
      </c>
      <c r="AX510">
        <f t="shared" si="174"/>
        <v>251.5</v>
      </c>
      <c r="AZ510">
        <f t="shared" si="175"/>
        <v>138235.37863200309</v>
      </c>
      <c r="BB510">
        <f t="shared" si="176"/>
        <v>12589.432501638905</v>
      </c>
      <c r="BD510">
        <f t="shared" si="177"/>
        <v>671.00982675496857</v>
      </c>
      <c r="BF510">
        <f t="shared" si="178"/>
        <v>1147.4313760910129</v>
      </c>
      <c r="BH510">
        <f t="shared" si="163"/>
        <v>-68.097527115451015</v>
      </c>
      <c r="BJ510">
        <f t="shared" si="164"/>
        <v>-6.3294040734860797</v>
      </c>
      <c r="BN510" s="20">
        <f t="shared" si="165"/>
        <v>-36.954132677594934</v>
      </c>
      <c r="BP510">
        <f t="shared" si="166"/>
        <v>-1.5906877120476446</v>
      </c>
      <c r="BR510">
        <f t="shared" si="167"/>
        <v>-7.1488774557330483</v>
      </c>
      <c r="BT510">
        <f t="shared" si="168"/>
        <v>-0.11698733743456814</v>
      </c>
      <c r="BV510">
        <f t="shared" si="169"/>
        <v>-23.994516982123034</v>
      </c>
      <c r="BX510">
        <f t="shared" si="170"/>
        <v>-4.6217290240038666</v>
      </c>
      <c r="CB510">
        <f t="shared" si="171"/>
        <v>118344.86504889796</v>
      </c>
      <c r="CD510">
        <f t="shared" si="172"/>
        <v>158256.56451311562</v>
      </c>
      <c r="CF510">
        <f t="shared" si="173"/>
        <v>145868.26412080106</v>
      </c>
    </row>
    <row r="511" spans="12:84" x14ac:dyDescent="0.25">
      <c r="L511">
        <v>500</v>
      </c>
      <c r="M511">
        <f t="shared" si="185"/>
        <v>3.1415926535898153</v>
      </c>
      <c r="P511">
        <f t="shared" si="179"/>
        <v>15000</v>
      </c>
      <c r="Q511">
        <f t="shared" si="180"/>
        <v>7499.99999999989</v>
      </c>
      <c r="V511">
        <f t="shared" si="181"/>
        <v>-23500</v>
      </c>
      <c r="W511">
        <f t="shared" si="182"/>
        <v>9999.9999999999236</v>
      </c>
      <c r="AB511">
        <f t="shared" si="183"/>
        <v>-10000</v>
      </c>
      <c r="AC511">
        <f t="shared" si="184"/>
        <v>-15000.000000000111</v>
      </c>
      <c r="AW511">
        <v>504</v>
      </c>
      <c r="AX511">
        <f t="shared" si="174"/>
        <v>252</v>
      </c>
      <c r="AZ511">
        <f t="shared" si="175"/>
        <v>138562.37135449116</v>
      </c>
      <c r="BB511">
        <f t="shared" si="176"/>
        <v>13162.357014175224</v>
      </c>
      <c r="BD511">
        <f t="shared" si="177"/>
        <v>636.96106319724311</v>
      </c>
      <c r="BF511">
        <f t="shared" si="178"/>
        <v>1144.26667405427</v>
      </c>
      <c r="BH511">
        <f t="shared" si="163"/>
        <v>-67.68617002398949</v>
      </c>
      <c r="BJ511">
        <f t="shared" si="164"/>
        <v>-6.5724916123332182</v>
      </c>
      <c r="BN511" s="20">
        <f t="shared" si="165"/>
        <v>-36.729355546605369</v>
      </c>
      <c r="BP511">
        <f t="shared" si="166"/>
        <v>-1.7541376882858584</v>
      </c>
      <c r="BR511">
        <f t="shared" si="167"/>
        <v>-7.1181238161880733</v>
      </c>
      <c r="BT511">
        <f t="shared" si="168"/>
        <v>-0.14196337116808949</v>
      </c>
      <c r="BV511">
        <f t="shared" si="169"/>
        <v>-23.838690661196051</v>
      </c>
      <c r="BX511">
        <f t="shared" si="170"/>
        <v>-4.67639055287927</v>
      </c>
      <c r="CB511">
        <f t="shared" si="171"/>
        <v>118697.50708484254</v>
      </c>
      <c r="CD511">
        <f t="shared" si="172"/>
        <v>158593.90313452994</v>
      </c>
      <c r="CF511">
        <f t="shared" si="173"/>
        <v>146298.57422927499</v>
      </c>
    </row>
    <row r="512" spans="12:84" x14ac:dyDescent="0.25">
      <c r="L512">
        <v>501</v>
      </c>
      <c r="M512">
        <f t="shared" si="185"/>
        <v>3.147875838896995</v>
      </c>
      <c r="P512">
        <f t="shared" si="179"/>
        <v>15000.098695719316</v>
      </c>
      <c r="Q512">
        <f t="shared" si="180"/>
        <v>7468.5842801720946</v>
      </c>
      <c r="V512">
        <f t="shared" si="181"/>
        <v>-23499.930912996479</v>
      </c>
      <c r="W512">
        <f t="shared" si="182"/>
        <v>9978.0089961204667</v>
      </c>
      <c r="AB512">
        <f t="shared" si="183"/>
        <v>-9999.9013042806837</v>
      </c>
      <c r="AC512">
        <f t="shared" si="184"/>
        <v>-15031.415719827906</v>
      </c>
      <c r="AW512">
        <v>505</v>
      </c>
      <c r="AX512">
        <f t="shared" si="174"/>
        <v>252.5</v>
      </c>
      <c r="AZ512">
        <f t="shared" si="175"/>
        <v>138872.39111483676</v>
      </c>
      <c r="BB512">
        <f t="shared" si="176"/>
        <v>13733.668789750818</v>
      </c>
      <c r="BD512">
        <f t="shared" si="177"/>
        <v>603.11797818524838</v>
      </c>
      <c r="BF512">
        <f t="shared" si="178"/>
        <v>1140.9804282481034</v>
      </c>
      <c r="BH512">
        <f t="shared" si="163"/>
        <v>-67.292311545722342</v>
      </c>
      <c r="BJ512">
        <f t="shared" si="164"/>
        <v>-6.8124839568269904</v>
      </c>
      <c r="BN512" s="20">
        <f t="shared" si="165"/>
        <v>-36.51457959274817</v>
      </c>
      <c r="BP512">
        <f t="shared" si="166"/>
        <v>-1.9148247380528767</v>
      </c>
      <c r="BR512">
        <f t="shared" si="167"/>
        <v>-7.0888118013332031</v>
      </c>
      <c r="BT512">
        <f t="shared" si="168"/>
        <v>-0.16659455550035673</v>
      </c>
      <c r="BV512">
        <f t="shared" si="169"/>
        <v>-23.688920151640971</v>
      </c>
      <c r="BX512">
        <f t="shared" si="170"/>
        <v>-4.7310646632737567</v>
      </c>
      <c r="CB512">
        <f t="shared" si="171"/>
        <v>119035.72571265753</v>
      </c>
      <c r="CD512">
        <f t="shared" si="172"/>
        <v>158916.25763645838</v>
      </c>
      <c r="CF512">
        <f t="shared" si="173"/>
        <v>146713.6280214611</v>
      </c>
    </row>
    <row r="513" spans="12:84" x14ac:dyDescent="0.25">
      <c r="L513">
        <v>502</v>
      </c>
      <c r="M513">
        <f t="shared" si="185"/>
        <v>3.1541590242041746</v>
      </c>
      <c r="P513">
        <f t="shared" si="179"/>
        <v>15000.394778980921</v>
      </c>
      <c r="Q513">
        <f t="shared" si="180"/>
        <v>7437.1698005831258</v>
      </c>
      <c r="V513">
        <f t="shared" si="181"/>
        <v>-23499.723654713354</v>
      </c>
      <c r="W513">
        <f t="shared" si="182"/>
        <v>9956.0188604081886</v>
      </c>
      <c r="AB513">
        <f t="shared" si="183"/>
        <v>-9999.6052210190792</v>
      </c>
      <c r="AC513">
        <f t="shared" si="184"/>
        <v>-15062.830199416874</v>
      </c>
      <c r="AW513">
        <v>506</v>
      </c>
      <c r="AX513">
        <f t="shared" si="174"/>
        <v>253</v>
      </c>
      <c r="AZ513">
        <f t="shared" si="175"/>
        <v>139165.53856498617</v>
      </c>
      <c r="BB513">
        <f t="shared" si="176"/>
        <v>14303.307443380265</v>
      </c>
      <c r="BD513">
        <f t="shared" si="177"/>
        <v>569.47182241238716</v>
      </c>
      <c r="BF513">
        <f t="shared" si="178"/>
        <v>1137.57418626969</v>
      </c>
      <c r="BH513">
        <f t="shared" si="163"/>
        <v>-66.915486717085997</v>
      </c>
      <c r="BJ513">
        <f t="shared" si="164"/>
        <v>-7.0496591752384417</v>
      </c>
      <c r="BN513" s="20">
        <f t="shared" si="165"/>
        <v>-36.30954417082264</v>
      </c>
      <c r="BP513">
        <f t="shared" si="166"/>
        <v>-2.0729566206625138</v>
      </c>
      <c r="BR513">
        <f t="shared" si="167"/>
        <v>-7.0609114445499319</v>
      </c>
      <c r="BT513">
        <f t="shared" si="168"/>
        <v>-0.1909035903772256</v>
      </c>
      <c r="BV513">
        <f t="shared" si="169"/>
        <v>-23.545031101713427</v>
      </c>
      <c r="BX513">
        <f t="shared" si="170"/>
        <v>-4.785798964198702</v>
      </c>
      <c r="CB513">
        <f t="shared" si="171"/>
        <v>119359.58517711244</v>
      </c>
      <c r="CD513">
        <f t="shared" si="172"/>
        <v>159223.70150713852</v>
      </c>
      <c r="CF513">
        <f t="shared" si="173"/>
        <v>147113.515140023</v>
      </c>
    </row>
    <row r="514" spans="12:84" x14ac:dyDescent="0.25">
      <c r="L514">
        <v>503</v>
      </c>
      <c r="M514">
        <f t="shared" si="185"/>
        <v>3.1604422095113542</v>
      </c>
      <c r="P514">
        <f t="shared" si="179"/>
        <v>15000.888238095957</v>
      </c>
      <c r="Q514">
        <f t="shared" si="180"/>
        <v>7405.7578014228475</v>
      </c>
      <c r="V514">
        <f t="shared" si="181"/>
        <v>-23499.378233332831</v>
      </c>
      <c r="W514">
        <f t="shared" si="182"/>
        <v>9934.0304609959931</v>
      </c>
      <c r="AB514">
        <f t="shared" si="183"/>
        <v>-9999.1117619040433</v>
      </c>
      <c r="AC514">
        <f t="shared" si="184"/>
        <v>-15094.242198577153</v>
      </c>
      <c r="AW514">
        <v>507</v>
      </c>
      <c r="AX514">
        <f t="shared" si="174"/>
        <v>253.5</v>
      </c>
      <c r="AZ514">
        <f t="shared" si="175"/>
        <v>139441.91004035273</v>
      </c>
      <c r="BB514">
        <f t="shared" si="176"/>
        <v>14871.213329118204</v>
      </c>
      <c r="BD514">
        <f t="shared" si="177"/>
        <v>536.01407905384417</v>
      </c>
      <c r="BF514">
        <f t="shared" si="178"/>
        <v>1134.0493566820708</v>
      </c>
      <c r="BH514">
        <f t="shared" si="163"/>
        <v>-66.555256874232484</v>
      </c>
      <c r="BJ514">
        <f t="shared" si="164"/>
        <v>-7.2842843674987439</v>
      </c>
      <c r="BN514" s="20">
        <f t="shared" si="165"/>
        <v>-36.114003711704285</v>
      </c>
      <c r="BP514">
        <f t="shared" si="166"/>
        <v>-2.2287321547152379</v>
      </c>
      <c r="BR514">
        <f t="shared" si="167"/>
        <v>-7.0343945584034362</v>
      </c>
      <c r="BT514">
        <f t="shared" si="168"/>
        <v>-0.21491235602044079</v>
      </c>
      <c r="BV514">
        <f t="shared" si="169"/>
        <v>-23.406858604124761</v>
      </c>
      <c r="BX514">
        <f t="shared" si="170"/>
        <v>-4.8406398567630653</v>
      </c>
      <c r="CB514">
        <f t="shared" si="171"/>
        <v>119669.14665038389</v>
      </c>
      <c r="CD514">
        <f t="shared" si="172"/>
        <v>159516.30448519584</v>
      </c>
      <c r="CF514">
        <f t="shared" si="173"/>
        <v>147498.32121708721</v>
      </c>
    </row>
    <row r="515" spans="12:84" x14ac:dyDescent="0.25">
      <c r="L515">
        <v>504</v>
      </c>
      <c r="M515">
        <f t="shared" si="185"/>
        <v>3.1667253948185339</v>
      </c>
      <c r="P515">
        <f t="shared" si="179"/>
        <v>15001.579053583504</v>
      </c>
      <c r="Q515">
        <f t="shared" si="180"/>
        <v>7374.3495227832009</v>
      </c>
      <c r="V515">
        <f t="shared" si="181"/>
        <v>-23498.894662491548</v>
      </c>
      <c r="W515">
        <f t="shared" si="182"/>
        <v>9912.0446659482404</v>
      </c>
      <c r="AB515">
        <f t="shared" si="183"/>
        <v>-9998.420946416496</v>
      </c>
      <c r="AC515">
        <f t="shared" si="184"/>
        <v>-15125.650477216799</v>
      </c>
      <c r="AW515">
        <v>508</v>
      </c>
      <c r="AX515">
        <f t="shared" si="174"/>
        <v>254</v>
      </c>
      <c r="AZ515">
        <f t="shared" si="175"/>
        <v>139701.59767277035</v>
      </c>
      <c r="BB515">
        <f t="shared" si="176"/>
        <v>15437.327471913301</v>
      </c>
      <c r="BD515">
        <f t="shared" si="177"/>
        <v>502.73645061672795</v>
      </c>
      <c r="BF515">
        <f t="shared" si="178"/>
        <v>1130.4072144983213</v>
      </c>
      <c r="BH515">
        <f t="shared" si="163"/>
        <v>-66.211208348303813</v>
      </c>
      <c r="BJ515">
        <f t="shared" si="164"/>
        <v>-7.5166165607458755</v>
      </c>
      <c r="BN515" s="20">
        <f t="shared" si="165"/>
        <v>-35.92772699555708</v>
      </c>
      <c r="BP515">
        <f t="shared" si="166"/>
        <v>-2.3823419238296988</v>
      </c>
      <c r="BR515">
        <f t="shared" si="167"/>
        <v>-7.009234659727432</v>
      </c>
      <c r="BT515">
        <f t="shared" si="168"/>
        <v>-0.23864197182619032</v>
      </c>
      <c r="BV515">
        <f t="shared" si="169"/>
        <v>-23.2742466930193</v>
      </c>
      <c r="BX515">
        <f t="shared" si="170"/>
        <v>-4.8956326650899857</v>
      </c>
      <c r="CB515">
        <f t="shared" si="171"/>
        <v>119964.46829294985</v>
      </c>
      <c r="CD515">
        <f t="shared" si="172"/>
        <v>159794.13264970723</v>
      </c>
      <c r="CF515">
        <f t="shared" si="173"/>
        <v>147868.12798126845</v>
      </c>
    </row>
    <row r="516" spans="12:84" x14ac:dyDescent="0.25">
      <c r="L516">
        <v>505</v>
      </c>
      <c r="M516">
        <f t="shared" si="185"/>
        <v>3.1730085801257135</v>
      </c>
      <c r="P516">
        <f t="shared" si="179"/>
        <v>15002.467198171345</v>
      </c>
      <c r="Q516">
        <f t="shared" si="180"/>
        <v>7342.9462046092467</v>
      </c>
      <c r="V516">
        <f t="shared" si="181"/>
        <v>-23498.272961280058</v>
      </c>
      <c r="W516">
        <f t="shared" si="182"/>
        <v>9890.0623432264729</v>
      </c>
      <c r="AB516">
        <f t="shared" si="183"/>
        <v>-9997.5328018286546</v>
      </c>
      <c r="AC516">
        <f t="shared" si="184"/>
        <v>-15157.053795390753</v>
      </c>
      <c r="AW516">
        <v>509</v>
      </c>
      <c r="AX516">
        <f t="shared" si="174"/>
        <v>254.5</v>
      </c>
      <c r="AZ516">
        <f t="shared" si="175"/>
        <v>139944.68949703517</v>
      </c>
      <c r="BB516">
        <f t="shared" si="176"/>
        <v>16001.591502092368</v>
      </c>
      <c r="BD516">
        <f t="shared" si="177"/>
        <v>469.63084644257606</v>
      </c>
      <c r="BF516">
        <f t="shared" si="178"/>
        <v>1126.6489062179485</v>
      </c>
      <c r="BH516">
        <f t="shared" si="163"/>
        <v>-65.882951254860046</v>
      </c>
      <c r="BJ516">
        <f t="shared" si="164"/>
        <v>-7.7469035463557532</v>
      </c>
      <c r="BN516" s="20">
        <f t="shared" si="165"/>
        <v>-35.750496477631579</v>
      </c>
      <c r="BP516">
        <f t="shared" si="166"/>
        <v>-2.5339689345506917</v>
      </c>
      <c r="BR516">
        <f t="shared" si="167"/>
        <v>-6.985406900231232</v>
      </c>
      <c r="BT516">
        <f t="shared" si="168"/>
        <v>-0.2621128517796914</v>
      </c>
      <c r="BV516">
        <f t="shared" si="169"/>
        <v>-23.147047876997227</v>
      </c>
      <c r="BX516">
        <f t="shared" si="170"/>
        <v>-4.9508217600253701</v>
      </c>
      <c r="CB516">
        <f t="shared" si="171"/>
        <v>120245.60531099932</v>
      </c>
      <c r="CD516">
        <f t="shared" si="172"/>
        <v>160057.24850459283</v>
      </c>
      <c r="CF516">
        <f t="shared" si="173"/>
        <v>148223.01335843414</v>
      </c>
    </row>
    <row r="517" spans="12:84" x14ac:dyDescent="0.25">
      <c r="L517">
        <v>506</v>
      </c>
      <c r="M517">
        <f t="shared" si="185"/>
        <v>3.1792917654328932</v>
      </c>
      <c r="P517">
        <f t="shared" si="179"/>
        <v>15003.552636797058</v>
      </c>
      <c r="Q517">
        <f t="shared" si="180"/>
        <v>7311.549086650215</v>
      </c>
      <c r="V517">
        <f t="shared" si="181"/>
        <v>-23497.51315424206</v>
      </c>
      <c r="W517">
        <f t="shared" si="182"/>
        <v>9868.0843606551516</v>
      </c>
      <c r="AB517">
        <f t="shared" si="183"/>
        <v>-9996.4473632029421</v>
      </c>
      <c r="AC517">
        <f t="shared" si="184"/>
        <v>-15188.450913349785</v>
      </c>
      <c r="AW517">
        <v>510</v>
      </c>
      <c r="AX517">
        <f t="shared" si="174"/>
        <v>255</v>
      </c>
      <c r="AZ517">
        <f t="shared" si="175"/>
        <v>140171.2695513496</v>
      </c>
      <c r="BB517">
        <f t="shared" si="176"/>
        <v>16563.947592258046</v>
      </c>
      <c r="BD517">
        <f t="shared" si="177"/>
        <v>436.68937081514605</v>
      </c>
      <c r="BF517">
        <f t="shared" si="178"/>
        <v>1122.7754544447705</v>
      </c>
      <c r="BH517">
        <f t="shared" si="163"/>
        <v>-65.570118370767332</v>
      </c>
      <c r="BJ517">
        <f t="shared" si="164"/>
        <v>-7.9753846639001553</v>
      </c>
      <c r="BN517" s="20">
        <f t="shared" si="165"/>
        <v>-35.582107663046152</v>
      </c>
      <c r="BP517">
        <f t="shared" si="166"/>
        <v>-2.6837892308537383</v>
      </c>
      <c r="BR517">
        <f t="shared" si="167"/>
        <v>-6.9628880022748589</v>
      </c>
      <c r="BT517">
        <f t="shared" si="168"/>
        <v>-0.28534475668273429</v>
      </c>
      <c r="BV517">
        <f t="shared" si="169"/>
        <v>-23.025122705446318</v>
      </c>
      <c r="BX517">
        <f t="shared" si="170"/>
        <v>-5.0062506763636829</v>
      </c>
      <c r="CB517">
        <f t="shared" si="171"/>
        <v>120512.61001048116</v>
      </c>
      <c r="CD517">
        <f t="shared" si="172"/>
        <v>160305.71105760706</v>
      </c>
      <c r="CF517">
        <f t="shared" si="173"/>
        <v>148563.05156652315</v>
      </c>
    </row>
    <row r="518" spans="12:84" x14ac:dyDescent="0.25">
      <c r="L518">
        <v>507</v>
      </c>
      <c r="M518">
        <f t="shared" si="185"/>
        <v>3.1855749507400728</v>
      </c>
      <c r="P518">
        <f t="shared" si="179"/>
        <v>15004.835326609382</v>
      </c>
      <c r="Q518">
        <f t="shared" si="180"/>
        <v>7280.1594084105636</v>
      </c>
      <c r="V518">
        <f t="shared" si="181"/>
        <v>-23496.615271373434</v>
      </c>
      <c r="W518">
        <f t="shared" si="182"/>
        <v>9846.1115858873945</v>
      </c>
      <c r="AB518">
        <f t="shared" si="183"/>
        <v>-9995.1646733906182</v>
      </c>
      <c r="AC518">
        <f t="shared" si="184"/>
        <v>-15219.840591589436</v>
      </c>
      <c r="AW518">
        <v>511</v>
      </c>
      <c r="AX518">
        <f t="shared" si="174"/>
        <v>255.5</v>
      </c>
      <c r="AZ518">
        <f t="shared" si="175"/>
        <v>140381.41797196082</v>
      </c>
      <c r="BB518">
        <f t="shared" si="176"/>
        <v>17124.338396397441</v>
      </c>
      <c r="BD518">
        <f t="shared" si="177"/>
        <v>403.90431162976239</v>
      </c>
      <c r="BF518">
        <f t="shared" si="178"/>
        <v>1118.7877621128205</v>
      </c>
      <c r="BH518">
        <f t="shared" si="163"/>
        <v>-65.272364092444818</v>
      </c>
      <c r="BJ518">
        <f t="shared" si="164"/>
        <v>-8.2022915369945881</v>
      </c>
      <c r="BN518" s="20">
        <f t="shared" si="165"/>
        <v>-35.422368527259898</v>
      </c>
      <c r="BP518">
        <f t="shared" si="166"/>
        <v>-2.8319724692697497</v>
      </c>
      <c r="BR518">
        <f t="shared" si="167"/>
        <v>-6.9416561994904198</v>
      </c>
      <c r="BT518">
        <f t="shared" si="168"/>
        <v>-0.30835684346715286</v>
      </c>
      <c r="BV518">
        <f t="shared" si="169"/>
        <v>-22.908339365694506</v>
      </c>
      <c r="BX518">
        <f t="shared" si="170"/>
        <v>-5.0619622242576856</v>
      </c>
      <c r="CB518">
        <f t="shared" si="171"/>
        <v>120765.53184790892</v>
      </c>
      <c r="CD518">
        <f t="shared" si="172"/>
        <v>160539.57589417999</v>
      </c>
      <c r="CF518">
        <f t="shared" si="173"/>
        <v>148888.31320471136</v>
      </c>
    </row>
    <row r="519" spans="12:84" x14ac:dyDescent="0.25">
      <c r="L519">
        <v>508</v>
      </c>
      <c r="M519">
        <f t="shared" si="185"/>
        <v>3.1918581360472524</v>
      </c>
      <c r="P519">
        <f t="shared" si="179"/>
        <v>15006.315216969917</v>
      </c>
      <c r="Q519">
        <f t="shared" si="180"/>
        <v>7248.7784091010399</v>
      </c>
      <c r="V519">
        <f t="shared" si="181"/>
        <v>-23495.579348121057</v>
      </c>
      <c r="W519">
        <f t="shared" si="182"/>
        <v>9824.1448863707283</v>
      </c>
      <c r="AB519">
        <f t="shared" si="183"/>
        <v>-9993.6847830300831</v>
      </c>
      <c r="AC519">
        <f t="shared" si="184"/>
        <v>-15251.22159089896</v>
      </c>
      <c r="AW519">
        <v>512</v>
      </c>
      <c r="AX519">
        <f t="shared" si="174"/>
        <v>256</v>
      </c>
      <c r="AZ519">
        <f t="shared" si="175"/>
        <v>140575.21108226414</v>
      </c>
      <c r="BB519">
        <f t="shared" si="176"/>
        <v>17682.706991011728</v>
      </c>
      <c r="BD519">
        <f t="shared" si="177"/>
        <v>371.26812958353997</v>
      </c>
      <c r="BF519">
        <f t="shared" si="178"/>
        <v>1114.6866163443233</v>
      </c>
      <c r="BH519">
        <f t="shared" si="163"/>
        <v>-64.989363469897185</v>
      </c>
      <c r="BJ519">
        <f t="shared" si="164"/>
        <v>-8.4278487655702587</v>
      </c>
      <c r="BN519" s="20">
        <f t="shared" si="165"/>
        <v>-35.271098979226892</v>
      </c>
      <c r="BP519">
        <f t="shared" si="166"/>
        <v>-2.9786824582990072</v>
      </c>
      <c r="BR519">
        <f t="shared" si="167"/>
        <v>-6.921691181956283</v>
      </c>
      <c r="BT519">
        <f t="shared" si="168"/>
        <v>-0.33116771184561317</v>
      </c>
      <c r="BV519">
        <f t="shared" si="169"/>
        <v>-22.796573308714006</v>
      </c>
      <c r="BX519">
        <f t="shared" si="170"/>
        <v>-5.1179985954256377</v>
      </c>
      <c r="CB519">
        <f t="shared" si="171"/>
        <v>121004.41747802992</v>
      </c>
      <c r="CD519">
        <f t="shared" si="172"/>
        <v>160758.89524633909</v>
      </c>
      <c r="CF519">
        <f t="shared" si="173"/>
        <v>149198.8653371938</v>
      </c>
    </row>
    <row r="520" spans="12:84" x14ac:dyDescent="0.25">
      <c r="L520">
        <v>509</v>
      </c>
      <c r="M520">
        <f t="shared" si="185"/>
        <v>3.1981413213544321</v>
      </c>
      <c r="P520">
        <f t="shared" si="179"/>
        <v>15007.992249455132</v>
      </c>
      <c r="Q520">
        <f t="shared" si="180"/>
        <v>7217.4073275897645</v>
      </c>
      <c r="V520">
        <f t="shared" si="181"/>
        <v>-23494.40542538141</v>
      </c>
      <c r="W520">
        <f t="shared" si="182"/>
        <v>9802.1851293128348</v>
      </c>
      <c r="AB520">
        <f t="shared" si="183"/>
        <v>-9992.007750544868</v>
      </c>
      <c r="AC520">
        <f t="shared" si="184"/>
        <v>-15282.592672410236</v>
      </c>
      <c r="AW520">
        <v>513</v>
      </c>
      <c r="AX520">
        <f t="shared" si="174"/>
        <v>256.5</v>
      </c>
      <c r="AZ520">
        <f t="shared" si="175"/>
        <v>140752.72147662219</v>
      </c>
      <c r="BB520">
        <f t="shared" si="176"/>
        <v>18238.996818088195</v>
      </c>
      <c r="BD520">
        <f t="shared" si="177"/>
        <v>338.77344784859139</v>
      </c>
      <c r="BF520">
        <f t="shared" si="178"/>
        <v>1110.4726919615382</v>
      </c>
      <c r="BH520">
        <f t="shared" ref="BH520:BH583" si="186">BN520+BR520+BV520</f>
        <v>-64.720811311466505</v>
      </c>
      <c r="BJ520">
        <f t="shared" ref="BJ520:BJ583" si="187">SUM(BP520,BT520,BX520)</f>
        <v>-8.6522745787241764</v>
      </c>
      <c r="BN520" s="20">
        <f t="shared" ref="BN520:BN583" si="188">$F$36*($F$32-AZ520)/(CB520^2+$F$37^2)^(3/2)</f>
        <v>-35.128130364497373</v>
      </c>
      <c r="BP520">
        <f t="shared" ref="BP520:BP583" si="189">$F$36*($G$32-BB520)/(CB520^2+($F$37)^2)^(3/2)</f>
        <v>-3.1240776654690858</v>
      </c>
      <c r="BR520">
        <f t="shared" ref="BR520:BR583" si="190">$F$47*($F$43-AZ520)/(CD520^2+($F$48)^2)^(3/2)</f>
        <v>-6.9029740456575546</v>
      </c>
      <c r="BT520">
        <f t="shared" ref="BT520:BT583" si="191">$F$47*($G$43-BB520)/(CD520^2+($F$48)^2)^(3/2)</f>
        <v>-0.35379544853173106</v>
      </c>
      <c r="BV520">
        <f t="shared" ref="BV520:BV583" si="192">$F$58*($F$54-AZ520)/(CF520^2+($F$59)^2)^(3/2)</f>
        <v>-22.689706901311585</v>
      </c>
      <c r="BX520">
        <f t="shared" ref="BX520:BX583" si="193">$F$58*($G$54-BB520)/(CF520^2+($F$59)^2)^(3/2)</f>
        <v>-5.1744014647233589</v>
      </c>
      <c r="CB520">
        <f t="shared" ref="CB520:CB583" si="194">SQRT(($F$32-AZ520)^2+($G$32-BB520)^2)</f>
        <v>121229.31079845996</v>
      </c>
      <c r="CD520">
        <f t="shared" ref="CD520:CD583" si="195">SQRT(($F$43-AZ520)^2+($G$43-BB520)^2)</f>
        <v>160963.71805692403</v>
      </c>
      <c r="CF520">
        <f t="shared" ref="CF520:CF583" si="196">SQRT(($F$54-AZ520)^2+($G$54-BB520)^2)</f>
        <v>149494.77157183352</v>
      </c>
    </row>
    <row r="521" spans="12:84" x14ac:dyDescent="0.25">
      <c r="L521">
        <v>510</v>
      </c>
      <c r="M521">
        <f t="shared" si="185"/>
        <v>3.2044245066616117</v>
      </c>
      <c r="P521">
        <f t="shared" si="179"/>
        <v>15009.866357858649</v>
      </c>
      <c r="Q521">
        <f t="shared" si="180"/>
        <v>7186.0474023533206</v>
      </c>
      <c r="V521">
        <f t="shared" si="181"/>
        <v>-23493.093549498946</v>
      </c>
      <c r="W521">
        <f t="shared" si="182"/>
        <v>9780.2331816473234</v>
      </c>
      <c r="AB521">
        <f t="shared" si="183"/>
        <v>-9990.1336421413507</v>
      </c>
      <c r="AC521">
        <f t="shared" si="184"/>
        <v>-15313.952597646679</v>
      </c>
      <c r="AW521">
        <v>514</v>
      </c>
      <c r="AX521">
        <f t="shared" ref="AX521:AX584" si="197">$F$17*AW521</f>
        <v>257</v>
      </c>
      <c r="AZ521">
        <f t="shared" ref="AZ521:AZ584" si="198">AZ520+BD520*$F$17+(BH520*0.5)*$F$17^2</f>
        <v>140914.01809913255</v>
      </c>
      <c r="BB521">
        <f t="shared" ref="BB521:BB584" si="199">BB520+(BF520*$F$17)+(BJ520*0.5)*$F$17^2</f>
        <v>18793.151629746622</v>
      </c>
      <c r="BD521">
        <f t="shared" ref="BD521:BD584" si="200">BD520+BH520*$F$17</f>
        <v>306.41304219285814</v>
      </c>
      <c r="BF521">
        <f t="shared" ref="BF521:BF584" si="201">BF520+BJ520*$F$17</f>
        <v>1106.1465546721761</v>
      </c>
      <c r="BH521">
        <f t="shared" si="186"/>
        <v>-64.466421354665769</v>
      </c>
      <c r="BJ521">
        <f t="shared" si="187"/>
        <v>-8.8757814519598988</v>
      </c>
      <c r="BN521" s="20">
        <f t="shared" si="188"/>
        <v>-34.993305005751793</v>
      </c>
      <c r="BP521">
        <f t="shared" si="189"/>
        <v>-3.2683116951082578</v>
      </c>
      <c r="BR521">
        <f t="shared" si="190"/>
        <v>-6.8854872459905518</v>
      </c>
      <c r="BT521">
        <f t="shared" si="191"/>
        <v>-0.37625766924409304</v>
      </c>
      <c r="BV521">
        <f t="shared" si="192"/>
        <v>-22.587629102923419</v>
      </c>
      <c r="BX521">
        <f t="shared" si="193"/>
        <v>-5.2312120876075472</v>
      </c>
      <c r="CB521">
        <f t="shared" si="194"/>
        <v>121440.25299137762</v>
      </c>
      <c r="CD521">
        <f t="shared" si="195"/>
        <v>161154.09003929025</v>
      </c>
      <c r="CF521">
        <f t="shared" si="196"/>
        <v>149776.09213390845</v>
      </c>
    </row>
    <row r="522" spans="12:84" x14ac:dyDescent="0.25">
      <c r="L522">
        <v>511</v>
      </c>
      <c r="M522">
        <f t="shared" si="185"/>
        <v>3.2107076919687914</v>
      </c>
      <c r="P522">
        <f t="shared" si="179"/>
        <v>15011.937468193883</v>
      </c>
      <c r="Q522">
        <f t="shared" si="180"/>
        <v>7154.6998714278579</v>
      </c>
      <c r="V522">
        <f t="shared" si="181"/>
        <v>-23491.643772264284</v>
      </c>
      <c r="W522">
        <f t="shared" si="182"/>
        <v>9758.2899099995011</v>
      </c>
      <c r="AB522">
        <f t="shared" si="183"/>
        <v>-9988.0625318061175</v>
      </c>
      <c r="AC522">
        <f t="shared" si="184"/>
        <v>-15345.300128572142</v>
      </c>
      <c r="AW522">
        <v>515</v>
      </c>
      <c r="AX522">
        <f t="shared" si="197"/>
        <v>257.5</v>
      </c>
      <c r="AZ522">
        <f t="shared" si="198"/>
        <v>141059.16631755966</v>
      </c>
      <c r="BB522">
        <f t="shared" si="199"/>
        <v>19345.115434401214</v>
      </c>
      <c r="BD522">
        <f t="shared" si="200"/>
        <v>274.17983151552528</v>
      </c>
      <c r="BF522">
        <f t="shared" si="201"/>
        <v>1101.7086639461961</v>
      </c>
      <c r="BH522">
        <f t="shared" si="186"/>
        <v>-64.225925498873778</v>
      </c>
      <c r="BJ522">
        <f t="shared" si="187"/>
        <v>-9.0985766923273879</v>
      </c>
      <c r="BN522" s="20">
        <f t="shared" si="188"/>
        <v>-34.866475778492372</v>
      </c>
      <c r="BP522">
        <f t="shared" si="189"/>
        <v>-3.4115337396561167</v>
      </c>
      <c r="BR522">
        <f t="shared" si="190"/>
        <v>-6.86921455509132</v>
      </c>
      <c r="BT522">
        <f t="shared" si="191"/>
        <v>-0.39857155869307748</v>
      </c>
      <c r="BV522">
        <f t="shared" si="192"/>
        <v>-22.490235165290091</v>
      </c>
      <c r="BX522">
        <f t="shared" si="193"/>
        <v>-5.2884713939781944</v>
      </c>
      <c r="CB522">
        <f t="shared" si="194"/>
        <v>121637.28256236597</v>
      </c>
      <c r="CD522">
        <f t="shared" si="195"/>
        <v>161330.05373268065</v>
      </c>
      <c r="CF522">
        <f t="shared" si="196"/>
        <v>150042.88393517002</v>
      </c>
    </row>
    <row r="523" spans="12:84" x14ac:dyDescent="0.25">
      <c r="L523">
        <v>512</v>
      </c>
      <c r="M523">
        <f t="shared" si="185"/>
        <v>3.216990877275971</v>
      </c>
      <c r="P523">
        <f t="shared" ref="P523:P586" si="202">COS(M523)*$F$33+$F$32</f>
        <v>15014.205498696938</v>
      </c>
      <c r="Q523">
        <f t="shared" ref="Q523:Q586" si="203">SIN(M523)*$F$33+$G$32</f>
        <v>7123.3659723602232</v>
      </c>
      <c r="V523">
        <f t="shared" si="181"/>
        <v>-23490.056150912143</v>
      </c>
      <c r="W523">
        <f t="shared" si="182"/>
        <v>9736.3561806521557</v>
      </c>
      <c r="AB523">
        <f t="shared" si="183"/>
        <v>-9985.7945013030621</v>
      </c>
      <c r="AC523">
        <f t="shared" si="184"/>
        <v>-15376.634027639777</v>
      </c>
      <c r="AW523">
        <v>516</v>
      </c>
      <c r="AX523">
        <f t="shared" si="197"/>
        <v>258</v>
      </c>
      <c r="AZ523">
        <f t="shared" si="198"/>
        <v>141188.22799263007</v>
      </c>
      <c r="BB523">
        <f t="shared" si="199"/>
        <v>19894.832444287771</v>
      </c>
      <c r="BD523">
        <f t="shared" si="200"/>
        <v>242.06686876608839</v>
      </c>
      <c r="BF523">
        <f t="shared" si="201"/>
        <v>1097.1593756000325</v>
      </c>
      <c r="BH523">
        <f t="shared" si="186"/>
        <v>-63.999073096045962</v>
      </c>
      <c r="BJ523">
        <f t="shared" si="187"/>
        <v>-9.3208629947019439</v>
      </c>
      <c r="BN523" s="20">
        <f t="shared" si="188"/>
        <v>-34.747505719806888</v>
      </c>
      <c r="BP523">
        <f t="shared" si="189"/>
        <v>-3.5538890071082583</v>
      </c>
      <c r="BR523">
        <f t="shared" si="190"/>
        <v>-6.8541410227886015</v>
      </c>
      <c r="BT523">
        <f t="shared" si="191"/>
        <v>-0.42075390873527901</v>
      </c>
      <c r="BV523">
        <f t="shared" si="192"/>
        <v>-22.39742635345047</v>
      </c>
      <c r="BX523">
        <f t="shared" si="193"/>
        <v>-5.3462200788584058</v>
      </c>
      <c r="CB523">
        <f t="shared" si="194"/>
        <v>121820.43537648211</v>
      </c>
      <c r="CD523">
        <f t="shared" si="195"/>
        <v>161491.64855343022</v>
      </c>
      <c r="CF523">
        <f t="shared" si="196"/>
        <v>150295.20063841064</v>
      </c>
    </row>
    <row r="524" spans="12:84" x14ac:dyDescent="0.25">
      <c r="L524">
        <v>513</v>
      </c>
      <c r="M524">
        <f t="shared" si="185"/>
        <v>3.2232740625831506</v>
      </c>
      <c r="P524">
        <f t="shared" si="202"/>
        <v>15016.670359829859</v>
      </c>
      <c r="Q524">
        <f t="shared" si="203"/>
        <v>7092.0469421590988</v>
      </c>
      <c r="V524">
        <f t="shared" ref="V524:V587" si="204">COS(M524)*$F$44+$F$43</f>
        <v>-23488.330748119097</v>
      </c>
      <c r="W524">
        <f t="shared" ref="W524:W587" si="205">SIN(M524)*$F$44+$G$43</f>
        <v>9714.4328595113693</v>
      </c>
      <c r="AB524">
        <f t="shared" ref="AB524:AB587" si="206">COS(M524)*$F$55+$F$54</f>
        <v>-9983.3296401701409</v>
      </c>
      <c r="AC524">
        <f t="shared" ref="AC524:AC587" si="207">SIN(M524)*$F$55+$G$54</f>
        <v>-15407.953057840901</v>
      </c>
      <c r="AW524">
        <v>517</v>
      </c>
      <c r="AX524">
        <f t="shared" si="197"/>
        <v>258.5</v>
      </c>
      <c r="AZ524">
        <f t="shared" si="198"/>
        <v>141301.26154287611</v>
      </c>
      <c r="BB524">
        <f t="shared" si="199"/>
        <v>20442.247024213448</v>
      </c>
      <c r="BD524">
        <f t="shared" si="200"/>
        <v>210.06733221806542</v>
      </c>
      <c r="BF524">
        <f t="shared" si="201"/>
        <v>1092.4989441026814</v>
      </c>
      <c r="BH524">
        <f t="shared" si="186"/>
        <v>-63.785630295931981</v>
      </c>
      <c r="BJ524">
        <f t="shared" si="187"/>
        <v>-9.5428389721992577</v>
      </c>
      <c r="BN524" s="20">
        <f t="shared" si="188"/>
        <v>-34.636267668313771</v>
      </c>
      <c r="BP524">
        <f t="shared" si="189"/>
        <v>-3.6955191269931262</v>
      </c>
      <c r="BR524">
        <f t="shared" si="190"/>
        <v>-6.8402529410020465</v>
      </c>
      <c r="BT524">
        <f t="shared" si="191"/>
        <v>-0.44282115486777801</v>
      </c>
      <c r="BV524">
        <f t="shared" si="192"/>
        <v>-22.309109686616164</v>
      </c>
      <c r="BX524">
        <f t="shared" si="193"/>
        <v>-5.4044986903383538</v>
      </c>
      <c r="CB524">
        <f t="shared" si="194"/>
        <v>121989.7446916297</v>
      </c>
      <c r="CD524">
        <f t="shared" si="195"/>
        <v>161638.91084215464</v>
      </c>
      <c r="CF524">
        <f t="shared" si="196"/>
        <v>150533.09271772241</v>
      </c>
    </row>
    <row r="525" spans="12:84" x14ac:dyDescent="0.25">
      <c r="L525">
        <v>514</v>
      </c>
      <c r="M525">
        <f t="shared" ref="M525:M588" si="208">M524+$O$5</f>
        <v>3.2295572478903303</v>
      </c>
      <c r="P525">
        <f t="shared" si="202"/>
        <v>15019.331954284147</v>
      </c>
      <c r="Q525">
        <f t="shared" si="203"/>
        <v>7060.7440172461702</v>
      </c>
      <c r="V525">
        <f t="shared" si="204"/>
        <v>-23486.467632001099</v>
      </c>
      <c r="W525">
        <f t="shared" si="205"/>
        <v>9692.52081207232</v>
      </c>
      <c r="AB525">
        <f t="shared" si="206"/>
        <v>-9980.6680457158527</v>
      </c>
      <c r="AC525">
        <f t="shared" si="207"/>
        <v>-15439.25598275383</v>
      </c>
      <c r="AW525">
        <v>518</v>
      </c>
      <c r="AX525">
        <f t="shared" si="197"/>
        <v>259</v>
      </c>
      <c r="AZ525">
        <f t="shared" si="198"/>
        <v>141398.32200519813</v>
      </c>
      <c r="BB525">
        <f t="shared" si="199"/>
        <v>20987.303641393264</v>
      </c>
      <c r="BD525">
        <f t="shared" si="200"/>
        <v>178.17451707009943</v>
      </c>
      <c r="BF525">
        <f t="shared" si="201"/>
        <v>1087.7275246165818</v>
      </c>
      <c r="BH525">
        <f t="shared" si="186"/>
        <v>-63.585379442610773</v>
      </c>
      <c r="BJ525">
        <f t="shared" si="187"/>
        <v>-9.7646996635118093</v>
      </c>
      <c r="BN525" s="20">
        <f t="shared" si="188"/>
        <v>-34.532643933565211</v>
      </c>
      <c r="BP525">
        <f t="shared" si="189"/>
        <v>-3.8365625371013623</v>
      </c>
      <c r="BR525">
        <f t="shared" si="190"/>
        <v>-6.8275378114223129</v>
      </c>
      <c r="BT525">
        <f t="shared" si="191"/>
        <v>-0.46478941122308903</v>
      </c>
      <c r="BV525">
        <f t="shared" si="192"/>
        <v>-22.225197697623251</v>
      </c>
      <c r="BX525">
        <f t="shared" si="193"/>
        <v>-5.463347715187358</v>
      </c>
      <c r="CB525">
        <f t="shared" si="194"/>
        <v>122145.24118930263</v>
      </c>
      <c r="CD525">
        <f t="shared" si="195"/>
        <v>161771.87390706025</v>
      </c>
      <c r="CF525">
        <f t="shared" si="196"/>
        <v>150756.6075146145</v>
      </c>
    </row>
    <row r="526" spans="12:84" x14ac:dyDescent="0.25">
      <c r="L526">
        <v>515</v>
      </c>
      <c r="M526">
        <f t="shared" si="208"/>
        <v>3.2358404331975099</v>
      </c>
      <c r="P526">
        <f t="shared" si="202"/>
        <v>15022.190176984612</v>
      </c>
      <c r="Q526">
        <f t="shared" si="203"/>
        <v>7029.4584334073143</v>
      </c>
      <c r="V526">
        <f t="shared" si="204"/>
        <v>-23484.466876110771</v>
      </c>
      <c r="W526">
        <f t="shared" si="205"/>
        <v>9670.620903385121</v>
      </c>
      <c r="AB526">
        <f t="shared" si="206"/>
        <v>-9977.8098230153882</v>
      </c>
      <c r="AC526">
        <f t="shared" si="207"/>
        <v>-15470.541566592685</v>
      </c>
      <c r="AW526">
        <v>519</v>
      </c>
      <c r="AX526">
        <f t="shared" si="197"/>
        <v>259.5</v>
      </c>
      <c r="AZ526">
        <f t="shared" si="198"/>
        <v>141479.46109130286</v>
      </c>
      <c r="BB526">
        <f t="shared" si="199"/>
        <v>21529.946816243617</v>
      </c>
      <c r="BD526">
        <f t="shared" si="200"/>
        <v>146.38182734879405</v>
      </c>
      <c r="BF526">
        <f t="shared" si="201"/>
        <v>1082.845174784826</v>
      </c>
      <c r="BH526">
        <f t="shared" si="186"/>
        <v>-63.398118519441084</v>
      </c>
      <c r="BJ526">
        <f t="shared" si="187"/>
        <v>-9.9866370197611758</v>
      </c>
      <c r="BN526" s="20">
        <f t="shared" si="188"/>
        <v>-34.43652599334871</v>
      </c>
      <c r="BP526">
        <f t="shared" si="189"/>
        <v>-3.9771548530310623</v>
      </c>
      <c r="BR526">
        <f t="shared" si="190"/>
        <v>-6.8159843163286524</v>
      </c>
      <c r="BT526">
        <f t="shared" si="191"/>
        <v>-0.48667450421564878</v>
      </c>
      <c r="BV526">
        <f t="shared" si="192"/>
        <v>-22.145608209763722</v>
      </c>
      <c r="BX526">
        <f t="shared" si="193"/>
        <v>-5.5228076625144649</v>
      </c>
      <c r="CB526">
        <f t="shared" si="194"/>
        <v>122286.9530027631</v>
      </c>
      <c r="CD526">
        <f t="shared" si="195"/>
        <v>161890.56806350086</v>
      </c>
      <c r="CF526">
        <f t="shared" si="196"/>
        <v>150965.78929014379</v>
      </c>
    </row>
    <row r="527" spans="12:84" x14ac:dyDescent="0.25">
      <c r="L527">
        <v>516</v>
      </c>
      <c r="M527">
        <f t="shared" si="208"/>
        <v>3.2421236185046896</v>
      </c>
      <c r="P527">
        <f t="shared" si="202"/>
        <v>15025.24491509351</v>
      </c>
      <c r="Q527">
        <f t="shared" si="203"/>
        <v>6998.1914257438111</v>
      </c>
      <c r="V527">
        <f t="shared" si="204"/>
        <v>-23482.328559434543</v>
      </c>
      <c r="W527">
        <f t="shared" si="205"/>
        <v>9648.7339980206689</v>
      </c>
      <c r="AB527">
        <f t="shared" si="206"/>
        <v>-9974.7550849064901</v>
      </c>
      <c r="AC527">
        <f t="shared" si="207"/>
        <v>-15501.808574256189</v>
      </c>
      <c r="AW527">
        <v>520</v>
      </c>
      <c r="AX527">
        <f t="shared" si="197"/>
        <v>260</v>
      </c>
      <c r="AZ527">
        <f t="shared" si="198"/>
        <v>141544.72724016232</v>
      </c>
      <c r="BB527">
        <f t="shared" si="199"/>
        <v>22070.121074008559</v>
      </c>
      <c r="BD527">
        <f t="shared" si="200"/>
        <v>114.68276808907351</v>
      </c>
      <c r="BF527">
        <f t="shared" si="201"/>
        <v>1077.8518562749455</v>
      </c>
      <c r="BH527">
        <f t="shared" si="186"/>
        <v>-63.223660639794602</v>
      </c>
      <c r="BJ527">
        <f t="shared" si="187"/>
        <v>-10.208840373295164</v>
      </c>
      <c r="BN527" s="20">
        <f t="shared" si="188"/>
        <v>-34.347814217470557</v>
      </c>
      <c r="BP527">
        <f t="shared" si="189"/>
        <v>-4.1174292224725404</v>
      </c>
      <c r="BR527">
        <f t="shared" si="190"/>
        <v>-6.8055822924128542</v>
      </c>
      <c r="BT527">
        <f t="shared" si="191"/>
        <v>-0.50849200498157554</v>
      </c>
      <c r="BV527">
        <f t="shared" si="192"/>
        <v>-22.070264129911198</v>
      </c>
      <c r="BX527">
        <f t="shared" si="193"/>
        <v>-5.5829191458410472</v>
      </c>
      <c r="CB527">
        <f t="shared" si="194"/>
        <v>122414.90574271062</v>
      </c>
      <c r="CD527">
        <f t="shared" si="195"/>
        <v>161995.02066989488</v>
      </c>
      <c r="CF527">
        <f t="shared" si="196"/>
        <v>151160.67927319996</v>
      </c>
    </row>
    <row r="528" spans="12:84" x14ac:dyDescent="0.25">
      <c r="L528">
        <v>517</v>
      </c>
      <c r="M528">
        <f t="shared" si="208"/>
        <v>3.2484068038118692</v>
      </c>
      <c r="P528">
        <f t="shared" si="202"/>
        <v>15028.496048015018</v>
      </c>
      <c r="Q528">
        <f t="shared" si="203"/>
        <v>6966.9442286235862</v>
      </c>
      <c r="V528">
        <f t="shared" si="204"/>
        <v>-23480.052766389486</v>
      </c>
      <c r="W528">
        <f t="shared" si="205"/>
        <v>9626.8609600365107</v>
      </c>
      <c r="AB528">
        <f t="shared" si="206"/>
        <v>-9971.5039519849815</v>
      </c>
      <c r="AC528">
        <f t="shared" si="207"/>
        <v>-15533.055771376414</v>
      </c>
      <c r="AW528">
        <v>521</v>
      </c>
      <c r="AX528">
        <f t="shared" si="197"/>
        <v>260.5</v>
      </c>
      <c r="AZ528">
        <f t="shared" si="198"/>
        <v>141594.16566662688</v>
      </c>
      <c r="BB528">
        <f t="shared" si="199"/>
        <v>22607.77089709937</v>
      </c>
      <c r="BD528">
        <f t="shared" si="200"/>
        <v>83.070937769176197</v>
      </c>
      <c r="BF528">
        <f t="shared" si="201"/>
        <v>1072.7474360882979</v>
      </c>
      <c r="BH528">
        <f t="shared" si="186"/>
        <v>-63.061833581185091</v>
      </c>
      <c r="BJ528">
        <f t="shared" si="187"/>
        <v>-10.431496890710072</v>
      </c>
      <c r="BN528" s="20">
        <f t="shared" si="188"/>
        <v>-34.266417616750012</v>
      </c>
      <c r="BP528">
        <f t="shared" si="189"/>
        <v>-4.2575166660342125</v>
      </c>
      <c r="BR528">
        <f t="shared" si="190"/>
        <v>-6.7963227074943307</v>
      </c>
      <c r="BT528">
        <f t="shared" si="191"/>
        <v>-0.53025726074551549</v>
      </c>
      <c r="BV528">
        <f t="shared" si="192"/>
        <v>-21.999093256940746</v>
      </c>
      <c r="BX528">
        <f t="shared" si="193"/>
        <v>-5.643722963930343</v>
      </c>
      <c r="CB528">
        <f t="shared" si="194"/>
        <v>122529.12252049448</v>
      </c>
      <c r="CD528">
        <f t="shared" si="195"/>
        <v>162085.25616010546</v>
      </c>
      <c r="CF528">
        <f t="shared" si="196"/>
        <v>151341.31570507493</v>
      </c>
    </row>
    <row r="529" spans="12:84" x14ac:dyDescent="0.25">
      <c r="L529">
        <v>518</v>
      </c>
      <c r="M529">
        <f t="shared" si="208"/>
        <v>3.2546899891190488</v>
      </c>
      <c r="P529">
        <f t="shared" si="202"/>
        <v>15031.943447399972</v>
      </c>
      <c r="Q529">
        <f t="shared" si="203"/>
        <v>6935.7180756324769</v>
      </c>
      <c r="V529">
        <f t="shared" si="204"/>
        <v>-23477.63958682002</v>
      </c>
      <c r="W529">
        <f t="shared" si="205"/>
        <v>9605.0026529427341</v>
      </c>
      <c r="AB529">
        <f t="shared" si="206"/>
        <v>-9968.0565526000282</v>
      </c>
      <c r="AC529">
        <f t="shared" si="207"/>
        <v>-15564.281924367522</v>
      </c>
      <c r="AW529">
        <v>522</v>
      </c>
      <c r="AX529">
        <f t="shared" si="197"/>
        <v>261</v>
      </c>
      <c r="AZ529">
        <f t="shared" si="198"/>
        <v>141627.81840631383</v>
      </c>
      <c r="BB529">
        <f t="shared" si="199"/>
        <v>23142.840678032182</v>
      </c>
      <c r="BD529">
        <f t="shared" si="200"/>
        <v>51.540020978583655</v>
      </c>
      <c r="BF529">
        <f t="shared" si="201"/>
        <v>1067.5316876429429</v>
      </c>
      <c r="BH529">
        <f t="shared" si="186"/>
        <v>-62.912479360638187</v>
      </c>
      <c r="BJ529">
        <f t="shared" si="187"/>
        <v>-10.654792012251544</v>
      </c>
      <c r="BN529" s="20">
        <f t="shared" si="188"/>
        <v>-34.192253616074424</v>
      </c>
      <c r="BP529">
        <f t="shared" si="189"/>
        <v>-4.397546406302693</v>
      </c>
      <c r="BR529">
        <f t="shared" si="190"/>
        <v>-6.7881976400248139</v>
      </c>
      <c r="BT529">
        <f t="shared" si="191"/>
        <v>-0.55198542524134597</v>
      </c>
      <c r="BV529">
        <f t="shared" si="192"/>
        <v>-21.932028104538947</v>
      </c>
      <c r="BX529">
        <f t="shared" si="193"/>
        <v>-5.7052601807075041</v>
      </c>
      <c r="CB529">
        <f t="shared" si="194"/>
        <v>122629.62396891524</v>
      </c>
      <c r="CD529">
        <f t="shared" si="195"/>
        <v>162161.29607237512</v>
      </c>
      <c r="CF529">
        <f t="shared" si="196"/>
        <v>151507.73388043494</v>
      </c>
    </row>
    <row r="530" spans="12:84" x14ac:dyDescent="0.25">
      <c r="L530">
        <v>519</v>
      </c>
      <c r="M530">
        <f t="shared" si="208"/>
        <v>3.2609731744262285</v>
      </c>
      <c r="P530">
        <f t="shared" si="202"/>
        <v>15035.586977150946</v>
      </c>
      <c r="Q530">
        <f t="shared" si="203"/>
        <v>6904.5141995255362</v>
      </c>
      <c r="V530">
        <f t="shared" si="204"/>
        <v>-23475.089115994338</v>
      </c>
      <c r="W530">
        <f t="shared" si="205"/>
        <v>9583.1599396678757</v>
      </c>
      <c r="AB530">
        <f t="shared" si="206"/>
        <v>-9964.413022849054</v>
      </c>
      <c r="AC530">
        <f t="shared" si="207"/>
        <v>-15595.485800474464</v>
      </c>
      <c r="AW530">
        <v>523</v>
      </c>
      <c r="AX530">
        <f t="shared" si="197"/>
        <v>261.5</v>
      </c>
      <c r="AZ530">
        <f t="shared" si="198"/>
        <v>141645.72435688306</v>
      </c>
      <c r="BB530">
        <f t="shared" si="199"/>
        <v>23675.274672852123</v>
      </c>
      <c r="BD530">
        <f t="shared" si="200"/>
        <v>20.083781298264562</v>
      </c>
      <c r="BF530">
        <f t="shared" si="201"/>
        <v>1062.2042916368171</v>
      </c>
      <c r="BH530">
        <f t="shared" si="186"/>
        <v>-62.775453849356438</v>
      </c>
      <c r="BJ530">
        <f t="shared" si="187"/>
        <v>-10.878909879634801</v>
      </c>
      <c r="BN530" s="20">
        <f t="shared" si="188"/>
        <v>-34.125247850488201</v>
      </c>
      <c r="BP530">
        <f t="shared" si="189"/>
        <v>-4.5376461867364455</v>
      </c>
      <c r="BR530">
        <f t="shared" si="190"/>
        <v>-6.7812002612933444</v>
      </c>
      <c r="BT530">
        <f t="shared" si="191"/>
        <v>-0.57369148830724581</v>
      </c>
      <c r="BV530">
        <f t="shared" si="192"/>
        <v>-21.869005737574895</v>
      </c>
      <c r="BX530">
        <f t="shared" si="193"/>
        <v>-5.7675722045911089</v>
      </c>
      <c r="CB530">
        <f t="shared" si="194"/>
        <v>122716.42826065703</v>
      </c>
      <c r="CD530">
        <f t="shared" si="195"/>
        <v>162223.15907489709</v>
      </c>
      <c r="CF530">
        <f t="shared" si="196"/>
        <v>151659.96618480264</v>
      </c>
    </row>
    <row r="531" spans="12:84" x14ac:dyDescent="0.25">
      <c r="L531">
        <v>520</v>
      </c>
      <c r="M531">
        <f t="shared" si="208"/>
        <v>3.2672563597334081</v>
      </c>
      <c r="P531">
        <f t="shared" si="202"/>
        <v>15039.426493427625</v>
      </c>
      <c r="Q531">
        <f t="shared" si="203"/>
        <v>6873.333832178364</v>
      </c>
      <c r="V531">
        <f t="shared" si="204"/>
        <v>-23472.401454600662</v>
      </c>
      <c r="W531">
        <f t="shared" si="205"/>
        <v>9561.3336825248552</v>
      </c>
      <c r="AB531">
        <f t="shared" si="206"/>
        <v>-9960.5735065723748</v>
      </c>
      <c r="AC531">
        <f t="shared" si="207"/>
        <v>-15626.666167821637</v>
      </c>
      <c r="AW531">
        <v>524</v>
      </c>
      <c r="AX531">
        <f t="shared" si="197"/>
        <v>262</v>
      </c>
      <c r="AZ531">
        <f t="shared" si="198"/>
        <v>141647.919315801</v>
      </c>
      <c r="BB531">
        <f t="shared" si="199"/>
        <v>24205.016954935578</v>
      </c>
      <c r="BD531">
        <f t="shared" si="200"/>
        <v>-11.303945626413658</v>
      </c>
      <c r="BF531">
        <f t="shared" si="201"/>
        <v>1056.7648366969997</v>
      </c>
      <c r="BH531">
        <f t="shared" si="186"/>
        <v>-62.650626424942288</v>
      </c>
      <c r="BJ531">
        <f t="shared" si="187"/>
        <v>-11.104033754230734</v>
      </c>
      <c r="BN531" s="20">
        <f t="shared" si="188"/>
        <v>-34.065333983408493</v>
      </c>
      <c r="BP531">
        <f t="shared" si="189"/>
        <v>-4.67794258191201</v>
      </c>
      <c r="BR531">
        <f t="shared" si="190"/>
        <v>-6.7753248202556593</v>
      </c>
      <c r="BT531">
        <f t="shared" si="191"/>
        <v>-0.59539030477034871</v>
      </c>
      <c r="BV531">
        <f t="shared" si="192"/>
        <v>-21.809967621278133</v>
      </c>
      <c r="BX531">
        <f t="shared" si="193"/>
        <v>-5.8307008675483765</v>
      </c>
      <c r="CB531">
        <f t="shared" si="194"/>
        <v>122789.55112438646</v>
      </c>
      <c r="CD531">
        <f t="shared" si="195"/>
        <v>162270.8609880952</v>
      </c>
      <c r="CF531">
        <f t="shared" si="196"/>
        <v>151798.04212864692</v>
      </c>
    </row>
    <row r="532" spans="12:84" x14ac:dyDescent="0.25">
      <c r="L532">
        <v>521</v>
      </c>
      <c r="M532">
        <f t="shared" si="208"/>
        <v>3.2735395450405878</v>
      </c>
      <c r="P532">
        <f t="shared" si="202"/>
        <v>15043.461844652484</v>
      </c>
      <c r="Q532">
        <f t="shared" si="203"/>
        <v>6842.1782045384725</v>
      </c>
      <c r="V532">
        <f t="shared" si="204"/>
        <v>-23469.576708743261</v>
      </c>
      <c r="W532">
        <f t="shared" si="205"/>
        <v>9539.5247431769312</v>
      </c>
      <c r="AB532">
        <f t="shared" si="206"/>
        <v>-9956.5381553475163</v>
      </c>
      <c r="AC532">
        <f t="shared" si="207"/>
        <v>-15657.821795461528</v>
      </c>
      <c r="AW532">
        <v>525</v>
      </c>
      <c r="AX532">
        <f t="shared" si="197"/>
        <v>262.5</v>
      </c>
      <c r="AZ532">
        <f t="shared" si="198"/>
        <v>141634.43601468467</v>
      </c>
      <c r="BB532">
        <f t="shared" si="199"/>
        <v>24732.0113690648</v>
      </c>
      <c r="BD532">
        <f t="shared" si="200"/>
        <v>-42.629258838884802</v>
      </c>
      <c r="BF532">
        <f t="shared" si="201"/>
        <v>1051.2128198198843</v>
      </c>
      <c r="BH532">
        <f t="shared" si="186"/>
        <v>-62.537879659617076</v>
      </c>
      <c r="BJ532">
        <f t="shared" si="187"/>
        <v>-11.330346427482315</v>
      </c>
      <c r="BN532" s="20">
        <f t="shared" si="188"/>
        <v>-34.012453546154596</v>
      </c>
      <c r="BP532">
        <f t="shared" si="189"/>
        <v>-4.8185613005708792</v>
      </c>
      <c r="BR532">
        <f t="shared" si="190"/>
        <v>-6.7705666309226702</v>
      </c>
      <c r="BT532">
        <f t="shared" si="191"/>
        <v>-0.61709662273144361</v>
      </c>
      <c r="BV532">
        <f t="shared" si="192"/>
        <v>-21.754859482539803</v>
      </c>
      <c r="BX532">
        <f t="shared" si="193"/>
        <v>-5.8946885041799932</v>
      </c>
      <c r="CB532">
        <f t="shared" si="194"/>
        <v>122849.00585854978</v>
      </c>
      <c r="CD532">
        <f t="shared" si="195"/>
        <v>162304.41480367517</v>
      </c>
      <c r="CF532">
        <f t="shared" si="196"/>
        <v>151921.98837816779</v>
      </c>
    </row>
    <row r="533" spans="12:84" x14ac:dyDescent="0.25">
      <c r="L533">
        <v>522</v>
      </c>
      <c r="M533">
        <f t="shared" si="208"/>
        <v>3.2798227303477674</v>
      </c>
      <c r="P533">
        <f t="shared" si="202"/>
        <v>15047.69287151676</v>
      </c>
      <c r="Q533">
        <f t="shared" si="203"/>
        <v>6811.0485465766942</v>
      </c>
      <c r="V533">
        <f t="shared" si="204"/>
        <v>-23466.614989938269</v>
      </c>
      <c r="W533">
        <f t="shared" si="205"/>
        <v>9517.7339826036859</v>
      </c>
      <c r="AB533">
        <f t="shared" si="206"/>
        <v>-9952.3071284832404</v>
      </c>
      <c r="AC533">
        <f t="shared" si="207"/>
        <v>-15688.951453423306</v>
      </c>
      <c r="AW533">
        <v>526</v>
      </c>
      <c r="AX533">
        <f t="shared" si="197"/>
        <v>263</v>
      </c>
      <c r="AZ533">
        <f t="shared" si="198"/>
        <v>141605.30415030778</v>
      </c>
      <c r="BB533">
        <f t="shared" si="199"/>
        <v>25256.201485671307</v>
      </c>
      <c r="BD533">
        <f t="shared" si="200"/>
        <v>-73.89819866869334</v>
      </c>
      <c r="BF533">
        <f t="shared" si="201"/>
        <v>1045.5476466061432</v>
      </c>
      <c r="BH533">
        <f t="shared" si="186"/>
        <v>-62.437109043061589</v>
      </c>
      <c r="BJ533">
        <f t="shared" si="187"/>
        <v>-11.558030625349559</v>
      </c>
      <c r="BN533" s="20">
        <f t="shared" si="188"/>
        <v>-33.966555798092912</v>
      </c>
      <c r="BP533">
        <f t="shared" si="189"/>
        <v>-4.9596274828585116</v>
      </c>
      <c r="BR533">
        <f t="shared" si="190"/>
        <v>-6.7669220622559578</v>
      </c>
      <c r="BT533">
        <f t="shared" si="191"/>
        <v>-0.63882511135643727</v>
      </c>
      <c r="BV533">
        <f t="shared" si="192"/>
        <v>-21.703631182712719</v>
      </c>
      <c r="BX533">
        <f t="shared" si="193"/>
        <v>-5.95957803113461</v>
      </c>
      <c r="CB533">
        <f t="shared" si="194"/>
        <v>122894.80334289411</v>
      </c>
      <c r="CD533">
        <f t="shared" si="195"/>
        <v>162323.83070050093</v>
      </c>
      <c r="CF533">
        <f t="shared" si="196"/>
        <v>152031.8287828546</v>
      </c>
    </row>
    <row r="534" spans="12:84" x14ac:dyDescent="0.25">
      <c r="L534">
        <v>523</v>
      </c>
      <c r="M534">
        <f t="shared" si="208"/>
        <v>3.286105915654947</v>
      </c>
      <c r="P534">
        <f t="shared" si="202"/>
        <v>15052.119406986762</v>
      </c>
      <c r="Q534">
        <f t="shared" si="203"/>
        <v>6779.9460872386235</v>
      </c>
      <c r="V534">
        <f t="shared" si="204"/>
        <v>-23463.516415109269</v>
      </c>
      <c r="W534">
        <f t="shared" si="205"/>
        <v>9495.9622610670376</v>
      </c>
      <c r="AB534">
        <f t="shared" si="206"/>
        <v>-9947.8805930132385</v>
      </c>
      <c r="AC534">
        <f t="shared" si="207"/>
        <v>-15720.053912761376</v>
      </c>
      <c r="AW534">
        <v>527</v>
      </c>
      <c r="AX534">
        <f t="shared" si="197"/>
        <v>263.5</v>
      </c>
      <c r="AZ534">
        <f t="shared" si="198"/>
        <v>141560.55041234306</v>
      </c>
      <c r="BB534">
        <f t="shared" si="199"/>
        <v>25777.530555146212</v>
      </c>
      <c r="BD534">
        <f t="shared" si="200"/>
        <v>-105.11675319022413</v>
      </c>
      <c r="BF534">
        <f t="shared" si="201"/>
        <v>1039.7686312934684</v>
      </c>
      <c r="BH534">
        <f t="shared" si="186"/>
        <v>-62.348222738659743</v>
      </c>
      <c r="BJ534">
        <f t="shared" si="187"/>
        <v>-11.787269408526383</v>
      </c>
      <c r="BN534" s="20">
        <f t="shared" si="188"/>
        <v>-33.927597606785348</v>
      </c>
      <c r="BP534">
        <f t="shared" si="189"/>
        <v>-5.1012659930977033</v>
      </c>
      <c r="BR534">
        <f t="shared" si="190"/>
        <v>-6.7643885305265785</v>
      </c>
      <c r="BT534">
        <f t="shared" si="191"/>
        <v>-0.66059038827779315</v>
      </c>
      <c r="BV534">
        <f t="shared" si="192"/>
        <v>-21.65623660134781</v>
      </c>
      <c r="BX534">
        <f t="shared" si="193"/>
        <v>-6.0254130271508863</v>
      </c>
      <c r="CB534">
        <f t="shared" si="194"/>
        <v>122926.95204773484</v>
      </c>
      <c r="CD534">
        <f t="shared" si="195"/>
        <v>162329.11605734139</v>
      </c>
      <c r="CF534">
        <f t="shared" si="196"/>
        <v>152127.5843998873</v>
      </c>
    </row>
    <row r="535" spans="12:84" x14ac:dyDescent="0.25">
      <c r="L535">
        <v>524</v>
      </c>
      <c r="M535">
        <f t="shared" si="208"/>
        <v>3.2923891009621267</v>
      </c>
      <c r="P535">
        <f t="shared" si="202"/>
        <v>15056.741276310448</v>
      </c>
      <c r="Q535">
        <f t="shared" si="203"/>
        <v>6748.872054396099</v>
      </c>
      <c r="V535">
        <f t="shared" si="204"/>
        <v>-23460.281106582686</v>
      </c>
      <c r="W535">
        <f t="shared" si="205"/>
        <v>9474.2104380772689</v>
      </c>
      <c r="AB535">
        <f t="shared" si="206"/>
        <v>-9943.2587236895524</v>
      </c>
      <c r="AC535">
        <f t="shared" si="207"/>
        <v>-15751.127945603901</v>
      </c>
      <c r="AW535">
        <v>528</v>
      </c>
      <c r="AX535">
        <f t="shared" si="197"/>
        <v>264</v>
      </c>
      <c r="AZ535">
        <f t="shared" si="198"/>
        <v>141500.19850790562</v>
      </c>
      <c r="BB535">
        <f t="shared" si="199"/>
        <v>26295.94146211688</v>
      </c>
      <c r="BD535">
        <f t="shared" si="200"/>
        <v>-136.290864559554</v>
      </c>
      <c r="BF535">
        <f t="shared" si="201"/>
        <v>1033.8749965892052</v>
      </c>
      <c r="BH535">
        <f t="shared" si="186"/>
        <v>-62.271141372095627</v>
      </c>
      <c r="BJ535">
        <f t="shared" si="187"/>
        <v>-12.018246570132092</v>
      </c>
      <c r="BN535" s="20">
        <f t="shared" si="188"/>
        <v>-33.895543347632234</v>
      </c>
      <c r="BP535">
        <f t="shared" si="189"/>
        <v>-5.2436017094020366</v>
      </c>
      <c r="BR535">
        <f t="shared" si="190"/>
        <v>-6.7629644941072726</v>
      </c>
      <c r="BT535">
        <f t="shared" si="191"/>
        <v>-0.68240704670683217</v>
      </c>
      <c r="BV535">
        <f t="shared" si="192"/>
        <v>-21.612633530356124</v>
      </c>
      <c r="BX535">
        <f t="shared" si="193"/>
        <v>-6.092237814023223</v>
      </c>
      <c r="CB535">
        <f t="shared" si="194"/>
        <v>122945.45804098577</v>
      </c>
      <c r="CD535">
        <f t="shared" si="195"/>
        <v>162320.27546252398</v>
      </c>
      <c r="CF535">
        <f t="shared" si="196"/>
        <v>152209.27351544102</v>
      </c>
    </row>
    <row r="536" spans="12:84" x14ac:dyDescent="0.25">
      <c r="L536">
        <v>525</v>
      </c>
      <c r="M536">
        <f t="shared" si="208"/>
        <v>3.2986722862693063</v>
      </c>
      <c r="P536">
        <f t="shared" si="202"/>
        <v>15061.55829702433</v>
      </c>
      <c r="Q536">
        <f t="shared" si="203"/>
        <v>6717.8276747987302</v>
      </c>
      <c r="V536">
        <f t="shared" si="204"/>
        <v>-23456.909192082971</v>
      </c>
      <c r="W536">
        <f t="shared" si="205"/>
        <v>9452.4793723591101</v>
      </c>
      <c r="AB536">
        <f t="shared" si="206"/>
        <v>-9938.4417029756696</v>
      </c>
      <c r="AC536">
        <f t="shared" si="207"/>
        <v>-15782.172325201271</v>
      </c>
      <c r="AW536">
        <v>529</v>
      </c>
      <c r="AX536">
        <f t="shared" si="197"/>
        <v>264.5</v>
      </c>
      <c r="AZ536">
        <f t="shared" si="198"/>
        <v>141424.26918295433</v>
      </c>
      <c r="BB536">
        <f t="shared" si="199"/>
        <v>26811.376679590216</v>
      </c>
      <c r="BD536">
        <f t="shared" si="200"/>
        <v>-167.42643524560179</v>
      </c>
      <c r="BF536">
        <f t="shared" si="201"/>
        <v>1027.8658733041391</v>
      </c>
      <c r="BH536">
        <f t="shared" si="186"/>
        <v>-62.20579785139391</v>
      </c>
      <c r="BJ536">
        <f t="shared" si="187"/>
        <v>-12.2511470325496</v>
      </c>
      <c r="BN536" s="20">
        <f t="shared" si="188"/>
        <v>-33.870364822575574</v>
      </c>
      <c r="BP536">
        <f t="shared" si="189"/>
        <v>-5.3867598114044872</v>
      </c>
      <c r="BR536">
        <f t="shared" si="190"/>
        <v>-6.762649450676312</v>
      </c>
      <c r="BT536">
        <f t="shared" si="191"/>
        <v>-0.70428968235557254</v>
      </c>
      <c r="BV536">
        <f t="shared" si="192"/>
        <v>-21.572783578142023</v>
      </c>
      <c r="BX536">
        <f t="shared" si="193"/>
        <v>-6.1600975387895405</v>
      </c>
      <c r="CB536">
        <f t="shared" si="194"/>
        <v>122950.32499296444</v>
      </c>
      <c r="CD536">
        <f t="shared" si="195"/>
        <v>162297.31072052295</v>
      </c>
      <c r="CF536">
        <f t="shared" si="196"/>
        <v>152276.91166294663</v>
      </c>
    </row>
    <row r="537" spans="12:84" x14ac:dyDescent="0.25">
      <c r="L537">
        <v>526</v>
      </c>
      <c r="M537">
        <f t="shared" si="208"/>
        <v>3.3049554715764859</v>
      </c>
      <c r="P537">
        <f t="shared" si="202"/>
        <v>15066.570278960678</v>
      </c>
      <c r="Q537">
        <f t="shared" si="203"/>
        <v>6686.8141740254659</v>
      </c>
      <c r="V537">
        <f t="shared" si="204"/>
        <v>-23453.400804727524</v>
      </c>
      <c r="W537">
        <f t="shared" si="205"/>
        <v>9430.7699218178259</v>
      </c>
      <c r="AB537">
        <f t="shared" si="206"/>
        <v>-9933.4297210393215</v>
      </c>
      <c r="AC537">
        <f t="shared" si="207"/>
        <v>-15813.185825974533</v>
      </c>
      <c r="AW537">
        <v>530</v>
      </c>
      <c r="AX537">
        <f t="shared" si="197"/>
        <v>265</v>
      </c>
      <c r="AZ537">
        <f t="shared" si="198"/>
        <v>141332.78024060011</v>
      </c>
      <c r="BB537">
        <f t="shared" si="199"/>
        <v>27323.778222863217</v>
      </c>
      <c r="BD537">
        <f t="shared" si="200"/>
        <v>-198.52933417129876</v>
      </c>
      <c r="BF537">
        <f t="shared" si="201"/>
        <v>1021.7402997878643</v>
      </c>
      <c r="BH537">
        <f t="shared" si="186"/>
        <v>-62.152137217644167</v>
      </c>
      <c r="BJ537">
        <f t="shared" si="187"/>
        <v>-12.486157245063946</v>
      </c>
      <c r="BN537" s="20">
        <f t="shared" si="188"/>
        <v>-33.85204119753157</v>
      </c>
      <c r="BP537">
        <f t="shared" si="189"/>
        <v>-5.5308660673592724</v>
      </c>
      <c r="BR537">
        <f t="shared" si="190"/>
        <v>-6.7634439368222159</v>
      </c>
      <c r="BT537">
        <f t="shared" si="191"/>
        <v>-0.72625292026543165</v>
      </c>
      <c r="BV537">
        <f t="shared" si="192"/>
        <v>-21.536652083290384</v>
      </c>
      <c r="BX537">
        <f t="shared" si="193"/>
        <v>-6.2290382574392424</v>
      </c>
      <c r="CB537">
        <f t="shared" si="194"/>
        <v>122941.5541789798</v>
      </c>
      <c r="CD537">
        <f t="shared" si="195"/>
        <v>162260.22085550334</v>
      </c>
      <c r="CF537">
        <f t="shared" si="196"/>
        <v>152330.51163835128</v>
      </c>
    </row>
    <row r="538" spans="12:84" x14ac:dyDescent="0.25">
      <c r="L538">
        <v>527</v>
      </c>
      <c r="M538">
        <f t="shared" si="208"/>
        <v>3.3112386568836656</v>
      </c>
      <c r="P538">
        <f t="shared" si="202"/>
        <v>15071.777024255029</v>
      </c>
      <c r="Q538">
        <f t="shared" si="203"/>
        <v>6655.8327764362148</v>
      </c>
      <c r="V538">
        <f t="shared" si="204"/>
        <v>-23449.756083021479</v>
      </c>
      <c r="W538">
        <f t="shared" si="205"/>
        <v>9409.0829435053511</v>
      </c>
      <c r="AB538">
        <f t="shared" si="206"/>
        <v>-9928.2229757449713</v>
      </c>
      <c r="AC538">
        <f t="shared" si="207"/>
        <v>-15844.167223563785</v>
      </c>
      <c r="AW538">
        <v>531</v>
      </c>
      <c r="AX538">
        <f t="shared" si="197"/>
        <v>265.5</v>
      </c>
      <c r="AZ538">
        <f t="shared" si="198"/>
        <v>141225.74655636225</v>
      </c>
      <c r="BB538">
        <f t="shared" si="199"/>
        <v>27833.087603101518</v>
      </c>
      <c r="BD538">
        <f t="shared" si="200"/>
        <v>-229.60540278012084</v>
      </c>
      <c r="BF538">
        <f t="shared" si="201"/>
        <v>1015.4972211653323</v>
      </c>
      <c r="BH538">
        <f t="shared" si="186"/>
        <v>-62.110116525791128</v>
      </c>
      <c r="BJ538">
        <f t="shared" si="187"/>
        <v>-12.723465583949574</v>
      </c>
      <c r="BN538" s="20">
        <f t="shared" si="188"/>
        <v>-33.840558958291503</v>
      </c>
      <c r="BP538">
        <f t="shared" si="189"/>
        <v>-5.6760471218624193</v>
      </c>
      <c r="BR538">
        <f t="shared" si="190"/>
        <v>-6.7653495300502726</v>
      </c>
      <c r="BT538">
        <f t="shared" si="191"/>
        <v>-0.74831144163945107</v>
      </c>
      <c r="BV538">
        <f t="shared" si="192"/>
        <v>-21.504208037449356</v>
      </c>
      <c r="BX538">
        <f t="shared" si="193"/>
        <v>-6.2991070204477033</v>
      </c>
      <c r="CB538">
        <f t="shared" si="194"/>
        <v>122919.14447970575</v>
      </c>
      <c r="CD538">
        <f t="shared" si="195"/>
        <v>162209.0021118318</v>
      </c>
      <c r="CF538">
        <f t="shared" si="196"/>
        <v>152370.08351241544</v>
      </c>
    </row>
    <row r="539" spans="12:84" x14ac:dyDescent="0.25">
      <c r="L539">
        <v>528</v>
      </c>
      <c r="M539">
        <f t="shared" si="208"/>
        <v>3.3175218421908452</v>
      </c>
      <c r="P539">
        <f t="shared" si="202"/>
        <v>15077.178327353995</v>
      </c>
      <c r="Q539">
        <f t="shared" si="203"/>
        <v>6624.8847051235034</v>
      </c>
      <c r="V539">
        <f t="shared" si="204"/>
        <v>-23445.975170852205</v>
      </c>
      <c r="W539">
        <f t="shared" si="205"/>
        <v>9387.4192935864521</v>
      </c>
      <c r="AB539">
        <f t="shared" si="206"/>
        <v>-9922.821672646005</v>
      </c>
      <c r="AC539">
        <f t="shared" si="207"/>
        <v>-15875.115294876496</v>
      </c>
      <c r="AW539">
        <v>532</v>
      </c>
      <c r="AX539">
        <f t="shared" si="197"/>
        <v>266</v>
      </c>
      <c r="AZ539">
        <f t="shared" si="198"/>
        <v>141103.18009040647</v>
      </c>
      <c r="BB539">
        <f t="shared" si="199"/>
        <v>28339.245780486188</v>
      </c>
      <c r="BD539">
        <f t="shared" si="200"/>
        <v>-260.66046104301643</v>
      </c>
      <c r="BF539">
        <f t="shared" si="201"/>
        <v>1009.1354883733576</v>
      </c>
      <c r="BH539">
        <f t="shared" si="186"/>
        <v>-62.079704754999817</v>
      </c>
      <c r="BJ539">
        <f t="shared" si="187"/>
        <v>-12.963262756656409</v>
      </c>
      <c r="BN539" s="20">
        <f t="shared" si="188"/>
        <v>-33.835911884720872</v>
      </c>
      <c r="BP539">
        <f t="shared" si="189"/>
        <v>-5.8224307854359099</v>
      </c>
      <c r="BR539">
        <f t="shared" si="190"/>
        <v>-6.7683688531995649</v>
      </c>
      <c r="BT539">
        <f t="shared" si="191"/>
        <v>-0.77048001077419992</v>
      </c>
      <c r="BV539">
        <f t="shared" si="192"/>
        <v>-21.475424017079384</v>
      </c>
      <c r="BX539">
        <f t="shared" si="193"/>
        <v>-6.3703519604462979</v>
      </c>
      <c r="CB539">
        <f t="shared" si="194"/>
        <v>122883.09237933806</v>
      </c>
      <c r="CD539">
        <f t="shared" si="195"/>
        <v>162143.64795155876</v>
      </c>
      <c r="CF539">
        <f t="shared" si="196"/>
        <v>152395.63464007468</v>
      </c>
    </row>
    <row r="540" spans="12:84" x14ac:dyDescent="0.25">
      <c r="L540">
        <v>529</v>
      </c>
      <c r="M540">
        <f t="shared" si="208"/>
        <v>3.3238050274980249</v>
      </c>
      <c r="P540">
        <f t="shared" si="202"/>
        <v>15082.773975023374</v>
      </c>
      <c r="Q540">
        <f t="shared" si="203"/>
        <v>6593.9711818641972</v>
      </c>
      <c r="V540">
        <f t="shared" si="204"/>
        <v>-23442.058217483638</v>
      </c>
      <c r="W540">
        <f t="shared" si="205"/>
        <v>9365.7798273049375</v>
      </c>
      <c r="AB540">
        <f t="shared" si="206"/>
        <v>-9917.2260249766259</v>
      </c>
      <c r="AC540">
        <f t="shared" si="207"/>
        <v>-15906.028818135803</v>
      </c>
      <c r="AW540">
        <v>533</v>
      </c>
      <c r="AX540">
        <f t="shared" si="197"/>
        <v>266.5</v>
      </c>
      <c r="AZ540">
        <f t="shared" si="198"/>
        <v>140965.0898967906</v>
      </c>
      <c r="BB540">
        <f t="shared" si="199"/>
        <v>28842.193116828286</v>
      </c>
      <c r="BD540">
        <f t="shared" si="200"/>
        <v>-291.70031342051635</v>
      </c>
      <c r="BF540">
        <f t="shared" si="201"/>
        <v>1002.6538569950294</v>
      </c>
      <c r="BH540">
        <f t="shared" si="186"/>
        <v>-62.060882748243543</v>
      </c>
      <c r="BJ540">
        <f t="shared" si="187"/>
        <v>-13.205742211762129</v>
      </c>
      <c r="BN540" s="20">
        <f t="shared" si="188"/>
        <v>-33.838101043162851</v>
      </c>
      <c r="BP540">
        <f t="shared" si="189"/>
        <v>-5.9701463272263551</v>
      </c>
      <c r="BR540">
        <f t="shared" si="190"/>
        <v>-6.7725055812920809</v>
      </c>
      <c r="BT540">
        <f t="shared" si="191"/>
        <v>-0.79277350218811082</v>
      </c>
      <c r="BV540">
        <f t="shared" si="192"/>
        <v>-21.450276123788608</v>
      </c>
      <c r="BX540">
        <f t="shared" si="193"/>
        <v>-6.4428223823476625</v>
      </c>
      <c r="CB540">
        <f t="shared" si="194"/>
        <v>122833.39196152902</v>
      </c>
      <c r="CD540">
        <f t="shared" si="195"/>
        <v>162064.14904886807</v>
      </c>
      <c r="CF540">
        <f t="shared" si="196"/>
        <v>152407.16966688746</v>
      </c>
    </row>
    <row r="541" spans="12:84" x14ac:dyDescent="0.25">
      <c r="L541">
        <v>530</v>
      </c>
      <c r="M541">
        <f t="shared" si="208"/>
        <v>3.3300882128052045</v>
      </c>
      <c r="P541">
        <f t="shared" si="202"/>
        <v>15088.56374635658</v>
      </c>
      <c r="Q541">
        <f t="shared" si="203"/>
        <v>6563.0934270712605</v>
      </c>
      <c r="V541">
        <f t="shared" si="204"/>
        <v>-23438.005377550395</v>
      </c>
      <c r="W541">
        <f t="shared" si="205"/>
        <v>9344.1653989498827</v>
      </c>
      <c r="AB541">
        <f t="shared" si="206"/>
        <v>-9911.4362536434201</v>
      </c>
      <c r="AC541">
        <f t="shared" si="207"/>
        <v>-15936.906572928739</v>
      </c>
      <c r="AW541">
        <v>534</v>
      </c>
      <c r="AX541">
        <f t="shared" si="197"/>
        <v>267</v>
      </c>
      <c r="AZ541">
        <f t="shared" si="198"/>
        <v>140811.4821297368</v>
      </c>
      <c r="BB541">
        <f t="shared" si="199"/>
        <v>29341.869327549332</v>
      </c>
      <c r="BD541">
        <f t="shared" si="200"/>
        <v>-322.73075479463813</v>
      </c>
      <c r="BF541">
        <f t="shared" si="201"/>
        <v>996.05098588914836</v>
      </c>
      <c r="BH541">
        <f t="shared" si="186"/>
        <v>-62.053643180891214</v>
      </c>
      <c r="BJ541">
        <f t="shared" si="187"/>
        <v>-13.451100556383629</v>
      </c>
      <c r="BN541" s="20">
        <f t="shared" si="188"/>
        <v>-33.847134797040084</v>
      </c>
      <c r="BP541">
        <f t="shared" si="189"/>
        <v>-6.1193247720857844</v>
      </c>
      <c r="BR541">
        <f t="shared" si="190"/>
        <v>-6.777764450844515</v>
      </c>
      <c r="BT541">
        <f t="shared" si="191"/>
        <v>-0.81520692804374151</v>
      </c>
      <c r="BV541">
        <f t="shared" si="192"/>
        <v>-21.428743933006615</v>
      </c>
      <c r="BX541">
        <f t="shared" si="193"/>
        <v>-6.5165688562541044</v>
      </c>
      <c r="CB541">
        <f t="shared" si="194"/>
        <v>122770.03490308805</v>
      </c>
      <c r="CD541">
        <f t="shared" si="195"/>
        <v>161970.49328148214</v>
      </c>
      <c r="CF541">
        <f t="shared" si="196"/>
        <v>152404.69053258176</v>
      </c>
    </row>
    <row r="542" spans="12:84" x14ac:dyDescent="0.25">
      <c r="L542">
        <v>531</v>
      </c>
      <c r="M542">
        <f t="shared" si="208"/>
        <v>3.3363713981123841</v>
      </c>
      <c r="P542">
        <f t="shared" si="202"/>
        <v>15094.547412783351</v>
      </c>
      <c r="Q542">
        <f t="shared" si="203"/>
        <v>6532.2526597455826</v>
      </c>
      <c r="V542">
        <f t="shared" si="204"/>
        <v>-23433.816811051653</v>
      </c>
      <c r="W542">
        <f t="shared" si="205"/>
        <v>9322.5768618219081</v>
      </c>
      <c r="AB542">
        <f t="shared" si="206"/>
        <v>-9905.4525872166487</v>
      </c>
      <c r="AC542">
        <f t="shared" si="207"/>
        <v>-15967.747340254418</v>
      </c>
      <c r="AW542">
        <v>535</v>
      </c>
      <c r="AX542">
        <f t="shared" si="197"/>
        <v>267.5</v>
      </c>
      <c r="AZ542">
        <f t="shared" si="198"/>
        <v>140642.36004694187</v>
      </c>
      <c r="BB542">
        <f t="shared" si="199"/>
        <v>29838.213432924356</v>
      </c>
      <c r="BD542">
        <f t="shared" si="200"/>
        <v>-353.75757638508372</v>
      </c>
      <c r="BF542">
        <f t="shared" si="201"/>
        <v>989.32543561095656</v>
      </c>
      <c r="BH542">
        <f t="shared" si="186"/>
        <v>-62.057990558194774</v>
      </c>
      <c r="BJ542">
        <f t="shared" si="187"/>
        <v>-13.699537982779066</v>
      </c>
      <c r="BN542" s="20">
        <f t="shared" si="188"/>
        <v>-33.863028835717223</v>
      </c>
      <c r="BP542">
        <f t="shared" si="189"/>
        <v>-6.2700992033245457</v>
      </c>
      <c r="BR542">
        <f t="shared" si="190"/>
        <v>-6.7841512716843342</v>
      </c>
      <c r="BT542">
        <f t="shared" si="191"/>
        <v>-0.83779546596297094</v>
      </c>
      <c r="BV542">
        <f t="shared" si="192"/>
        <v>-21.41081045079321</v>
      </c>
      <c r="BX542">
        <f t="shared" si="193"/>
        <v>-6.5916433134915504</v>
      </c>
      <c r="CB542">
        <f t="shared" si="194"/>
        <v>122693.01046543295</v>
      </c>
      <c r="CD542">
        <f t="shared" si="195"/>
        <v>161862.66571900257</v>
      </c>
      <c r="CF542">
        <f t="shared" si="196"/>
        <v>152388.19647170685</v>
      </c>
    </row>
    <row r="543" spans="12:84" x14ac:dyDescent="0.25">
      <c r="L543">
        <v>532</v>
      </c>
      <c r="M543">
        <f t="shared" si="208"/>
        <v>3.3426545834195638</v>
      </c>
      <c r="P543">
        <f t="shared" si="202"/>
        <v>15100.724738078789</v>
      </c>
      <c r="Q543">
        <f t="shared" si="203"/>
        <v>6501.450097427848</v>
      </c>
      <c r="V543">
        <f t="shared" si="204"/>
        <v>-23429.492683344848</v>
      </c>
      <c r="W543">
        <f t="shared" si="205"/>
        <v>9301.0150681994946</v>
      </c>
      <c r="AB543">
        <f t="shared" si="206"/>
        <v>-9899.2752619212115</v>
      </c>
      <c r="AC543">
        <f t="shared" si="207"/>
        <v>-15998.549902572151</v>
      </c>
      <c r="AW543">
        <v>536</v>
      </c>
      <c r="AX543">
        <f t="shared" si="197"/>
        <v>268</v>
      </c>
      <c r="AZ543">
        <f t="shared" si="198"/>
        <v>140457.72400992954</v>
      </c>
      <c r="BB543">
        <f t="shared" si="199"/>
        <v>30331.163708481985</v>
      </c>
      <c r="BD543">
        <f t="shared" si="200"/>
        <v>-384.78657166418111</v>
      </c>
      <c r="BF543">
        <f t="shared" si="201"/>
        <v>982.47566661956705</v>
      </c>
      <c r="BH543">
        <f t="shared" si="186"/>
        <v>-62.073941241711026</v>
      </c>
      <c r="BJ543">
        <f t="shared" si="187"/>
        <v>-13.95125870592079</v>
      </c>
      <c r="BN543" s="20">
        <f t="shared" si="188"/>
        <v>-33.885806221785828</v>
      </c>
      <c r="BP543">
        <f t="shared" si="189"/>
        <v>-6.4226050724627335</v>
      </c>
      <c r="BR543">
        <f t="shared" si="190"/>
        <v>-6.7916729413233412</v>
      </c>
      <c r="BT543">
        <f t="shared" si="191"/>
        <v>-0.86055448733628626</v>
      </c>
      <c r="BV543">
        <f t="shared" si="192"/>
        <v>-21.396462078601857</v>
      </c>
      <c r="BX543">
        <f t="shared" si="193"/>
        <v>-6.6680991461217705</v>
      </c>
      <c r="CB543">
        <f t="shared" si="194"/>
        <v>122602.30548377082</v>
      </c>
      <c r="CD543">
        <f t="shared" si="195"/>
        <v>161740.64860815855</v>
      </c>
      <c r="CF543">
        <f t="shared" si="196"/>
        <v>152357.68401138825</v>
      </c>
    </row>
    <row r="544" spans="12:84" x14ac:dyDescent="0.25">
      <c r="L544">
        <v>533</v>
      </c>
      <c r="M544">
        <f t="shared" si="208"/>
        <v>3.3489377687267434</v>
      </c>
      <c r="P544">
        <f t="shared" si="202"/>
        <v>15107.095478372663</v>
      </c>
      <c r="Q544">
        <f t="shared" si="203"/>
        <v>6470.6869561504773</v>
      </c>
      <c r="V544">
        <f t="shared" si="204"/>
        <v>-23425.033165139135</v>
      </c>
      <c r="W544">
        <f t="shared" si="205"/>
        <v>9279.4808693053346</v>
      </c>
      <c r="AB544">
        <f t="shared" si="206"/>
        <v>-9892.9045216273371</v>
      </c>
      <c r="AC544">
        <f t="shared" si="207"/>
        <v>-16029.313043849523</v>
      </c>
      <c r="AW544">
        <v>537</v>
      </c>
      <c r="AX544">
        <f t="shared" si="197"/>
        <v>268.5</v>
      </c>
      <c r="AZ544">
        <f t="shared" si="198"/>
        <v>140257.57148144225</v>
      </c>
      <c r="BB544">
        <f t="shared" si="199"/>
        <v>30820.657634453528</v>
      </c>
      <c r="BD544">
        <f t="shared" si="200"/>
        <v>-415.82354228503664</v>
      </c>
      <c r="BF544">
        <f t="shared" si="201"/>
        <v>975.50003726660668</v>
      </c>
      <c r="BH544">
        <f t="shared" si="186"/>
        <v>-62.101523504816249</v>
      </c>
      <c r="BJ544">
        <f t="shared" si="187"/>
        <v>-14.2064714138823</v>
      </c>
      <c r="BN544" s="20">
        <f t="shared" si="188"/>
        <v>-33.915497456998239</v>
      </c>
      <c r="BP544">
        <f t="shared" si="189"/>
        <v>-6.5769805173463798</v>
      </c>
      <c r="BR544">
        <f t="shared" si="190"/>
        <v>-6.8003374619531716</v>
      </c>
      <c r="BT544">
        <f t="shared" si="191"/>
        <v>-0.88349958622997959</v>
      </c>
      <c r="BV544">
        <f t="shared" si="192"/>
        <v>-21.385688585864841</v>
      </c>
      <c r="BX544">
        <f t="shared" si="193"/>
        <v>-6.7459913103059401</v>
      </c>
      <c r="CB544">
        <f t="shared" si="194"/>
        <v>122497.90435398309</v>
      </c>
      <c r="CD544">
        <f t="shared" si="195"/>
        <v>161604.42135492674</v>
      </c>
      <c r="CF544">
        <f t="shared" si="196"/>
        <v>152313.1469661766</v>
      </c>
    </row>
    <row r="545" spans="12:84" x14ac:dyDescent="0.25">
      <c r="L545">
        <v>534</v>
      </c>
      <c r="M545">
        <f t="shared" si="208"/>
        <v>3.3552209540339231</v>
      </c>
      <c r="P545">
        <f t="shared" si="202"/>
        <v>15113.659382159058</v>
      </c>
      <c r="Q545">
        <f t="shared" si="203"/>
        <v>6439.9644503896097</v>
      </c>
      <c r="V545">
        <f t="shared" si="204"/>
        <v>-23420.43843248866</v>
      </c>
      <c r="W545">
        <f t="shared" si="205"/>
        <v>9257.9751152727276</v>
      </c>
      <c r="AB545">
        <f t="shared" si="206"/>
        <v>-9886.3406178409423</v>
      </c>
      <c r="AC545">
        <f t="shared" si="207"/>
        <v>-16060.035549610389</v>
      </c>
      <c r="AW545">
        <v>538</v>
      </c>
      <c r="AX545">
        <f t="shared" si="197"/>
        <v>269</v>
      </c>
      <c r="AZ545">
        <f t="shared" si="198"/>
        <v>140041.89701986164</v>
      </c>
      <c r="BB545">
        <f t="shared" si="199"/>
        <v>31306.631844160096</v>
      </c>
      <c r="BD545">
        <f t="shared" si="200"/>
        <v>-446.87430403744474</v>
      </c>
      <c r="BF545">
        <f t="shared" si="201"/>
        <v>968.39680155966551</v>
      </c>
      <c r="BH545">
        <f t="shared" si="186"/>
        <v>-62.140777617601415</v>
      </c>
      <c r="BJ545">
        <f t="shared" si="187"/>
        <v>-14.465389732955614</v>
      </c>
      <c r="BN545" s="20">
        <f t="shared" si="188"/>
        <v>-33.952140567172677</v>
      </c>
      <c r="BP545">
        <f t="shared" si="189"/>
        <v>-6.733366690049202</v>
      </c>
      <c r="BR545">
        <f t="shared" si="190"/>
        <v>-6.8101539601380532</v>
      </c>
      <c r="BT545">
        <f t="shared" si="191"/>
        <v>-0.90664660899828575</v>
      </c>
      <c r="BV545">
        <f t="shared" si="192"/>
        <v>-21.37848309029069</v>
      </c>
      <c r="BX545">
        <f t="shared" si="193"/>
        <v>-6.8253764339081258</v>
      </c>
      <c r="CB545">
        <f t="shared" si="194"/>
        <v>122379.7890171839</v>
      </c>
      <c r="CD545">
        <f t="shared" si="195"/>
        <v>161453.96050347781</v>
      </c>
      <c r="CF545">
        <f t="shared" si="196"/>
        <v>152254.57642997379</v>
      </c>
    </row>
    <row r="546" spans="12:84" x14ac:dyDescent="0.25">
      <c r="L546">
        <v>535</v>
      </c>
      <c r="M546">
        <f t="shared" si="208"/>
        <v>3.3615041393411027</v>
      </c>
      <c r="P546">
        <f t="shared" si="202"/>
        <v>15120.416190306289</v>
      </c>
      <c r="Q546">
        <f t="shared" si="203"/>
        <v>6409.28379301717</v>
      </c>
      <c r="V546">
        <f t="shared" si="204"/>
        <v>-23415.708666785598</v>
      </c>
      <c r="W546">
        <f t="shared" si="205"/>
        <v>9236.4986551120201</v>
      </c>
      <c r="AB546">
        <f t="shared" si="206"/>
        <v>-9879.5838096937114</v>
      </c>
      <c r="AC546">
        <f t="shared" si="207"/>
        <v>-16090.71620698283</v>
      </c>
      <c r="AW546">
        <v>539</v>
      </c>
      <c r="AX546">
        <f t="shared" si="197"/>
        <v>269.5</v>
      </c>
      <c r="AZ546">
        <f t="shared" si="198"/>
        <v>139810.69227064072</v>
      </c>
      <c r="BB546">
        <f t="shared" si="199"/>
        <v>31789.022071223306</v>
      </c>
      <c r="BD546">
        <f t="shared" si="200"/>
        <v>-477.94469284624546</v>
      </c>
      <c r="BF546">
        <f t="shared" si="201"/>
        <v>961.1641066931877</v>
      </c>
      <c r="BH546">
        <f t="shared" si="186"/>
        <v>-62.191755961572397</v>
      </c>
      <c r="BJ546">
        <f t="shared" si="187"/>
        <v>-14.728232709504715</v>
      </c>
      <c r="BN546" s="20">
        <f t="shared" si="188"/>
        <v>-33.995781206476707</v>
      </c>
      <c r="BP546">
        <f t="shared" si="189"/>
        <v>-6.8919080960433838</v>
      </c>
      <c r="BR546">
        <f t="shared" si="190"/>
        <v>-6.8211327092942486</v>
      </c>
      <c r="BT546">
        <f t="shared" si="191"/>
        <v>-0.93001168471166229</v>
      </c>
      <c r="BV546">
        <f t="shared" si="192"/>
        <v>-21.374842045801447</v>
      </c>
      <c r="BX546">
        <f t="shared" si="193"/>
        <v>-6.906312928749669</v>
      </c>
      <c r="CB546">
        <f t="shared" si="194"/>
        <v>122247.93894191648</v>
      </c>
      <c r="CD546">
        <f t="shared" si="195"/>
        <v>161289.23971189672</v>
      </c>
      <c r="CF546">
        <f t="shared" si="196"/>
        <v>152181.9607650119</v>
      </c>
    </row>
    <row r="547" spans="12:84" x14ac:dyDescent="0.25">
      <c r="L547">
        <v>536</v>
      </c>
      <c r="M547">
        <f t="shared" si="208"/>
        <v>3.3677873246482823</v>
      </c>
      <c r="P547">
        <f t="shared" si="202"/>
        <v>15127.365636067141</v>
      </c>
      <c r="Q547">
        <f t="shared" si="203"/>
        <v>6378.6461952529771</v>
      </c>
      <c r="V547">
        <f t="shared" si="204"/>
        <v>-23410.844054753001</v>
      </c>
      <c r="W547">
        <f t="shared" si="205"/>
        <v>9215.0523366770831</v>
      </c>
      <c r="AB547">
        <f t="shared" si="206"/>
        <v>-9872.6343639328588</v>
      </c>
      <c r="AC547">
        <f t="shared" si="207"/>
        <v>-16121.353804747023</v>
      </c>
      <c r="AW547">
        <v>540</v>
      </c>
      <c r="AX547">
        <f t="shared" si="197"/>
        <v>270</v>
      </c>
      <c r="AZ547">
        <f t="shared" si="198"/>
        <v>139563.94595472238</v>
      </c>
      <c r="BB547">
        <f t="shared" si="199"/>
        <v>32267.763095481208</v>
      </c>
      <c r="BD547">
        <f t="shared" si="200"/>
        <v>-509.04057082703167</v>
      </c>
      <c r="BF547">
        <f t="shared" si="201"/>
        <v>953.79999033843535</v>
      </c>
      <c r="BH547">
        <f t="shared" si="186"/>
        <v>-62.254523174709789</v>
      </c>
      <c r="BJ547">
        <f t="shared" si="187"/>
        <v>-14.995225310662022</v>
      </c>
      <c r="BN547" s="20">
        <f t="shared" si="188"/>
        <v>-34.04647278158189</v>
      </c>
      <c r="BP547">
        <f t="shared" si="189"/>
        <v>-7.0527529461958469</v>
      </c>
      <c r="BR547">
        <f t="shared" si="190"/>
        <v>-6.8332851550578333</v>
      </c>
      <c r="BT547">
        <f t="shared" si="191"/>
        <v>-0.95361125651701828</v>
      </c>
      <c r="BV547">
        <f t="shared" si="192"/>
        <v>-21.374765238070069</v>
      </c>
      <c r="BX547">
        <f t="shared" si="193"/>
        <v>-6.9888611079491563</v>
      </c>
      <c r="CB547">
        <f t="shared" si="194"/>
        <v>122102.33110394599</v>
      </c>
      <c r="CD547">
        <f t="shared" si="195"/>
        <v>161110.22972461444</v>
      </c>
      <c r="CF547">
        <f t="shared" si="196"/>
        <v>152095.28558785256</v>
      </c>
    </row>
    <row r="548" spans="12:84" x14ac:dyDescent="0.25">
      <c r="L548">
        <v>537</v>
      </c>
      <c r="M548">
        <f t="shared" si="208"/>
        <v>3.374070509955462</v>
      </c>
      <c r="P548">
        <f t="shared" si="202"/>
        <v>15134.507445089395</v>
      </c>
      <c r="Q548">
        <f t="shared" si="203"/>
        <v>6348.0528666169303</v>
      </c>
      <c r="V548">
        <f t="shared" si="204"/>
        <v>-23405.844788437422</v>
      </c>
      <c r="W548">
        <f t="shared" si="205"/>
        <v>9193.6370066318505</v>
      </c>
      <c r="AB548">
        <f t="shared" si="206"/>
        <v>-9865.4925549106047</v>
      </c>
      <c r="AC548">
        <f t="shared" si="207"/>
        <v>-16151.94713338307</v>
      </c>
      <c r="AW548">
        <v>541</v>
      </c>
      <c r="AX548">
        <f t="shared" si="197"/>
        <v>270.5</v>
      </c>
      <c r="AZ548">
        <f t="shared" si="198"/>
        <v>139301.64385391204</v>
      </c>
      <c r="BB548">
        <f t="shared" si="199"/>
        <v>32742.788687486591</v>
      </c>
      <c r="BD548">
        <f t="shared" si="200"/>
        <v>-540.16783241438657</v>
      </c>
      <c r="BF548">
        <f t="shared" si="201"/>
        <v>946.3023776831044</v>
      </c>
      <c r="BH548">
        <f t="shared" si="186"/>
        <v>-62.329156327578055</v>
      </c>
      <c r="BJ548">
        <f t="shared" si="187"/>
        <v>-15.266598946090692</v>
      </c>
      <c r="BN548" s="20">
        <f t="shared" si="188"/>
        <v>-34.10427659627787</v>
      </c>
      <c r="BP548">
        <f t="shared" si="189"/>
        <v>-7.2160535232323815</v>
      </c>
      <c r="BR548">
        <f t="shared" si="190"/>
        <v>-6.8466239436552758</v>
      </c>
      <c r="BT548">
        <f t="shared" si="191"/>
        <v>-0.97746211405096051</v>
      </c>
      <c r="BV548">
        <f t="shared" si="192"/>
        <v>-21.37825578764491</v>
      </c>
      <c r="BX548">
        <f t="shared" si="193"/>
        <v>-7.0730833088073508</v>
      </c>
      <c r="CB548">
        <f t="shared" si="194"/>
        <v>121942.93996360253</v>
      </c>
      <c r="CD548">
        <f t="shared" si="195"/>
        <v>160916.89834148029</v>
      </c>
      <c r="CF548">
        <f t="shared" si="196"/>
        <v>151994.53375236646</v>
      </c>
    </row>
    <row r="549" spans="12:84" x14ac:dyDescent="0.25">
      <c r="L549">
        <v>538</v>
      </c>
      <c r="M549">
        <f t="shared" si="208"/>
        <v>3.3803536952626416</v>
      </c>
      <c r="P549">
        <f t="shared" si="202"/>
        <v>15141.841335426659</v>
      </c>
      <c r="Q549">
        <f t="shared" si="203"/>
        <v>6317.5050148812597</v>
      </c>
      <c r="V549">
        <f t="shared" si="204"/>
        <v>-23400.71106520134</v>
      </c>
      <c r="W549">
        <f t="shared" si="205"/>
        <v>9172.2535104168819</v>
      </c>
      <c r="AB549">
        <f t="shared" si="206"/>
        <v>-9858.1586645733405</v>
      </c>
      <c r="AC549">
        <f t="shared" si="207"/>
        <v>-16182.494985118741</v>
      </c>
      <c r="AW549">
        <v>542</v>
      </c>
      <c r="AX549">
        <f t="shared" si="197"/>
        <v>271</v>
      </c>
      <c r="AZ549">
        <f t="shared" si="198"/>
        <v>139023.76879316391</v>
      </c>
      <c r="BB549">
        <f t="shared" si="199"/>
        <v>33214.031551459884</v>
      </c>
      <c r="BD549">
        <f t="shared" si="200"/>
        <v>-571.33241057817554</v>
      </c>
      <c r="BF549">
        <f t="shared" si="201"/>
        <v>938.66907821005907</v>
      </c>
      <c r="BH549">
        <f t="shared" si="186"/>
        <v>-62.415745131333004</v>
      </c>
      <c r="BJ549">
        <f t="shared" si="187"/>
        <v>-15.54259201317296</v>
      </c>
      <c r="BN549" s="20">
        <f t="shared" si="188"/>
        <v>-34.169262017236882</v>
      </c>
      <c r="BP549">
        <f t="shared" si="189"/>
        <v>-7.3819665644110639</v>
      </c>
      <c r="BR549">
        <f t="shared" si="190"/>
        <v>-6.8611629534084431</v>
      </c>
      <c r="BT549">
        <f t="shared" si="191"/>
        <v>-1.0015814270336811</v>
      </c>
      <c r="BV549">
        <f t="shared" si="192"/>
        <v>-21.385320160687677</v>
      </c>
      <c r="BX549">
        <f t="shared" si="193"/>
        <v>-7.1590440217282154</v>
      </c>
      <c r="CB549">
        <f t="shared" si="194"/>
        <v>121769.73744062198</v>
      </c>
      <c r="CD549">
        <f t="shared" si="195"/>
        <v>160709.21038339348</v>
      </c>
      <c r="CF549">
        <f t="shared" si="196"/>
        <v>151879.68532964474</v>
      </c>
    </row>
    <row r="550" spans="12:84" x14ac:dyDescent="0.25">
      <c r="L550">
        <v>539</v>
      </c>
      <c r="M550">
        <f t="shared" si="208"/>
        <v>3.3866368805698213</v>
      </c>
      <c r="P550">
        <f t="shared" si="202"/>
        <v>15149.367017549499</v>
      </c>
      <c r="Q550">
        <f t="shared" si="203"/>
        <v>6287.0038460228461</v>
      </c>
      <c r="V550">
        <f t="shared" si="204"/>
        <v>-23395.44308771535</v>
      </c>
      <c r="W550">
        <f t="shared" si="205"/>
        <v>9150.9026922159919</v>
      </c>
      <c r="AB550">
        <f t="shared" si="206"/>
        <v>-9850.632982450501</v>
      </c>
      <c r="AC550">
        <f t="shared" si="207"/>
        <v>-16212.996153977154</v>
      </c>
      <c r="AW550">
        <v>543</v>
      </c>
      <c r="AX550">
        <f t="shared" si="197"/>
        <v>271.5</v>
      </c>
      <c r="AZ550">
        <f t="shared" si="198"/>
        <v>138730.3006197334</v>
      </c>
      <c r="BB550">
        <f t="shared" si="199"/>
        <v>33681.423266563266</v>
      </c>
      <c r="BD550">
        <f t="shared" si="200"/>
        <v>-602.54028314384209</v>
      </c>
      <c r="BF550">
        <f t="shared" si="201"/>
        <v>930.89778220347262</v>
      </c>
      <c r="BH550">
        <f t="shared" si="186"/>
        <v>-62.514392178608212</v>
      </c>
      <c r="BJ550">
        <f t="shared" si="187"/>
        <v>-15.82345046813148</v>
      </c>
      <c r="BN550" s="20">
        <f t="shared" si="188"/>
        <v>-34.241506661712926</v>
      </c>
      <c r="BP550">
        <f t="shared" si="189"/>
        <v>-7.5506536622560505</v>
      </c>
      <c r="BR550">
        <f t="shared" si="190"/>
        <v>-6.8769173295181751</v>
      </c>
      <c r="BT550">
        <f t="shared" si="191"/>
        <v>-1.0259867801777327</v>
      </c>
      <c r="BV550">
        <f t="shared" si="192"/>
        <v>-21.395968187377115</v>
      </c>
      <c r="BX550">
        <f t="shared" si="193"/>
        <v>-7.2468100256976955</v>
      </c>
      <c r="CB550">
        <f t="shared" si="194"/>
        <v>121582.69288642691</v>
      </c>
      <c r="CD550">
        <f t="shared" si="195"/>
        <v>160487.12765440429</v>
      </c>
      <c r="CF550">
        <f t="shared" si="196"/>
        <v>151750.71758478516</v>
      </c>
    </row>
    <row r="551" spans="12:84" x14ac:dyDescent="0.25">
      <c r="L551">
        <v>540</v>
      </c>
      <c r="M551">
        <f t="shared" si="208"/>
        <v>3.3929200658770009</v>
      </c>
      <c r="P551">
        <f t="shared" si="202"/>
        <v>15157.084194356874</v>
      </c>
      <c r="Q551">
        <f t="shared" si="203"/>
        <v>6256.550564175609</v>
      </c>
      <c r="V551">
        <f t="shared" si="204"/>
        <v>-23390.041063950186</v>
      </c>
      <c r="W551">
        <f t="shared" si="205"/>
        <v>9129.5853949229258</v>
      </c>
      <c r="AB551">
        <f t="shared" si="206"/>
        <v>-9842.9158056431261</v>
      </c>
      <c r="AC551">
        <f t="shared" si="207"/>
        <v>-16243.44943582439</v>
      </c>
      <c r="AW551">
        <v>544</v>
      </c>
      <c r="AX551">
        <f t="shared" si="197"/>
        <v>272</v>
      </c>
      <c r="AZ551">
        <f t="shared" si="198"/>
        <v>138421.21617913916</v>
      </c>
      <c r="BB551">
        <f t="shared" si="199"/>
        <v>34144.89422635649</v>
      </c>
      <c r="BD551">
        <f t="shared" si="200"/>
        <v>-633.79747923314619</v>
      </c>
      <c r="BF551">
        <f t="shared" si="201"/>
        <v>922.98605696940683</v>
      </c>
      <c r="BH551">
        <f t="shared" si="186"/>
        <v>-62.625213218428286</v>
      </c>
      <c r="BJ551">
        <f t="shared" si="187"/>
        <v>-16.109428425762953</v>
      </c>
      <c r="BN551" s="20">
        <f t="shared" si="188"/>
        <v>-34.321096608072708</v>
      </c>
      <c r="BP551">
        <f t="shared" si="189"/>
        <v>-7.7222816853299054</v>
      </c>
      <c r="BR551">
        <f t="shared" si="190"/>
        <v>-6.8939035222903753</v>
      </c>
      <c r="BT551">
        <f t="shared" si="191"/>
        <v>-1.0506962095543233</v>
      </c>
      <c r="BV551">
        <f t="shared" si="192"/>
        <v>-21.410213088065209</v>
      </c>
      <c r="BX551">
        <f t="shared" si="193"/>
        <v>-7.336450530878726</v>
      </c>
      <c r="CB551">
        <f t="shared" si="194"/>
        <v>121381.77305378322</v>
      </c>
      <c r="CD551">
        <f t="shared" si="195"/>
        <v>160250.60890018323</v>
      </c>
      <c r="CF551">
        <f t="shared" si="196"/>
        <v>151607.60495048767</v>
      </c>
    </row>
    <row r="552" spans="12:84" x14ac:dyDescent="0.25">
      <c r="L552">
        <v>541</v>
      </c>
      <c r="M552">
        <f t="shared" si="208"/>
        <v>3.3992032511841805</v>
      </c>
      <c r="P552">
        <f t="shared" si="202"/>
        <v>15164.992561187855</v>
      </c>
      <c r="Q552">
        <f t="shared" si="203"/>
        <v>6226.1463715829723</v>
      </c>
      <c r="V552">
        <f t="shared" si="204"/>
        <v>-23384.505207168502</v>
      </c>
      <c r="W552">
        <f t="shared" si="205"/>
        <v>9108.3024601080797</v>
      </c>
      <c r="AB552">
        <f t="shared" si="206"/>
        <v>-9835.0074388121448</v>
      </c>
      <c r="AC552">
        <f t="shared" si="207"/>
        <v>-16273.853628417028</v>
      </c>
      <c r="AW552">
        <v>545</v>
      </c>
      <c r="AX552">
        <f t="shared" si="197"/>
        <v>272.5</v>
      </c>
      <c r="AZ552">
        <f t="shared" si="198"/>
        <v>138096.4892878703</v>
      </c>
      <c r="BB552">
        <f t="shared" si="199"/>
        <v>34604.373576287973</v>
      </c>
      <c r="BD552">
        <f t="shared" si="200"/>
        <v>-665.11008584236038</v>
      </c>
      <c r="BF552">
        <f t="shared" si="201"/>
        <v>914.9313427565254</v>
      </c>
      <c r="BH552">
        <f t="shared" si="186"/>
        <v>-62.748337466467881</v>
      </c>
      <c r="BJ552">
        <f t="shared" si="187"/>
        <v>-16.400788790656033</v>
      </c>
      <c r="BN552" s="20">
        <f t="shared" si="188"/>
        <v>-34.408126630176582</v>
      </c>
      <c r="BP552">
        <f t="shared" si="189"/>
        <v>-7.8970232211662976</v>
      </c>
      <c r="BR552">
        <f t="shared" si="190"/>
        <v>-6.9121393289834421</v>
      </c>
      <c r="BT552">
        <f t="shared" si="191"/>
        <v>-1.0757282405682702</v>
      </c>
      <c r="BV552">
        <f t="shared" si="192"/>
        <v>-21.428071507307855</v>
      </c>
      <c r="BX552">
        <f t="shared" si="193"/>
        <v>-7.428037328921465</v>
      </c>
      <c r="CB552">
        <f t="shared" si="194"/>
        <v>121166.94206376193</v>
      </c>
      <c r="CD552">
        <f t="shared" si="195"/>
        <v>159999.6097627467</v>
      </c>
      <c r="CF552">
        <f t="shared" si="196"/>
        <v>151450.31899738446</v>
      </c>
    </row>
    <row r="553" spans="12:84" x14ac:dyDescent="0.25">
      <c r="L553">
        <v>542</v>
      </c>
      <c r="M553">
        <f t="shared" si="208"/>
        <v>3.4054864364913602</v>
      </c>
      <c r="P553">
        <f t="shared" si="202"/>
        <v>15173.091805833661</v>
      </c>
      <c r="Q553">
        <f t="shared" si="203"/>
        <v>6195.7924685503976</v>
      </c>
      <c r="V553">
        <f t="shared" si="204"/>
        <v>-23378.835735916437</v>
      </c>
      <c r="W553">
        <f t="shared" si="205"/>
        <v>9087.0547279852781</v>
      </c>
      <c r="AB553">
        <f t="shared" si="206"/>
        <v>-9826.9081941663389</v>
      </c>
      <c r="AC553">
        <f t="shared" si="207"/>
        <v>-16304.207531449601</v>
      </c>
      <c r="AW553">
        <v>546</v>
      </c>
      <c r="AX553">
        <f t="shared" si="197"/>
        <v>273</v>
      </c>
      <c r="AZ553">
        <f t="shared" si="198"/>
        <v>137756.0907027658</v>
      </c>
      <c r="BB553">
        <f t="shared" si="199"/>
        <v>35059.789149067401</v>
      </c>
      <c r="BD553">
        <f t="shared" si="200"/>
        <v>-696.48425457559426</v>
      </c>
      <c r="BF553">
        <f t="shared" si="201"/>
        <v>906.73094836119742</v>
      </c>
      <c r="BH553">
        <f t="shared" si="186"/>
        <v>-62.883907952134372</v>
      </c>
      <c r="BJ553">
        <f t="shared" si="187"/>
        <v>-16.697803922974966</v>
      </c>
      <c r="BN553" s="20">
        <f t="shared" si="188"/>
        <v>-34.502700456734608</v>
      </c>
      <c r="BP553">
        <f t="shared" si="189"/>
        <v>-8.0750570436413387</v>
      </c>
      <c r="BR553">
        <f t="shared" si="190"/>
        <v>-6.9316439394781488</v>
      </c>
      <c r="BT553">
        <f t="shared" si="191"/>
        <v>-1.1011019277031813</v>
      </c>
      <c r="BV553">
        <f t="shared" si="192"/>
        <v>-21.449563555921614</v>
      </c>
      <c r="BX553">
        <f t="shared" si="193"/>
        <v>-7.5216449516304458</v>
      </c>
      <c r="CB553">
        <f t="shared" si="194"/>
        <v>120938.16136992929</v>
      </c>
      <c r="CD553">
        <f t="shared" si="195"/>
        <v>159734.08273131624</v>
      </c>
      <c r="CF553">
        <f t="shared" si="196"/>
        <v>151278.82840102041</v>
      </c>
    </row>
    <row r="554" spans="12:84" x14ac:dyDescent="0.25">
      <c r="L554">
        <v>543</v>
      </c>
      <c r="M554">
        <f t="shared" si="208"/>
        <v>3.4117696217985398</v>
      </c>
      <c r="P554">
        <f t="shared" si="202"/>
        <v>15181.381608549984</v>
      </c>
      <c r="Q554">
        <f t="shared" si="203"/>
        <v>6165.4900533980053</v>
      </c>
      <c r="V554">
        <f t="shared" si="204"/>
        <v>-23373.032874015011</v>
      </c>
      <c r="W554">
        <f t="shared" si="205"/>
        <v>9065.8430373786032</v>
      </c>
      <c r="AB554">
        <f t="shared" si="206"/>
        <v>-9818.6183914500161</v>
      </c>
      <c r="AC554">
        <f t="shared" si="207"/>
        <v>-16334.509946601995</v>
      </c>
      <c r="AW554">
        <v>547</v>
      </c>
      <c r="AX554">
        <f t="shared" si="197"/>
        <v>273.5</v>
      </c>
      <c r="AZ554">
        <f t="shared" si="198"/>
        <v>137399.988086984</v>
      </c>
      <c r="BB554">
        <f t="shared" si="199"/>
        <v>35511.06739775763</v>
      </c>
      <c r="BD554">
        <f t="shared" si="200"/>
        <v>-727.92620855166149</v>
      </c>
      <c r="BF554">
        <f t="shared" si="201"/>
        <v>898.38204639970991</v>
      </c>
      <c r="BH554">
        <f t="shared" si="186"/>
        <v>-63.032081904157721</v>
      </c>
      <c r="BJ554">
        <f t="shared" si="187"/>
        <v>-17.000756342134252</v>
      </c>
      <c r="BN554" s="20">
        <f t="shared" si="188"/>
        <v>-34.604931056911575</v>
      </c>
      <c r="BP554">
        <f t="shared" si="189"/>
        <v>-8.256568607244807</v>
      </c>
      <c r="BR554">
        <f t="shared" si="190"/>
        <v>-6.9524379859890759</v>
      </c>
      <c r="BT554">
        <f t="shared" si="191"/>
        <v>-1.1268368962091717</v>
      </c>
      <c r="BV554">
        <f t="shared" si="192"/>
        <v>-21.474712861257071</v>
      </c>
      <c r="BX554">
        <f t="shared" si="193"/>
        <v>-7.6173508386802729</v>
      </c>
      <c r="CB554">
        <f t="shared" si="194"/>
        <v>120695.38971968112</v>
      </c>
      <c r="CD554">
        <f t="shared" si="195"/>
        <v>159453.97708917654</v>
      </c>
      <c r="CF554">
        <f t="shared" si="196"/>
        <v>151093.0989053901</v>
      </c>
    </row>
    <row r="555" spans="12:84" x14ac:dyDescent="0.25">
      <c r="L555">
        <v>544</v>
      </c>
      <c r="M555">
        <f t="shared" si="208"/>
        <v>3.4180528071057195</v>
      </c>
      <c r="P555">
        <f t="shared" si="202"/>
        <v>15189.861642069603</v>
      </c>
      <c r="Q555">
        <f t="shared" si="203"/>
        <v>6135.2403224132568</v>
      </c>
      <c r="V555">
        <f t="shared" si="204"/>
        <v>-23367.096850551279</v>
      </c>
      <c r="W555">
        <f t="shared" si="205"/>
        <v>9044.66822568928</v>
      </c>
      <c r="AB555">
        <f t="shared" si="206"/>
        <v>-9810.1383579303965</v>
      </c>
      <c r="AC555">
        <f t="shared" si="207"/>
        <v>-16364.759677586744</v>
      </c>
      <c r="AW555">
        <v>548</v>
      </c>
      <c r="AX555">
        <f t="shared" si="197"/>
        <v>274</v>
      </c>
      <c r="AZ555">
        <f t="shared" si="198"/>
        <v>137028.14597247014</v>
      </c>
      <c r="BB555">
        <f t="shared" si="199"/>
        <v>35958.133326414718</v>
      </c>
      <c r="BD555">
        <f t="shared" si="200"/>
        <v>-759.4422495037403</v>
      </c>
      <c r="BF555">
        <f t="shared" si="201"/>
        <v>889.88166822864275</v>
      </c>
      <c r="BH555">
        <f t="shared" si="186"/>
        <v>-63.19303117655933</v>
      </c>
      <c r="BJ555">
        <f t="shared" si="187"/>
        <v>-17.309939471953179</v>
      </c>
      <c r="BN555" s="20">
        <f t="shared" si="188"/>
        <v>-34.714940953584069</v>
      </c>
      <c r="BP555">
        <f t="shared" si="189"/>
        <v>-8.4417505709106084</v>
      </c>
      <c r="BR555">
        <f t="shared" si="190"/>
        <v>-6.9745435970621035</v>
      </c>
      <c r="BT555">
        <f t="shared" si="191"/>
        <v>-1.1529533859182852</v>
      </c>
      <c r="BV555">
        <f t="shared" si="192"/>
        <v>-21.503546625913156</v>
      </c>
      <c r="BX555">
        <f t="shared" si="193"/>
        <v>-7.7152355151242862</v>
      </c>
      <c r="CB555">
        <f t="shared" si="194"/>
        <v>120438.58311262955</v>
      </c>
      <c r="CD555">
        <f t="shared" si="195"/>
        <v>159159.23885638342</v>
      </c>
      <c r="CF555">
        <f t="shared" si="196"/>
        <v>150893.09328292645</v>
      </c>
    </row>
    <row r="556" spans="12:84" x14ac:dyDescent="0.25">
      <c r="L556">
        <v>545</v>
      </c>
      <c r="M556">
        <f t="shared" si="208"/>
        <v>3.4243359924128991</v>
      </c>
      <c r="P556">
        <f t="shared" si="202"/>
        <v>15198.531571615318</v>
      </c>
      <c r="Q556">
        <f t="shared" si="203"/>
        <v>6105.0444698037363</v>
      </c>
      <c r="V556">
        <f t="shared" si="204"/>
        <v>-23361.027899869277</v>
      </c>
      <c r="W556">
        <f t="shared" si="205"/>
        <v>9023.5311288626144</v>
      </c>
      <c r="AB556">
        <f t="shared" si="206"/>
        <v>-9801.4684283846818</v>
      </c>
      <c r="AC556">
        <f t="shared" si="207"/>
        <v>-16394.955530196265</v>
      </c>
      <c r="AW556">
        <v>549</v>
      </c>
      <c r="AX556">
        <f t="shared" si="197"/>
        <v>274.5</v>
      </c>
      <c r="AZ556">
        <f t="shared" si="198"/>
        <v>136640.52571882121</v>
      </c>
      <c r="BB556">
        <f t="shared" si="199"/>
        <v>36400.910418095045</v>
      </c>
      <c r="BD556">
        <f t="shared" si="200"/>
        <v>-791.03876509201996</v>
      </c>
      <c r="BF556">
        <f t="shared" si="201"/>
        <v>881.22669849266617</v>
      </c>
      <c r="BH556">
        <f t="shared" si="186"/>
        <v>-63.366942717084846</v>
      </c>
      <c r="BJ556">
        <f t="shared" si="187"/>
        <v>-17.625658431176369</v>
      </c>
      <c r="BN556" s="20">
        <f t="shared" si="188"/>
        <v>-34.832862565804071</v>
      </c>
      <c r="BP556">
        <f t="shared" si="189"/>
        <v>-8.630803354289732</v>
      </c>
      <c r="BR556">
        <f t="shared" si="190"/>
        <v>-6.9979844561241427</v>
      </c>
      <c r="BT556">
        <f t="shared" si="191"/>
        <v>-1.1794722973861671</v>
      </c>
      <c r="BV556">
        <f t="shared" si="192"/>
        <v>-21.536095695156632</v>
      </c>
      <c r="BX556">
        <f t="shared" si="193"/>
        <v>-7.8153827795004673</v>
      </c>
      <c r="CB556">
        <f t="shared" si="194"/>
        <v>120167.69475594407</v>
      </c>
      <c r="CD556">
        <f t="shared" si="195"/>
        <v>158849.81072816224</v>
      </c>
      <c r="CF556">
        <f t="shared" si="196"/>
        <v>150678.77129082612</v>
      </c>
    </row>
    <row r="557" spans="12:84" x14ac:dyDescent="0.25">
      <c r="L557">
        <v>546</v>
      </c>
      <c r="M557">
        <f t="shared" si="208"/>
        <v>3.4306191777200787</v>
      </c>
      <c r="P557">
        <f t="shared" si="202"/>
        <v>15207.391054913154</v>
      </c>
      <c r="Q557">
        <f t="shared" si="203"/>
        <v>6074.9036876500013</v>
      </c>
      <c r="V557">
        <f t="shared" si="204"/>
        <v>-23354.826261560793</v>
      </c>
      <c r="W557">
        <f t="shared" si="205"/>
        <v>9002.4325813550022</v>
      </c>
      <c r="AB557">
        <f t="shared" si="206"/>
        <v>-9792.6089450868458</v>
      </c>
      <c r="AC557">
        <f t="shared" si="207"/>
        <v>-16425.096312349997</v>
      </c>
      <c r="AW557">
        <v>550</v>
      </c>
      <c r="AX557">
        <f t="shared" si="197"/>
        <v>275</v>
      </c>
      <c r="AZ557">
        <f t="shared" si="198"/>
        <v>136237.08546843557</v>
      </c>
      <c r="BB557">
        <f t="shared" si="199"/>
        <v>36839.320560037486</v>
      </c>
      <c r="BD557">
        <f t="shared" si="200"/>
        <v>-822.72223645056238</v>
      </c>
      <c r="BF557">
        <f t="shared" si="201"/>
        <v>872.41386927707799</v>
      </c>
      <c r="BH557">
        <f t="shared" si="186"/>
        <v>-63.554019080424546</v>
      </c>
      <c r="BJ557">
        <f t="shared" si="187"/>
        <v>-17.948230873578993</v>
      </c>
      <c r="BN557" s="20">
        <f t="shared" si="188"/>
        <v>-34.958838582193714</v>
      </c>
      <c r="BP557">
        <f t="shared" si="189"/>
        <v>-8.823935729600775</v>
      </c>
      <c r="BR557">
        <f t="shared" si="190"/>
        <v>-7.0227858648808716</v>
      </c>
      <c r="BT557">
        <f t="shared" si="191"/>
        <v>-1.2064152405743489</v>
      </c>
      <c r="BV557">
        <f t="shared" si="192"/>
        <v>-21.572394633349958</v>
      </c>
      <c r="BX557">
        <f t="shared" si="193"/>
        <v>-7.91787990340387</v>
      </c>
      <c r="CB557">
        <f t="shared" si="194"/>
        <v>119882.67501653871</v>
      </c>
      <c r="CD557">
        <f t="shared" si="195"/>
        <v>158525.63200881961</v>
      </c>
      <c r="CF557">
        <f t="shared" si="196"/>
        <v>150450.08962358415</v>
      </c>
    </row>
    <row r="558" spans="12:84" x14ac:dyDescent="0.25">
      <c r="L558">
        <v>547</v>
      </c>
      <c r="M558">
        <f t="shared" si="208"/>
        <v>3.4369023630272584</v>
      </c>
      <c r="P558">
        <f t="shared" si="202"/>
        <v>15216.439742205883</v>
      </c>
      <c r="Q558">
        <f t="shared" si="203"/>
        <v>6044.8191658585229</v>
      </c>
      <c r="V558">
        <f t="shared" si="204"/>
        <v>-23348.492180455883</v>
      </c>
      <c r="W558">
        <f t="shared" si="205"/>
        <v>8981.373416100967</v>
      </c>
      <c r="AB558">
        <f t="shared" si="206"/>
        <v>-9783.5602577941172</v>
      </c>
      <c r="AC558">
        <f t="shared" si="207"/>
        <v>-16455.180834141476</v>
      </c>
      <c r="AW558">
        <v>551</v>
      </c>
      <c r="AX558">
        <f t="shared" si="197"/>
        <v>275.5</v>
      </c>
      <c r="AZ558">
        <f t="shared" si="198"/>
        <v>135817.78009782522</v>
      </c>
      <c r="BB558">
        <f t="shared" si="199"/>
        <v>37273.28396581683</v>
      </c>
      <c r="BD558">
        <f t="shared" si="200"/>
        <v>-854.49924599077463</v>
      </c>
      <c r="BF558">
        <f t="shared" si="201"/>
        <v>863.43975384028852</v>
      </c>
      <c r="BH558">
        <f t="shared" si="186"/>
        <v>-63.754478988783596</v>
      </c>
      <c r="BJ558">
        <f t="shared" si="187"/>
        <v>-18.27798788224159</v>
      </c>
      <c r="BN558" s="20">
        <f t="shared" si="188"/>
        <v>-35.093022367167947</v>
      </c>
      <c r="BP558">
        <f t="shared" si="189"/>
        <v>-9.0213654524714251</v>
      </c>
      <c r="BR558">
        <f t="shared" si="190"/>
        <v>-7.0489748118848938</v>
      </c>
      <c r="BT558">
        <f t="shared" si="191"/>
        <v>-1.2338045863041418</v>
      </c>
      <c r="BV558">
        <f t="shared" si="192"/>
        <v>-21.612481809730753</v>
      </c>
      <c r="BX558">
        <f t="shared" si="193"/>
        <v>-8.0228178434660222</v>
      </c>
      <c r="CB558">
        <f t="shared" si="194"/>
        <v>119583.47136999061</v>
      </c>
      <c r="CD558">
        <f t="shared" si="195"/>
        <v>158186.63854097886</v>
      </c>
      <c r="CF558">
        <f t="shared" si="196"/>
        <v>150207.00186159892</v>
      </c>
    </row>
    <row r="559" spans="12:84" x14ac:dyDescent="0.25">
      <c r="L559">
        <v>548</v>
      </c>
      <c r="M559">
        <f t="shared" si="208"/>
        <v>3.443185548334438</v>
      </c>
      <c r="P559">
        <f t="shared" si="202"/>
        <v>15225.677276266822</v>
      </c>
      <c r="Q559">
        <f t="shared" si="203"/>
        <v>6014.7920921147079</v>
      </c>
      <c r="V559">
        <f t="shared" si="204"/>
        <v>-23342.025906613224</v>
      </c>
      <c r="W559">
        <f t="shared" si="205"/>
        <v>8960.3544644802951</v>
      </c>
      <c r="AB559">
        <f t="shared" si="206"/>
        <v>-9774.3227237331776</v>
      </c>
      <c r="AC559">
        <f t="shared" si="207"/>
        <v>-16485.207907885291</v>
      </c>
      <c r="AW559">
        <v>552</v>
      </c>
      <c r="AX559">
        <f t="shared" si="197"/>
        <v>276</v>
      </c>
      <c r="AZ559">
        <f t="shared" si="198"/>
        <v>135382.56116495625</v>
      </c>
      <c r="BB559">
        <f t="shared" si="199"/>
        <v>37702.71909425169</v>
      </c>
      <c r="BD559">
        <f t="shared" si="200"/>
        <v>-886.37648548516643</v>
      </c>
      <c r="BF559">
        <f t="shared" si="201"/>
        <v>854.3007598991677</v>
      </c>
      <c r="BH559">
        <f t="shared" si="186"/>
        <v>-63.968557942633794</v>
      </c>
      <c r="BJ559">
        <f t="shared" si="187"/>
        <v>-18.615274922989503</v>
      </c>
      <c r="BN559" s="20">
        <f t="shared" si="188"/>
        <v>-35.23557840207026</v>
      </c>
      <c r="BP559">
        <f t="shared" si="189"/>
        <v>-9.2233199354949811</v>
      </c>
      <c r="BR559">
        <f t="shared" si="190"/>
        <v>-7.0765800466300401</v>
      </c>
      <c r="BT559">
        <f t="shared" si="191"/>
        <v>-1.2616635207322864</v>
      </c>
      <c r="BV559">
        <f t="shared" si="192"/>
        <v>-21.656399493933495</v>
      </c>
      <c r="BX559">
        <f t="shared" si="193"/>
        <v>-8.1302914667622357</v>
      </c>
      <c r="CB559">
        <f t="shared" si="194"/>
        <v>119270.02834606498</v>
      </c>
      <c r="CD559">
        <f t="shared" si="195"/>
        <v>157832.76262993176</v>
      </c>
      <c r="CF559">
        <f t="shared" si="196"/>
        <v>149949.45841569512</v>
      </c>
    </row>
    <row r="560" spans="12:84" x14ac:dyDescent="0.25">
      <c r="L560">
        <v>549</v>
      </c>
      <c r="M560">
        <f t="shared" si="208"/>
        <v>3.4494687336416177</v>
      </c>
      <c r="P560">
        <f t="shared" si="202"/>
        <v>15235.103292413944</v>
      </c>
      <c r="Q560">
        <f t="shared" si="203"/>
        <v>5984.8236518360127</v>
      </c>
      <c r="V560">
        <f t="shared" si="204"/>
        <v>-23335.427695310238</v>
      </c>
      <c r="W560">
        <f t="shared" si="205"/>
        <v>8939.3765562852095</v>
      </c>
      <c r="AB560">
        <f t="shared" si="206"/>
        <v>-9764.8967075860564</v>
      </c>
      <c r="AC560">
        <f t="shared" si="207"/>
        <v>-16515.176348163986</v>
      </c>
      <c r="AW560">
        <v>553</v>
      </c>
      <c r="AX560">
        <f t="shared" si="197"/>
        <v>276.5</v>
      </c>
      <c r="AZ560">
        <f t="shared" si="198"/>
        <v>134931.37685247083</v>
      </c>
      <c r="BB560">
        <f t="shared" si="199"/>
        <v>38127.542564835901</v>
      </c>
      <c r="BD560">
        <f t="shared" si="200"/>
        <v>-918.36076445648337</v>
      </c>
      <c r="BF560">
        <f t="shared" si="201"/>
        <v>844.99312243767292</v>
      </c>
      <c r="BH560">
        <f t="shared" si="186"/>
        <v>-64.196508884779519</v>
      </c>
      <c r="BJ560">
        <f t="shared" si="187"/>
        <v>-18.960452862451852</v>
      </c>
      <c r="BN560" s="20">
        <f t="shared" si="188"/>
        <v>-35.386682763524128</v>
      </c>
      <c r="BP560">
        <f t="shared" si="189"/>
        <v>-9.4300369685763492</v>
      </c>
      <c r="BR560">
        <f t="shared" si="190"/>
        <v>-7.1056321595621998</v>
      </c>
      <c r="BT560">
        <f t="shared" si="191"/>
        <v>-1.2900161031194322</v>
      </c>
      <c r="BV560">
        <f t="shared" si="192"/>
        <v>-21.704193961693186</v>
      </c>
      <c r="BX560">
        <f t="shared" si="193"/>
        <v>-8.2403997907560687</v>
      </c>
      <c r="CB560">
        <f t="shared" si="194"/>
        <v>118942.28747071204</v>
      </c>
      <c r="CD560">
        <f t="shared" si="195"/>
        <v>157463.93296288198</v>
      </c>
      <c r="CF560">
        <f t="shared" si="196"/>
        <v>149677.40646739793</v>
      </c>
    </row>
    <row r="561" spans="12:84" x14ac:dyDescent="0.25">
      <c r="L561">
        <v>550</v>
      </c>
      <c r="M561">
        <f t="shared" si="208"/>
        <v>3.4557519189487973</v>
      </c>
      <c r="P561">
        <f t="shared" si="202"/>
        <v>15244.717418524269</v>
      </c>
      <c r="Q561">
        <f t="shared" si="203"/>
        <v>5954.915028125145</v>
      </c>
      <c r="V561">
        <f t="shared" si="204"/>
        <v>-23328.697807033011</v>
      </c>
      <c r="W561">
        <f t="shared" si="205"/>
        <v>8918.4405196876014</v>
      </c>
      <c r="AB561">
        <f t="shared" si="206"/>
        <v>-9755.2825814757307</v>
      </c>
      <c r="AC561">
        <f t="shared" si="207"/>
        <v>-16545.084971874854</v>
      </c>
      <c r="AW561">
        <v>554</v>
      </c>
      <c r="AX561">
        <f t="shared" si="197"/>
        <v>277</v>
      </c>
      <c r="AZ561">
        <f t="shared" si="198"/>
        <v>134464.17190663196</v>
      </c>
      <c r="BB561">
        <f t="shared" si="199"/>
        <v>38547.669069446936</v>
      </c>
      <c r="BD561">
        <f t="shared" si="200"/>
        <v>-950.45901889887318</v>
      </c>
      <c r="BF561">
        <f t="shared" si="201"/>
        <v>835.51289600644702</v>
      </c>
      <c r="BH561">
        <f t="shared" si="186"/>
        <v>-64.438602921166151</v>
      </c>
      <c r="BJ561">
        <f t="shared" si="187"/>
        <v>-19.313899056696407</v>
      </c>
      <c r="BN561" s="20">
        <f t="shared" si="188"/>
        <v>-35.546523641518576</v>
      </c>
      <c r="BP561">
        <f t="shared" si="189"/>
        <v>-9.6417654905272325</v>
      </c>
      <c r="BR561">
        <f t="shared" si="190"/>
        <v>-7.1361636684353291</v>
      </c>
      <c r="BT561">
        <f t="shared" si="191"/>
        <v>-1.3188873271857771</v>
      </c>
      <c r="BV561">
        <f t="shared" si="192"/>
        <v>-21.755915611212249</v>
      </c>
      <c r="BX561">
        <f t="shared" si="193"/>
        <v>-8.3532462389833988</v>
      </c>
      <c r="CB561">
        <f t="shared" si="194"/>
        <v>118600.18720439225</v>
      </c>
      <c r="CD561">
        <f t="shared" si="195"/>
        <v>157080.07452283759</v>
      </c>
      <c r="CF561">
        <f t="shared" si="196"/>
        <v>149390.78990477824</v>
      </c>
    </row>
    <row r="562" spans="12:84" x14ac:dyDescent="0.25">
      <c r="L562">
        <v>551</v>
      </c>
      <c r="M562">
        <f t="shared" si="208"/>
        <v>3.4620351042559769</v>
      </c>
      <c r="P562">
        <f t="shared" si="202"/>
        <v>15254.519275048566</v>
      </c>
      <c r="Q562">
        <f t="shared" si="203"/>
        <v>5925.0674017233587</v>
      </c>
      <c r="V562">
        <f t="shared" si="204"/>
        <v>-23321.836507466003</v>
      </c>
      <c r="W562">
        <f t="shared" si="205"/>
        <v>8897.5471812063515</v>
      </c>
      <c r="AB562">
        <f t="shared" si="206"/>
        <v>-9745.4807249514342</v>
      </c>
      <c r="AC562">
        <f t="shared" si="207"/>
        <v>-16574.932598276642</v>
      </c>
      <c r="AW562">
        <v>555</v>
      </c>
      <c r="AX562">
        <f t="shared" si="197"/>
        <v>277.5</v>
      </c>
      <c r="AZ562">
        <f t="shared" si="198"/>
        <v>133980.88757181738</v>
      </c>
      <c r="BB562">
        <f t="shared" si="199"/>
        <v>38963.011280068073</v>
      </c>
      <c r="BD562">
        <f t="shared" si="200"/>
        <v>-982.67832035945628</v>
      </c>
      <c r="BF562">
        <f t="shared" si="201"/>
        <v>825.85594647809887</v>
      </c>
      <c r="BH562">
        <f t="shared" si="186"/>
        <v>-64.695130102227438</v>
      </c>
      <c r="BJ562">
        <f t="shared" si="187"/>
        <v>-19.676008516971422</v>
      </c>
      <c r="BN562" s="20">
        <f t="shared" si="188"/>
        <v>-35.715301900007582</v>
      </c>
      <c r="BP562">
        <f t="shared" si="189"/>
        <v>-9.8587664168077698</v>
      </c>
      <c r="BR562">
        <f t="shared" si="190"/>
        <v>-7.1682091114824162</v>
      </c>
      <c r="BT562">
        <f t="shared" si="191"/>
        <v>-1.3483031863738306</v>
      </c>
      <c r="BV562">
        <f t="shared" si="192"/>
        <v>-21.811619090737434</v>
      </c>
      <c r="BX562">
        <f t="shared" si="193"/>
        <v>-8.4689389137898221</v>
      </c>
      <c r="CB562">
        <f t="shared" si="194"/>
        <v>118243.66287657434</v>
      </c>
      <c r="CD562">
        <f t="shared" si="195"/>
        <v>156681.10849688936</v>
      </c>
      <c r="CF562">
        <f t="shared" si="196"/>
        <v>149089.54925367134</v>
      </c>
    </row>
    <row r="563" spans="12:84" x14ac:dyDescent="0.25">
      <c r="L563">
        <v>552</v>
      </c>
      <c r="M563">
        <f t="shared" si="208"/>
        <v>3.4683182895631566</v>
      </c>
      <c r="P563">
        <f t="shared" si="202"/>
        <v>15264.50847502632</v>
      </c>
      <c r="Q563">
        <f t="shared" si="203"/>
        <v>5895.2819509638348</v>
      </c>
      <c r="V563">
        <f t="shared" si="204"/>
        <v>-23314.844067481579</v>
      </c>
      <c r="W563">
        <f t="shared" si="205"/>
        <v>8876.697365674685</v>
      </c>
      <c r="AB563">
        <f t="shared" si="206"/>
        <v>-9735.4915249736805</v>
      </c>
      <c r="AC563">
        <f t="shared" si="207"/>
        <v>-16604.718049036164</v>
      </c>
      <c r="AW563">
        <v>556</v>
      </c>
      <c r="AX563">
        <f t="shared" si="197"/>
        <v>278</v>
      </c>
      <c r="AZ563">
        <f t="shared" si="198"/>
        <v>133481.46152037487</v>
      </c>
      <c r="BB563">
        <f t="shared" si="199"/>
        <v>39373.4797522425</v>
      </c>
      <c r="BD563">
        <f t="shared" si="200"/>
        <v>-1015.02588541057</v>
      </c>
      <c r="BF563">
        <f t="shared" si="201"/>
        <v>816.01794221961313</v>
      </c>
      <c r="BH563">
        <f t="shared" si="186"/>
        <v>-64.966400268922442</v>
      </c>
      <c r="BJ563">
        <f t="shared" si="187"/>
        <v>-20.047195159710071</v>
      </c>
      <c r="BN563" s="20">
        <f t="shared" si="188"/>
        <v>-35.893231683058652</v>
      </c>
      <c r="BP563">
        <f t="shared" si="189"/>
        <v>-10.081313528792659</v>
      </c>
      <c r="BR563">
        <f t="shared" si="190"/>
        <v>-7.201805147919532</v>
      </c>
      <c r="BT563">
        <f t="shared" si="191"/>
        <v>-1.3782907433672549</v>
      </c>
      <c r="BV563">
        <f t="shared" si="192"/>
        <v>-21.871363437944257</v>
      </c>
      <c r="BX563">
        <f t="shared" si="193"/>
        <v>-8.5875908875501565</v>
      </c>
      <c r="CB563">
        <f t="shared" si="194"/>
        <v>117872.64661623974</v>
      </c>
      <c r="CD563">
        <f t="shared" si="195"/>
        <v>156266.95217858994</v>
      </c>
      <c r="CF563">
        <f t="shared" si="196"/>
        <v>148773.62160405517</v>
      </c>
    </row>
    <row r="564" spans="12:84" x14ac:dyDescent="0.25">
      <c r="L564">
        <v>553</v>
      </c>
      <c r="M564">
        <f t="shared" si="208"/>
        <v>3.4746014748703362</v>
      </c>
      <c r="P564">
        <f t="shared" si="202"/>
        <v>15274.684624101017</v>
      </c>
      <c r="Q564">
        <f t="shared" si="203"/>
        <v>5865.5598517251701</v>
      </c>
      <c r="V564">
        <f t="shared" si="204"/>
        <v>-23307.720763129288</v>
      </c>
      <c r="W564">
        <f t="shared" si="205"/>
        <v>8855.8918962076186</v>
      </c>
      <c r="AB564">
        <f t="shared" si="206"/>
        <v>-9725.3153758989829</v>
      </c>
      <c r="AC564">
        <f t="shared" si="207"/>
        <v>-16634.440148274829</v>
      </c>
      <c r="AW564">
        <v>557</v>
      </c>
      <c r="AX564">
        <f t="shared" si="197"/>
        <v>278.5</v>
      </c>
      <c r="AZ564">
        <f t="shared" si="198"/>
        <v>132965.82777763598</v>
      </c>
      <c r="BB564">
        <f t="shared" si="199"/>
        <v>39778.98282395734</v>
      </c>
      <c r="BD564">
        <f t="shared" si="200"/>
        <v>-1047.5090855450312</v>
      </c>
      <c r="BF564">
        <f t="shared" si="201"/>
        <v>805.99434463975808</v>
      </c>
      <c r="BH564">
        <f t="shared" si="186"/>
        <v>-65.252743968038232</v>
      </c>
      <c r="BJ564">
        <f t="shared" si="187"/>
        <v>-20.427893148661994</v>
      </c>
      <c r="BN564" s="20">
        <f t="shared" si="188"/>
        <v>-36.080541069897521</v>
      </c>
      <c r="BP564">
        <f t="shared" si="189"/>
        <v>-10.309694430485781</v>
      </c>
      <c r="BR564">
        <f t="shared" si="190"/>
        <v>-7.2369906663503585</v>
      </c>
      <c r="BT564">
        <f t="shared" si="191"/>
        <v>-1.4088782042461847</v>
      </c>
      <c r="BV564">
        <f t="shared" si="192"/>
        <v>-21.935212231790345</v>
      </c>
      <c r="BX564">
        <f t="shared" si="193"/>
        <v>-8.7093205139300274</v>
      </c>
      <c r="CB564">
        <f t="shared" si="194"/>
        <v>117487.06727821512</v>
      </c>
      <c r="CD564">
        <f t="shared" si="195"/>
        <v>155837.51886412635</v>
      </c>
      <c r="CF564">
        <f t="shared" si="196"/>
        <v>148442.94053135609</v>
      </c>
    </row>
    <row r="565" spans="12:84" x14ac:dyDescent="0.25">
      <c r="L565">
        <v>554</v>
      </c>
      <c r="M565">
        <f t="shared" si="208"/>
        <v>3.4808846601775159</v>
      </c>
      <c r="P565">
        <f t="shared" si="202"/>
        <v>15285.047320535719</v>
      </c>
      <c r="Q565">
        <f t="shared" si="203"/>
        <v>5835.9022773849492</v>
      </c>
      <c r="V565">
        <f t="shared" si="204"/>
        <v>-23300.466875624996</v>
      </c>
      <c r="W565">
        <f t="shared" si="205"/>
        <v>8835.1315941694647</v>
      </c>
      <c r="AB565">
        <f t="shared" si="206"/>
        <v>-9714.9526794642807</v>
      </c>
      <c r="AC565">
        <f t="shared" si="207"/>
        <v>-16664.09772261505</v>
      </c>
      <c r="AW565">
        <v>558</v>
      </c>
      <c r="AX565">
        <f t="shared" si="197"/>
        <v>279</v>
      </c>
      <c r="AZ565">
        <f t="shared" si="198"/>
        <v>132433.91664186746</v>
      </c>
      <c r="BB565">
        <f t="shared" si="199"/>
        <v>40179.426509633631</v>
      </c>
      <c r="BD565">
        <f t="shared" si="200"/>
        <v>-1080.1354575290504</v>
      </c>
      <c r="BF565">
        <f t="shared" si="201"/>
        <v>795.78039806542711</v>
      </c>
      <c r="BH565">
        <f t="shared" si="186"/>
        <v>-65.554513441777573</v>
      </c>
      <c r="BJ565">
        <f t="shared" si="187"/>
        <v>-20.818558337801978</v>
      </c>
      <c r="BN565" s="20">
        <f t="shared" si="188"/>
        <v>-36.277472782510408</v>
      </c>
      <c r="BP565">
        <f t="shared" si="189"/>
        <v>-10.544211579211535</v>
      </c>
      <c r="BR565">
        <f t="shared" si="190"/>
        <v>-7.2738069016961413</v>
      </c>
      <c r="BT565">
        <f t="shared" si="191"/>
        <v>-1.4400949976949649</v>
      </c>
      <c r="BV565">
        <f t="shared" si="192"/>
        <v>-22.003233757571021</v>
      </c>
      <c r="BX565">
        <f t="shared" si="193"/>
        <v>-8.8342517608954783</v>
      </c>
      <c r="CB565">
        <f t="shared" si="194"/>
        <v>117086.85036514112</v>
      </c>
      <c r="CD565">
        <f t="shared" si="195"/>
        <v>155392.71774195269</v>
      </c>
      <c r="CF565">
        <f t="shared" si="196"/>
        <v>148097.43601243012</v>
      </c>
    </row>
    <row r="566" spans="12:84" x14ac:dyDescent="0.25">
      <c r="L566">
        <v>555</v>
      </c>
      <c r="M566">
        <f t="shared" si="208"/>
        <v>3.4871678454846955</v>
      </c>
      <c r="P566">
        <f t="shared" si="202"/>
        <v>15295.596155228915</v>
      </c>
      <c r="Q566">
        <f t="shared" si="203"/>
        <v>5806.3103987734257</v>
      </c>
      <c r="V566">
        <f t="shared" si="204"/>
        <v>-23293.082691339761</v>
      </c>
      <c r="W566">
        <f t="shared" si="205"/>
        <v>8814.4172791413985</v>
      </c>
      <c r="AB566">
        <f t="shared" si="206"/>
        <v>-9704.4038447710846</v>
      </c>
      <c r="AC566">
        <f t="shared" si="207"/>
        <v>-16693.689601226575</v>
      </c>
      <c r="AW566">
        <v>559</v>
      </c>
      <c r="AX566">
        <f t="shared" si="197"/>
        <v>279.5</v>
      </c>
      <c r="AZ566">
        <f t="shared" si="198"/>
        <v>131885.6545989227</v>
      </c>
      <c r="BB566">
        <f t="shared" si="199"/>
        <v>40574.714388874119</v>
      </c>
      <c r="BD566">
        <f t="shared" si="200"/>
        <v>-1112.9127142499392</v>
      </c>
      <c r="BF566">
        <f t="shared" si="201"/>
        <v>785.37111889652613</v>
      </c>
      <c r="BH566">
        <f t="shared" si="186"/>
        <v>-65.872083697143665</v>
      </c>
      <c r="BJ566">
        <f t="shared" si="187"/>
        <v>-21.219669824544063</v>
      </c>
      <c r="BN566" s="20">
        <f t="shared" si="188"/>
        <v>-36.484284949829771</v>
      </c>
      <c r="BP566">
        <f t="shared" si="189"/>
        <v>-10.78518339749283</v>
      </c>
      <c r="BR566">
        <f t="shared" si="190"/>
        <v>-7.3122975613376076</v>
      </c>
      <c r="BT566">
        <f t="shared" si="191"/>
        <v>-1.4719718597173155</v>
      </c>
      <c r="BV566">
        <f t="shared" si="192"/>
        <v>-22.075501185976286</v>
      </c>
      <c r="BX566">
        <f t="shared" si="193"/>
        <v>-8.962514567333919</v>
      </c>
      <c r="CB566">
        <f t="shared" si="194"/>
        <v>116671.91794487236</v>
      </c>
      <c r="CD566">
        <f t="shared" si="195"/>
        <v>154932.45377552271</v>
      </c>
      <c r="CF566">
        <f t="shared" si="196"/>
        <v>147737.03433594605</v>
      </c>
    </row>
    <row r="567" spans="12:84" x14ac:dyDescent="0.25">
      <c r="L567">
        <v>556</v>
      </c>
      <c r="M567">
        <f t="shared" si="208"/>
        <v>3.4934510307918751</v>
      </c>
      <c r="P567">
        <f t="shared" si="202"/>
        <v>15306.330711730672</v>
      </c>
      <c r="Q567">
        <f t="shared" si="203"/>
        <v>5776.7853841272972</v>
      </c>
      <c r="V567">
        <f t="shared" si="204"/>
        <v>-23285.56850178853</v>
      </c>
      <c r="W567">
        <f t="shared" si="205"/>
        <v>8793.7497688891071</v>
      </c>
      <c r="AB567">
        <f t="shared" si="206"/>
        <v>-9693.6692882693278</v>
      </c>
      <c r="AC567">
        <f t="shared" si="207"/>
        <v>-16723.214615872705</v>
      </c>
      <c r="AW567">
        <v>560</v>
      </c>
      <c r="AX567">
        <f t="shared" si="197"/>
        <v>280</v>
      </c>
      <c r="AZ567">
        <f t="shared" si="198"/>
        <v>131320.96423133559</v>
      </c>
      <c r="BB567">
        <f t="shared" si="199"/>
        <v>40964.747489594316</v>
      </c>
      <c r="BD567">
        <f t="shared" si="200"/>
        <v>-1145.8487560985111</v>
      </c>
      <c r="BF567">
        <f t="shared" si="201"/>
        <v>774.76128398425408</v>
      </c>
      <c r="BH567">
        <f t="shared" si="186"/>
        <v>-66.205853661181862</v>
      </c>
      <c r="BJ567">
        <f t="shared" si="187"/>
        <v>-21.63173162377554</v>
      </c>
      <c r="BN567" s="20">
        <f t="shared" si="188"/>
        <v>-36.701251932919206</v>
      </c>
      <c r="BP567">
        <f t="shared" si="189"/>
        <v>-11.032945474087105</v>
      </c>
      <c r="BR567">
        <f t="shared" si="190"/>
        <v>-7.3525089612258796</v>
      </c>
      <c r="BT567">
        <f t="shared" si="191"/>
        <v>-1.5045409243578762</v>
      </c>
      <c r="BV567">
        <f t="shared" si="192"/>
        <v>-22.15209276703677</v>
      </c>
      <c r="BX567">
        <f t="shared" si="193"/>
        <v>-9.0942452253305586</v>
      </c>
      <c r="CB567">
        <f t="shared" si="194"/>
        <v>116242.18856308842</v>
      </c>
      <c r="CD567">
        <f t="shared" si="195"/>
        <v>154456.6275787332</v>
      </c>
      <c r="CF567">
        <f t="shared" si="196"/>
        <v>147361.65800687482</v>
      </c>
    </row>
    <row r="568" spans="12:84" x14ac:dyDescent="0.25">
      <c r="L568">
        <v>557</v>
      </c>
      <c r="M568">
        <f t="shared" si="208"/>
        <v>3.4997342160990548</v>
      </c>
      <c r="P568">
        <f t="shared" si="202"/>
        <v>15317.250566259081</v>
      </c>
      <c r="Q568">
        <f t="shared" si="203"/>
        <v>5747.3283990435875</v>
      </c>
      <c r="V568">
        <f t="shared" si="204"/>
        <v>-23277.924603618641</v>
      </c>
      <c r="W568">
        <f t="shared" si="205"/>
        <v>8773.1298793305104</v>
      </c>
      <c r="AB568">
        <f t="shared" si="206"/>
        <v>-9682.7494337409189</v>
      </c>
      <c r="AC568">
        <f t="shared" si="207"/>
        <v>-16752.671600956412</v>
      </c>
      <c r="AW568">
        <v>561</v>
      </c>
      <c r="AX568">
        <f t="shared" si="197"/>
        <v>280.5</v>
      </c>
      <c r="AZ568">
        <f t="shared" si="198"/>
        <v>130739.76412157869</v>
      </c>
      <c r="BB568">
        <f t="shared" si="199"/>
        <v>41349.424165133467</v>
      </c>
      <c r="BD568">
        <f t="shared" si="200"/>
        <v>-1178.9516829291019</v>
      </c>
      <c r="BF568">
        <f t="shared" si="201"/>
        <v>763.94541817236632</v>
      </c>
      <c r="BH568">
        <f t="shared" si="186"/>
        <v>-66.556247428731723</v>
      </c>
      <c r="BJ568">
        <f t="shared" si="187"/>
        <v>-22.055274474325721</v>
      </c>
      <c r="BN568" s="20">
        <f t="shared" si="188"/>
        <v>-36.928665216009058</v>
      </c>
      <c r="BP568">
        <f t="shared" si="189"/>
        <v>-11.287851863008653</v>
      </c>
      <c r="BR568">
        <f t="shared" si="190"/>
        <v>-7.3944901727951278</v>
      </c>
      <c r="BT568">
        <f t="shared" si="191"/>
        <v>-1.5378358209775189</v>
      </c>
      <c r="BV568">
        <f t="shared" si="192"/>
        <v>-22.233092039927534</v>
      </c>
      <c r="BX568">
        <f t="shared" si="193"/>
        <v>-9.2295867903395514</v>
      </c>
      <c r="CB568">
        <f t="shared" si="194"/>
        <v>115797.57715088001</v>
      </c>
      <c r="CD568">
        <f t="shared" si="195"/>
        <v>153965.13528365645</v>
      </c>
      <c r="CF568">
        <f t="shared" si="196"/>
        <v>146971.22564476336</v>
      </c>
    </row>
    <row r="569" spans="12:84" x14ac:dyDescent="0.25">
      <c r="L569">
        <v>558</v>
      </c>
      <c r="M569">
        <f t="shared" si="208"/>
        <v>3.5060174014062344</v>
      </c>
      <c r="P569">
        <f t="shared" si="202"/>
        <v>15328.355287716986</v>
      </c>
      <c r="Q569">
        <f t="shared" si="203"/>
        <v>5717.940606433629</v>
      </c>
      <c r="V569">
        <f t="shared" si="204"/>
        <v>-23270.15129859811</v>
      </c>
      <c r="W569">
        <f t="shared" si="205"/>
        <v>8752.5584245035407</v>
      </c>
      <c r="AB569">
        <f t="shared" si="206"/>
        <v>-9671.6447122830141</v>
      </c>
      <c r="AC569">
        <f t="shared" si="207"/>
        <v>-16782.059393566371</v>
      </c>
      <c r="AW569">
        <v>562</v>
      </c>
      <c r="AX569">
        <f t="shared" si="197"/>
        <v>281</v>
      </c>
      <c r="AZ569">
        <f t="shared" si="198"/>
        <v>130141.96874918554</v>
      </c>
      <c r="BB569">
        <f t="shared" si="199"/>
        <v>41728.639964910362</v>
      </c>
      <c r="BD569">
        <f t="shared" si="200"/>
        <v>-1212.2298066434678</v>
      </c>
      <c r="BF569">
        <f t="shared" si="201"/>
        <v>752.9177809352035</v>
      </c>
      <c r="BH569">
        <f t="shared" si="186"/>
        <v>-66.923715610000613</v>
      </c>
      <c r="BJ569">
        <f t="shared" si="187"/>
        <v>-22.490857790719708</v>
      </c>
      <c r="BN569" s="20">
        <f t="shared" si="188"/>
        <v>-37.166834368710965</v>
      </c>
      <c r="BP569">
        <f t="shared" si="189"/>
        <v>-11.550276490327137</v>
      </c>
      <c r="BR569">
        <f t="shared" si="190"/>
        <v>-7.4382931815951485</v>
      </c>
      <c r="BT569">
        <f t="shared" si="191"/>
        <v>-1.5718917786840347</v>
      </c>
      <c r="BV569">
        <f t="shared" si="192"/>
        <v>-22.318588059694505</v>
      </c>
      <c r="BX569">
        <f t="shared" si="193"/>
        <v>-9.3686895217085358</v>
      </c>
      <c r="CB569">
        <f t="shared" si="194"/>
        <v>115337.99492705787</v>
      </c>
      <c r="CD569">
        <f t="shared" si="195"/>
        <v>153457.86840010624</v>
      </c>
      <c r="CF569">
        <f t="shared" si="196"/>
        <v>146565.65187544547</v>
      </c>
    </row>
    <row r="570" spans="12:84" x14ac:dyDescent="0.25">
      <c r="L570">
        <v>559</v>
      </c>
      <c r="M570">
        <f t="shared" si="208"/>
        <v>3.5123005867134141</v>
      </c>
      <c r="P570">
        <f t="shared" si="202"/>
        <v>15339.64443770899</v>
      </c>
      <c r="Q570">
        <f t="shared" si="203"/>
        <v>5688.623166477154</v>
      </c>
      <c r="V570">
        <f t="shared" si="204"/>
        <v>-23262.248893603708</v>
      </c>
      <c r="W570">
        <f t="shared" si="205"/>
        <v>8732.0362165340084</v>
      </c>
      <c r="AB570">
        <f t="shared" si="206"/>
        <v>-9660.3555622910098</v>
      </c>
      <c r="AC570">
        <f t="shared" si="207"/>
        <v>-16811.376833522845</v>
      </c>
      <c r="AW570">
        <v>563</v>
      </c>
      <c r="AX570">
        <f t="shared" si="197"/>
        <v>281.5</v>
      </c>
      <c r="AZ570">
        <f t="shared" si="198"/>
        <v>129527.48838141255</v>
      </c>
      <c r="BB570">
        <f t="shared" si="199"/>
        <v>42102.287498154117</v>
      </c>
      <c r="BD570">
        <f t="shared" si="200"/>
        <v>-1245.6916644484681</v>
      </c>
      <c r="BF570">
        <f t="shared" si="201"/>
        <v>741.67235203984364</v>
      </c>
      <c r="BH570">
        <f t="shared" si="186"/>
        <v>-67.308736785996274</v>
      </c>
      <c r="BJ570">
        <f t="shared" si="187"/>
        <v>-22.939071774454234</v>
      </c>
      <c r="BN570" s="20">
        <f t="shared" si="188"/>
        <v>-37.416088085264256</v>
      </c>
      <c r="BP570">
        <f t="shared" si="189"/>
        <v>-11.820614679613959</v>
      </c>
      <c r="BR570">
        <f t="shared" si="190"/>
        <v>-7.4839730586582371</v>
      </c>
      <c r="BT570">
        <f t="shared" si="191"/>
        <v>-1.6067457385805448</v>
      </c>
      <c r="BV570">
        <f t="shared" si="192"/>
        <v>-22.408675642073788</v>
      </c>
      <c r="BX570">
        <f t="shared" si="193"/>
        <v>-9.5117113562597311</v>
      </c>
      <c r="CB570">
        <f t="shared" si="194"/>
        <v>114863.34929491379</v>
      </c>
      <c r="CD570">
        <f t="shared" si="195"/>
        <v>152934.71366654336</v>
      </c>
      <c r="CF570">
        <f t="shared" si="196"/>
        <v>146144.84721581166</v>
      </c>
    </row>
    <row r="571" spans="12:84" x14ac:dyDescent="0.25">
      <c r="L571">
        <v>560</v>
      </c>
      <c r="M571">
        <f t="shared" si="208"/>
        <v>3.5185837720205937</v>
      </c>
      <c r="P571">
        <f t="shared" si="202"/>
        <v>15351.117570558788</v>
      </c>
      <c r="Q571">
        <f t="shared" si="203"/>
        <v>5659.3772365764926</v>
      </c>
      <c r="V571">
        <f t="shared" si="204"/>
        <v>-23254.217700608846</v>
      </c>
      <c r="W571">
        <f t="shared" si="205"/>
        <v>8711.5640656035448</v>
      </c>
      <c r="AB571">
        <f t="shared" si="206"/>
        <v>-9648.8824294412116</v>
      </c>
      <c r="AC571">
        <f t="shared" si="207"/>
        <v>-16840.622763423507</v>
      </c>
      <c r="AW571">
        <v>564</v>
      </c>
      <c r="AX571">
        <f t="shared" si="197"/>
        <v>282</v>
      </c>
      <c r="AZ571">
        <f t="shared" si="198"/>
        <v>128896.22895709006</v>
      </c>
      <c r="BB571">
        <f t="shared" si="199"/>
        <v>42470.256290202226</v>
      </c>
      <c r="BD571">
        <f t="shared" si="200"/>
        <v>-1279.3460328414662</v>
      </c>
      <c r="BF571">
        <f t="shared" si="201"/>
        <v>730.20281615261649</v>
      </c>
      <c r="BH571">
        <f t="shared" si="186"/>
        <v>-67.71181908066292</v>
      </c>
      <c r="BJ571">
        <f t="shared" si="187"/>
        <v>-23.400539700593015</v>
      </c>
      <c r="BN571" s="20">
        <f t="shared" si="188"/>
        <v>-37.676775307257273</v>
      </c>
      <c r="BP571">
        <f t="shared" si="189"/>
        <v>-12.09928480812985</v>
      </c>
      <c r="BR571">
        <f t="shared" si="190"/>
        <v>-7.5315881457186284</v>
      </c>
      <c r="BT571">
        <f t="shared" si="191"/>
        <v>-1.6424364745611499</v>
      </c>
      <c r="BV571">
        <f t="shared" si="192"/>
        <v>-22.503455627687018</v>
      </c>
      <c r="BX571">
        <f t="shared" si="193"/>
        <v>-9.6588184179020136</v>
      </c>
      <c r="CB571">
        <f t="shared" si="194"/>
        <v>114373.54373314402</v>
      </c>
      <c r="CD571">
        <f t="shared" si="195"/>
        <v>152395.55289178752</v>
      </c>
      <c r="CF571">
        <f t="shared" si="196"/>
        <v>145708.71795122972</v>
      </c>
    </row>
    <row r="572" spans="12:84" x14ac:dyDescent="0.25">
      <c r="L572">
        <v>561</v>
      </c>
      <c r="M572">
        <f t="shared" si="208"/>
        <v>3.5248669573277733</v>
      </c>
      <c r="P572">
        <f t="shared" si="202"/>
        <v>15362.774233326742</v>
      </c>
      <c r="Q572">
        <f t="shared" si="203"/>
        <v>5630.2039713108807</v>
      </c>
      <c r="V572">
        <f t="shared" si="204"/>
        <v>-23246.058036671282</v>
      </c>
      <c r="W572">
        <f t="shared" si="205"/>
        <v>8691.1427799176163</v>
      </c>
      <c r="AB572">
        <f t="shared" si="206"/>
        <v>-9637.2257666732585</v>
      </c>
      <c r="AC572">
        <f t="shared" si="207"/>
        <v>-16869.796028689121</v>
      </c>
      <c r="AW572">
        <v>565</v>
      </c>
      <c r="AX572">
        <f t="shared" si="197"/>
        <v>282.5</v>
      </c>
      <c r="AZ572">
        <f t="shared" si="198"/>
        <v>128248.09196328424</v>
      </c>
      <c r="BB572">
        <f t="shared" si="199"/>
        <v>42832.432630815958</v>
      </c>
      <c r="BD572">
        <f t="shared" si="200"/>
        <v>-1313.2019423817976</v>
      </c>
      <c r="BF572">
        <f t="shared" si="201"/>
        <v>718.50254630231996</v>
      </c>
      <c r="BH572">
        <f t="shared" si="186"/>
        <v>-68.133501859447648</v>
      </c>
      <c r="BJ572">
        <f t="shared" si="187"/>
        <v>-23.875920397230693</v>
      </c>
      <c r="BN572" s="20">
        <f t="shared" si="188"/>
        <v>-37.949266436905717</v>
      </c>
      <c r="BP572">
        <f t="shared" si="189"/>
        <v>-12.386730107221148</v>
      </c>
      <c r="BR572">
        <f t="shared" si="190"/>
        <v>-7.5812002555235614</v>
      </c>
      <c r="BT572">
        <f t="shared" si="191"/>
        <v>-1.6790047234594292</v>
      </c>
      <c r="BV572">
        <f t="shared" si="192"/>
        <v>-22.603035167018373</v>
      </c>
      <c r="BX572">
        <f t="shared" si="193"/>
        <v>-9.8101855665501194</v>
      </c>
      <c r="CB572">
        <f t="shared" si="194"/>
        <v>113868.47768062411</v>
      </c>
      <c r="CD572">
        <f t="shared" si="195"/>
        <v>151840.26278695467</v>
      </c>
      <c r="CF572">
        <f t="shared" si="196"/>
        <v>145257.1660051707</v>
      </c>
    </row>
    <row r="573" spans="12:84" x14ac:dyDescent="0.25">
      <c r="L573">
        <v>562</v>
      </c>
      <c r="M573">
        <f t="shared" si="208"/>
        <v>3.531150142634953</v>
      </c>
      <c r="P573">
        <f t="shared" si="202"/>
        <v>15374.613965827757</v>
      </c>
      <c r="Q573">
        <f t="shared" si="203"/>
        <v>5601.1045223908768</v>
      </c>
      <c r="V573">
        <f t="shared" si="204"/>
        <v>-23237.770223920568</v>
      </c>
      <c r="W573">
        <f t="shared" si="205"/>
        <v>8670.7731656736141</v>
      </c>
      <c r="AB573">
        <f t="shared" si="206"/>
        <v>-9625.3860341722429</v>
      </c>
      <c r="AC573">
        <f t="shared" si="207"/>
        <v>-16898.895477609123</v>
      </c>
      <c r="AW573">
        <v>566</v>
      </c>
      <c r="AX573">
        <f t="shared" si="197"/>
        <v>283</v>
      </c>
      <c r="AZ573">
        <f t="shared" si="198"/>
        <v>127582.97430436091</v>
      </c>
      <c r="BB573">
        <f t="shared" si="199"/>
        <v>43188.699413917464</v>
      </c>
      <c r="BD573">
        <f t="shared" si="200"/>
        <v>-1347.2686933115215</v>
      </c>
      <c r="BF573">
        <f t="shared" si="201"/>
        <v>706.56458610370464</v>
      </c>
      <c r="BH573">
        <f t="shared" si="186"/>
        <v>-68.574357565012747</v>
      </c>
      <c r="BJ573">
        <f t="shared" si="187"/>
        <v>-24.365910937354016</v>
      </c>
      <c r="BN573" s="20">
        <f t="shared" si="188"/>
        <v>-38.233954648686044</v>
      </c>
      <c r="BP573">
        <f t="shared" si="189"/>
        <v>-12.683420621946844</v>
      </c>
      <c r="BR573">
        <f t="shared" si="190"/>
        <v>-7.6328748886045217</v>
      </c>
      <c r="BT573">
        <f t="shared" si="191"/>
        <v>-1.7164933254394283</v>
      </c>
      <c r="BV573">
        <f t="shared" si="192"/>
        <v>-22.70752802772218</v>
      </c>
      <c r="BX573">
        <f t="shared" si="193"/>
        <v>-9.9659969899677456</v>
      </c>
      <c r="CB573">
        <f t="shared" si="194"/>
        <v>113348.04641470329</v>
      </c>
      <c r="CD573">
        <f t="shared" si="195"/>
        <v>151268.71478699427</v>
      </c>
      <c r="CF573">
        <f t="shared" si="196"/>
        <v>144790.08880056004</v>
      </c>
    </row>
    <row r="574" spans="12:84" x14ac:dyDescent="0.25">
      <c r="L574">
        <v>563</v>
      </c>
      <c r="M574">
        <f t="shared" si="208"/>
        <v>3.5374333279421326</v>
      </c>
      <c r="P574">
        <f t="shared" si="202"/>
        <v>15386.636300649476</v>
      </c>
      <c r="Q574">
        <f t="shared" si="203"/>
        <v>5572.0800386128994</v>
      </c>
      <c r="V574">
        <f t="shared" si="204"/>
        <v>-23229.354589545368</v>
      </c>
      <c r="W574">
        <f t="shared" si="205"/>
        <v>8650.4560270290294</v>
      </c>
      <c r="AB574">
        <f t="shared" si="206"/>
        <v>-9613.3636993505243</v>
      </c>
      <c r="AC574">
        <f t="shared" si="207"/>
        <v>-16927.919961387099</v>
      </c>
      <c r="AW574">
        <v>567</v>
      </c>
      <c r="AX574">
        <f t="shared" si="197"/>
        <v>283.5</v>
      </c>
      <c r="AZ574">
        <f t="shared" si="198"/>
        <v>126900.76816300952</v>
      </c>
      <c r="BB574">
        <f t="shared" si="199"/>
        <v>43538.935968102145</v>
      </c>
      <c r="BD574">
        <f t="shared" si="200"/>
        <v>-1381.5558720940278</v>
      </c>
      <c r="BF574">
        <f t="shared" si="201"/>
        <v>694.38163063502759</v>
      </c>
      <c r="BH574">
        <f t="shared" si="186"/>
        <v>-69.034993701893967</v>
      </c>
      <c r="BJ574">
        <f t="shared" si="187"/>
        <v>-24.871249564856232</v>
      </c>
      <c r="BN574" s="20">
        <f t="shared" si="188"/>
        <v>-38.531257307915617</v>
      </c>
      <c r="BP574">
        <f t="shared" si="189"/>
        <v>-12.989855346717141</v>
      </c>
      <c r="BR574">
        <f t="shared" si="190"/>
        <v>-7.6866814680268227</v>
      </c>
      <c r="BT574">
        <f t="shared" si="191"/>
        <v>-1.7549473756139649</v>
      </c>
      <c r="BV574">
        <f t="shared" si="192"/>
        <v>-22.817054925951531</v>
      </c>
      <c r="BX574">
        <f t="shared" si="193"/>
        <v>-10.126446842525127</v>
      </c>
      <c r="CB574">
        <f t="shared" si="194"/>
        <v>112812.14092266167</v>
      </c>
      <c r="CD574">
        <f t="shared" si="195"/>
        <v>150680.77486114387</v>
      </c>
      <c r="CF574">
        <f t="shared" si="196"/>
        <v>144307.37911232933</v>
      </c>
    </row>
    <row r="575" spans="12:84" x14ac:dyDescent="0.25">
      <c r="L575">
        <v>564</v>
      </c>
      <c r="M575">
        <f t="shared" si="208"/>
        <v>3.5437165132493122</v>
      </c>
      <c r="P575">
        <f t="shared" si="202"/>
        <v>15398.840763170698</v>
      </c>
      <c r="Q575">
        <f t="shared" si="203"/>
        <v>5543.1316658138712</v>
      </c>
      <c r="V575">
        <f t="shared" si="204"/>
        <v>-23220.811465780513</v>
      </c>
      <c r="W575">
        <f t="shared" si="205"/>
        <v>8630.1921660697099</v>
      </c>
      <c r="AB575">
        <f t="shared" si="206"/>
        <v>-9601.1592368293022</v>
      </c>
      <c r="AC575">
        <f t="shared" si="207"/>
        <v>-16956.868334186129</v>
      </c>
      <c r="AW575">
        <v>568</v>
      </c>
      <c r="AX575">
        <f t="shared" si="197"/>
        <v>284</v>
      </c>
      <c r="AZ575">
        <f t="shared" si="198"/>
        <v>126201.36085274977</v>
      </c>
      <c r="BB575">
        <f t="shared" si="199"/>
        <v>43883.017877224054</v>
      </c>
      <c r="BD575">
        <f t="shared" si="200"/>
        <v>-1416.0733689449748</v>
      </c>
      <c r="BF575">
        <f t="shared" si="201"/>
        <v>681.94600585259946</v>
      </c>
      <c r="BH575">
        <f t="shared" si="186"/>
        <v>-69.51605498312729</v>
      </c>
      <c r="BJ575">
        <f t="shared" si="187"/>
        <v>-25.392718878986223</v>
      </c>
      <c r="BN575" s="20">
        <f t="shared" si="188"/>
        <v>-38.841617505751302</v>
      </c>
      <c r="BP575">
        <f t="shared" si="189"/>
        <v>-13.306564555716408</v>
      </c>
      <c r="BR575">
        <f t="shared" si="190"/>
        <v>-7.7426935938021151</v>
      </c>
      <c r="BT575">
        <f t="shared" si="191"/>
        <v>-1.7944143879816081</v>
      </c>
      <c r="BV575">
        <f t="shared" si="192"/>
        <v>-22.931743883573876</v>
      </c>
      <c r="BX575">
        <f t="shared" si="193"/>
        <v>-10.291739935288209</v>
      </c>
      <c r="CB575">
        <f t="shared" si="194"/>
        <v>112260.64776594858</v>
      </c>
      <c r="CD575">
        <f t="shared" si="195"/>
        <v>150076.30331156295</v>
      </c>
      <c r="CF575">
        <f t="shared" si="196"/>
        <v>143808.92491060126</v>
      </c>
    </row>
    <row r="576" spans="12:84" x14ac:dyDescent="0.25">
      <c r="L576">
        <v>565</v>
      </c>
      <c r="M576">
        <f t="shared" si="208"/>
        <v>3.5499996985564919</v>
      </c>
      <c r="P576">
        <f t="shared" si="202"/>
        <v>15411.226871580144</v>
      </c>
      <c r="Q576">
        <f t="shared" si="203"/>
        <v>5514.2605468259799</v>
      </c>
      <c r="V576">
        <f t="shared" si="204"/>
        <v>-23212.141189893897</v>
      </c>
      <c r="W576">
        <f t="shared" si="205"/>
        <v>8609.9823827781856</v>
      </c>
      <c r="AB576">
        <f t="shared" si="206"/>
        <v>-9588.7731284198562</v>
      </c>
      <c r="AC576">
        <f t="shared" si="207"/>
        <v>-16985.739453174021</v>
      </c>
      <c r="AW576">
        <v>569</v>
      </c>
      <c r="AX576">
        <f t="shared" si="197"/>
        <v>284.5</v>
      </c>
      <c r="AZ576">
        <f t="shared" si="198"/>
        <v>125484.63466140439</v>
      </c>
      <c r="BB576">
        <f t="shared" si="199"/>
        <v>44220.816790290482</v>
      </c>
      <c r="BD576">
        <f t="shared" si="200"/>
        <v>-1450.8313964365384</v>
      </c>
      <c r="BF576">
        <f t="shared" si="201"/>
        <v>669.24964641310635</v>
      </c>
      <c r="BH576">
        <f t="shared" si="186"/>
        <v>-70.018225653203771</v>
      </c>
      <c r="BJ576">
        <f t="shared" si="187"/>
        <v>-25.931149304364048</v>
      </c>
      <c r="BN576" s="20">
        <f t="shared" si="188"/>
        <v>-39.165505721052739</v>
      </c>
      <c r="BP576">
        <f t="shared" si="189"/>
        <v>-13.634112349142624</v>
      </c>
      <c r="BR576">
        <f t="shared" si="190"/>
        <v>-7.8009893188324364</v>
      </c>
      <c r="BT576">
        <f t="shared" si="191"/>
        <v>-1.8349444728928377</v>
      </c>
      <c r="BV576">
        <f t="shared" si="192"/>
        <v>-23.051730613318593</v>
      </c>
      <c r="BX576">
        <f t="shared" si="193"/>
        <v>-10.462092482328586</v>
      </c>
      <c r="CB576">
        <f t="shared" si="194"/>
        <v>111693.44893679323</v>
      </c>
      <c r="CD576">
        <f t="shared" si="195"/>
        <v>149455.15455934242</v>
      </c>
      <c r="CF576">
        <f t="shared" si="196"/>
        <v>143294.60919388881</v>
      </c>
    </row>
    <row r="577" spans="12:84" x14ac:dyDescent="0.25">
      <c r="L577">
        <v>566</v>
      </c>
      <c r="M577">
        <f t="shared" si="208"/>
        <v>3.5562828838636715</v>
      </c>
      <c r="P577">
        <f t="shared" si="202"/>
        <v>15423.794136895463</v>
      </c>
      <c r="Q577">
        <f t="shared" si="203"/>
        <v>5485.46782143157</v>
      </c>
      <c r="V577">
        <f t="shared" si="204"/>
        <v>-23203.344104173175</v>
      </c>
      <c r="W577">
        <f t="shared" si="205"/>
        <v>8589.8274750020992</v>
      </c>
      <c r="AB577">
        <f t="shared" si="206"/>
        <v>-9576.2058631045365</v>
      </c>
      <c r="AC577">
        <f t="shared" si="207"/>
        <v>-17014.532178568432</v>
      </c>
      <c r="AW577">
        <v>570</v>
      </c>
      <c r="AX577">
        <f t="shared" si="197"/>
        <v>285</v>
      </c>
      <c r="AZ577">
        <f t="shared" si="198"/>
        <v>124750.46668497946</v>
      </c>
      <c r="BB577">
        <f t="shared" si="199"/>
        <v>44552.200219833991</v>
      </c>
      <c r="BD577">
        <f t="shared" si="200"/>
        <v>-1485.8405092631403</v>
      </c>
      <c r="BF577">
        <f t="shared" si="201"/>
        <v>656.28407176092435</v>
      </c>
      <c r="BH577">
        <f t="shared" si="186"/>
        <v>-70.542232003214565</v>
      </c>
      <c r="BJ577">
        <f t="shared" si="187"/>
        <v>-26.487422876929507</v>
      </c>
      <c r="BN577" s="20">
        <f t="shared" si="188"/>
        <v>-39.503421620643635</v>
      </c>
      <c r="BP577">
        <f t="shared" si="189"/>
        <v>-13.973099438863793</v>
      </c>
      <c r="BR577">
        <f t="shared" si="190"/>
        <v>-7.8616514484663309</v>
      </c>
      <c r="BT577">
        <f t="shared" si="191"/>
        <v>-1.8765905293909775</v>
      </c>
      <c r="BV577">
        <f t="shared" si="192"/>
        <v>-23.17715893410459</v>
      </c>
      <c r="BX577">
        <f t="shared" si="193"/>
        <v>-10.637732908674735</v>
      </c>
      <c r="CB577">
        <f t="shared" si="194"/>
        <v>111110.42170674926</v>
      </c>
      <c r="CD577">
        <f t="shared" si="195"/>
        <v>148817.17691701735</v>
      </c>
      <c r="CF577">
        <f t="shared" si="196"/>
        <v>142764.3098116373</v>
      </c>
    </row>
    <row r="578" spans="12:84" x14ac:dyDescent="0.25">
      <c r="L578">
        <v>567</v>
      </c>
      <c r="M578">
        <f t="shared" si="208"/>
        <v>3.5625660691708512</v>
      </c>
      <c r="P578">
        <f t="shared" si="202"/>
        <v>15436.542062982538</v>
      </c>
      <c r="Q578">
        <f t="shared" si="203"/>
        <v>5456.7546263181375</v>
      </c>
      <c r="V578">
        <f t="shared" si="204"/>
        <v>-23194.420555912224</v>
      </c>
      <c r="W578">
        <f t="shared" si="205"/>
        <v>8569.7282384226964</v>
      </c>
      <c r="AB578">
        <f t="shared" si="206"/>
        <v>-9563.4579370174615</v>
      </c>
      <c r="AC578">
        <f t="shared" si="207"/>
        <v>-17043.245373681861</v>
      </c>
      <c r="AW578">
        <v>571</v>
      </c>
      <c r="AX578">
        <f t="shared" si="197"/>
        <v>285.5</v>
      </c>
      <c r="AZ578">
        <f t="shared" si="198"/>
        <v>123998.7286513475</v>
      </c>
      <c r="BB578">
        <f t="shared" si="199"/>
        <v>44877.031327854835</v>
      </c>
      <c r="BD578">
        <f t="shared" si="200"/>
        <v>-1521.1116252647475</v>
      </c>
      <c r="BF578">
        <f t="shared" si="201"/>
        <v>643.04036032245961</v>
      </c>
      <c r="BH578">
        <f t="shared" si="186"/>
        <v>-71.088845095725461</v>
      </c>
      <c r="BJ578">
        <f t="shared" si="187"/>
        <v>-27.062477379865939</v>
      </c>
      <c r="BN578" s="20">
        <f t="shared" si="188"/>
        <v>-39.855896010719484</v>
      </c>
      <c r="BP578">
        <f t="shared" si="189"/>
        <v>-14.324166200017146</v>
      </c>
      <c r="BR578">
        <f t="shared" si="190"/>
        <v>-7.9247678659831742</v>
      </c>
      <c r="BT578">
        <f t="shared" si="191"/>
        <v>-1.9194084539251663</v>
      </c>
      <c r="BV578">
        <f t="shared" si="192"/>
        <v>-23.308181219022803</v>
      </c>
      <c r="BX578">
        <f t="shared" si="193"/>
        <v>-10.81890272592363</v>
      </c>
      <c r="CB578">
        <f t="shared" si="194"/>
        <v>110511.43846670375</v>
      </c>
      <c r="CD578">
        <f t="shared" si="195"/>
        <v>148162.21234663235</v>
      </c>
      <c r="CF578">
        <f t="shared" si="196"/>
        <v>142217.89927537565</v>
      </c>
    </row>
    <row r="579" spans="12:84" x14ac:dyDescent="0.25">
      <c r="L579">
        <v>568</v>
      </c>
      <c r="M579">
        <f t="shared" si="208"/>
        <v>3.5688492544780308</v>
      </c>
      <c r="P579">
        <f t="shared" si="202"/>
        <v>15449.470146575075</v>
      </c>
      <c r="Q579">
        <f t="shared" si="203"/>
        <v>5428.1220950334628</v>
      </c>
      <c r="V579">
        <f t="shared" si="204"/>
        <v>-23185.370897397446</v>
      </c>
      <c r="W579">
        <f t="shared" si="205"/>
        <v>8549.6854665234241</v>
      </c>
      <c r="AB579">
        <f t="shared" si="206"/>
        <v>-9550.529853424925</v>
      </c>
      <c r="AC579">
        <f t="shared" si="207"/>
        <v>-17071.877904966539</v>
      </c>
      <c r="AW579">
        <v>572</v>
      </c>
      <c r="AX579">
        <f t="shared" si="197"/>
        <v>286</v>
      </c>
      <c r="AZ579">
        <f t="shared" si="198"/>
        <v>123229.28673307816</v>
      </c>
      <c r="BB579">
        <f t="shared" si="199"/>
        <v>45195.168698343579</v>
      </c>
      <c r="BD579">
        <f t="shared" si="200"/>
        <v>-1556.6560478126103</v>
      </c>
      <c r="BF579">
        <f t="shared" si="201"/>
        <v>629.50912163252667</v>
      </c>
      <c r="BH579">
        <f t="shared" si="186"/>
        <v>-71.658883718768138</v>
      </c>
      <c r="BJ579">
        <f t="shared" si="187"/>
        <v>-27.65731086771212</v>
      </c>
      <c r="BN579" s="20">
        <f t="shared" si="188"/>
        <v>-40.223492953484005</v>
      </c>
      <c r="BP579">
        <f t="shared" si="189"/>
        <v>-14.687996018404743</v>
      </c>
      <c r="BR579">
        <f t="shared" si="190"/>
        <v>-7.9904318865869035</v>
      </c>
      <c r="BT579">
        <f t="shared" si="191"/>
        <v>-1.9634573671035553</v>
      </c>
      <c r="BV579">
        <f t="shared" si="192"/>
        <v>-23.444958878697228</v>
      </c>
      <c r="BX579">
        <f t="shared" si="193"/>
        <v>-11.005857482203822</v>
      </c>
      <c r="CB579">
        <f t="shared" si="194"/>
        <v>109896.36655784689</v>
      </c>
      <c r="CD579">
        <f t="shared" si="195"/>
        <v>147490.09620232534</v>
      </c>
      <c r="CF579">
        <f t="shared" si="196"/>
        <v>141655.2445576796</v>
      </c>
    </row>
    <row r="580" spans="12:84" x14ac:dyDescent="0.25">
      <c r="L580">
        <v>569</v>
      </c>
      <c r="M580">
        <f t="shared" si="208"/>
        <v>3.5751324397852104</v>
      </c>
      <c r="P580">
        <f t="shared" si="202"/>
        <v>15462.577877294469</v>
      </c>
      <c r="Q580">
        <f t="shared" si="203"/>
        <v>5399.5713579408521</v>
      </c>
      <c r="V580">
        <f t="shared" si="204"/>
        <v>-23176.19548589387</v>
      </c>
      <c r="W580">
        <f t="shared" si="205"/>
        <v>8529.6999505585954</v>
      </c>
      <c r="AB580">
        <f t="shared" si="206"/>
        <v>-9537.4221227055314</v>
      </c>
      <c r="AC580">
        <f t="shared" si="207"/>
        <v>-17100.428642059149</v>
      </c>
      <c r="AW580">
        <v>573</v>
      </c>
      <c r="AX580">
        <f t="shared" si="197"/>
        <v>286.5</v>
      </c>
      <c r="AZ580">
        <f t="shared" si="198"/>
        <v>122442.00134870701</v>
      </c>
      <c r="BB580">
        <f t="shared" si="199"/>
        <v>45506.466095301374</v>
      </c>
      <c r="BD580">
        <f t="shared" si="200"/>
        <v>-1592.4854896719944</v>
      </c>
      <c r="BF580">
        <f t="shared" si="201"/>
        <v>615.68046619867062</v>
      </c>
      <c r="BH580">
        <f t="shared" si="186"/>
        <v>-72.253217590435298</v>
      </c>
      <c r="BJ580">
        <f t="shared" si="187"/>
        <v>-28.27298662163939</v>
      </c>
      <c r="BN580" s="20">
        <f t="shared" si="188"/>
        <v>-40.606812064615539</v>
      </c>
      <c r="BP580">
        <f t="shared" si="189"/>
        <v>-15.065318967351127</v>
      </c>
      <c r="BR580">
        <f t="shared" si="190"/>
        <v>-8.0587426427942148</v>
      </c>
      <c r="BT580">
        <f t="shared" si="191"/>
        <v>-2.0087998603491224</v>
      </c>
      <c r="BV580">
        <f t="shared" si="192"/>
        <v>-23.587662883025541</v>
      </c>
      <c r="BX580">
        <f t="shared" si="193"/>
        <v>-11.198867793939142</v>
      </c>
      <c r="CB580">
        <f t="shared" si="194"/>
        <v>109265.06809306341</v>
      </c>
      <c r="CD580">
        <f t="shared" si="195"/>
        <v>146800.65695630191</v>
      </c>
      <c r="CF580">
        <f t="shared" si="196"/>
        <v>141076.20687807599</v>
      </c>
    </row>
    <row r="581" spans="12:84" x14ac:dyDescent="0.25">
      <c r="L581">
        <v>570</v>
      </c>
      <c r="M581">
        <f t="shared" si="208"/>
        <v>3.5814156250923901</v>
      </c>
      <c r="P581">
        <f t="shared" si="202"/>
        <v>15475.864737669957</v>
      </c>
      <c r="Q581">
        <f t="shared" si="203"/>
        <v>5371.10354217452</v>
      </c>
      <c r="V581">
        <f t="shared" si="204"/>
        <v>-23166.894683631032</v>
      </c>
      <c r="W581">
        <f t="shared" si="205"/>
        <v>8509.7724795221638</v>
      </c>
      <c r="AB581">
        <f t="shared" si="206"/>
        <v>-9524.1352623300427</v>
      </c>
      <c r="AC581">
        <f t="shared" si="207"/>
        <v>-17128.896457825482</v>
      </c>
      <c r="AW581">
        <v>574</v>
      </c>
      <c r="AX581">
        <f t="shared" si="197"/>
        <v>287</v>
      </c>
      <c r="AZ581">
        <f t="shared" si="198"/>
        <v>121636.72695167222</v>
      </c>
      <c r="BB581">
        <f t="shared" si="199"/>
        <v>45810.772205073001</v>
      </c>
      <c r="BD581">
        <f t="shared" si="200"/>
        <v>-1628.612098467212</v>
      </c>
      <c r="BF581">
        <f t="shared" si="201"/>
        <v>601.54397288785094</v>
      </c>
      <c r="BH581">
        <f t="shared" si="186"/>
        <v>-72.872770837873148</v>
      </c>
      <c r="BJ581">
        <f t="shared" si="187"/>
        <v>-28.910638584293487</v>
      </c>
      <c r="BN581" s="20">
        <f t="shared" si="188"/>
        <v>-41.00649100882476</v>
      </c>
      <c r="BP581">
        <f t="shared" si="189"/>
        <v>-15.456915852037012</v>
      </c>
      <c r="BR581">
        <f t="shared" si="190"/>
        <v>-8.1298055044407196</v>
      </c>
      <c r="BT581">
        <f t="shared" si="191"/>
        <v>-2.0555022645391476</v>
      </c>
      <c r="BV581">
        <f t="shared" si="192"/>
        <v>-23.736474324607666</v>
      </c>
      <c r="BX581">
        <f t="shared" si="193"/>
        <v>-11.398220467717326</v>
      </c>
      <c r="CB581">
        <f t="shared" si="194"/>
        <v>108617.39976816683</v>
      </c>
      <c r="CD581">
        <f t="shared" si="195"/>
        <v>146093.71590696907</v>
      </c>
      <c r="CF581">
        <f t="shared" si="196"/>
        <v>140480.64147493656</v>
      </c>
    </row>
    <row r="582" spans="12:84" x14ac:dyDescent="0.25">
      <c r="L582">
        <v>571</v>
      </c>
      <c r="M582">
        <f t="shared" si="208"/>
        <v>3.5876988103995697</v>
      </c>
      <c r="P582">
        <f t="shared" si="202"/>
        <v>15489.330203159043</v>
      </c>
      <c r="Q582">
        <f t="shared" si="203"/>
        <v>5342.7197715950888</v>
      </c>
      <c r="V582">
        <f t="shared" si="204"/>
        <v>-23157.46885778867</v>
      </c>
      <c r="W582">
        <f t="shared" si="205"/>
        <v>8489.9038401165617</v>
      </c>
      <c r="AB582">
        <f t="shared" si="206"/>
        <v>-9510.6697968409571</v>
      </c>
      <c r="AC582">
        <f t="shared" si="207"/>
        <v>-17157.28022840491</v>
      </c>
      <c r="AW582">
        <v>575</v>
      </c>
      <c r="AX582">
        <f t="shared" si="197"/>
        <v>287.5</v>
      </c>
      <c r="AZ582">
        <f t="shared" si="198"/>
        <v>120813.31180608388</v>
      </c>
      <c r="BB582">
        <f t="shared" si="199"/>
        <v>46107.930361693892</v>
      </c>
      <c r="BD582">
        <f t="shared" si="200"/>
        <v>-1665.0484838861487</v>
      </c>
      <c r="BF582">
        <f t="shared" si="201"/>
        <v>587.08865359570416</v>
      </c>
      <c r="BH582">
        <f t="shared" si="186"/>
        <v>-73.518525777080654</v>
      </c>
      <c r="BJ582">
        <f t="shared" si="187"/>
        <v>-29.571477328811326</v>
      </c>
      <c r="BN582" s="20">
        <f t="shared" si="188"/>
        <v>-41.423208212648341</v>
      </c>
      <c r="BP582">
        <f t="shared" si="189"/>
        <v>-15.863622664317246</v>
      </c>
      <c r="BR582">
        <f t="shared" si="190"/>
        <v>-8.2037325369172116</v>
      </c>
      <c r="BT582">
        <f t="shared" si="191"/>
        <v>-2.1036349429583598</v>
      </c>
      <c r="BV582">
        <f t="shared" si="192"/>
        <v>-23.891585027515109</v>
      </c>
      <c r="BX582">
        <f t="shared" si="193"/>
        <v>-11.604219721535722</v>
      </c>
      <c r="CB582">
        <f t="shared" si="194"/>
        <v>107953.21266235709</v>
      </c>
      <c r="CD582">
        <f t="shared" si="195"/>
        <v>145369.08686788377</v>
      </c>
      <c r="CF582">
        <f t="shared" si="196"/>
        <v>139868.3973623224</v>
      </c>
    </row>
    <row r="583" spans="12:84" x14ac:dyDescent="0.25">
      <c r="L583">
        <v>572</v>
      </c>
      <c r="M583">
        <f t="shared" si="208"/>
        <v>3.5939819957067494</v>
      </c>
      <c r="P583">
        <f t="shared" si="202"/>
        <v>15502.9737421682</v>
      </c>
      <c r="Q583">
        <f t="shared" si="203"/>
        <v>5314.4211667452191</v>
      </c>
      <c r="V583">
        <f t="shared" si="204"/>
        <v>-23147.918380482261</v>
      </c>
      <c r="W583">
        <f t="shared" si="205"/>
        <v>8470.0948167216538</v>
      </c>
      <c r="AB583">
        <f t="shared" si="206"/>
        <v>-9497.0262578317997</v>
      </c>
      <c r="AC583">
        <f t="shared" si="207"/>
        <v>-17185.578833254782</v>
      </c>
      <c r="AW583">
        <v>576</v>
      </c>
      <c r="AX583">
        <f t="shared" si="197"/>
        <v>288</v>
      </c>
      <c r="AZ583">
        <f t="shared" si="198"/>
        <v>119971.59774841867</v>
      </c>
      <c r="BB583">
        <f t="shared" si="199"/>
        <v>46397.778253825643</v>
      </c>
      <c r="BD583">
        <f t="shared" si="200"/>
        <v>-1701.8077467746891</v>
      </c>
      <c r="BF583">
        <f t="shared" si="201"/>
        <v>572.30291493129846</v>
      </c>
      <c r="BH583">
        <f t="shared" si="186"/>
        <v>-74.191527022829987</v>
      </c>
      <c r="BJ583">
        <f t="shared" si="187"/>
        <v>-30.256796623726935</v>
      </c>
      <c r="BN583" s="20">
        <f t="shared" si="188"/>
        <v>-41.857685815704947</v>
      </c>
      <c r="BP583">
        <f t="shared" si="189"/>
        <v>-16.286335496757108</v>
      </c>
      <c r="BR583">
        <f t="shared" si="190"/>
        <v>-8.2806430016881976</v>
      </c>
      <c r="BT583">
        <f t="shared" si="191"/>
        <v>-2.1532726111783287</v>
      </c>
      <c r="BV583">
        <f t="shared" si="192"/>
        <v>-24.053198205436843</v>
      </c>
      <c r="BX583">
        <f t="shared" si="193"/>
        <v>-11.8171885157915</v>
      </c>
      <c r="CB583">
        <f t="shared" si="194"/>
        <v>107272.35202723683</v>
      </c>
      <c r="CD583">
        <f t="shared" si="195"/>
        <v>144626.57583604677</v>
      </c>
      <c r="CF583">
        <f t="shared" si="196"/>
        <v>139239.31707064103</v>
      </c>
    </row>
    <row r="584" spans="12:84" x14ac:dyDescent="0.25">
      <c r="L584">
        <v>573</v>
      </c>
      <c r="M584">
        <f t="shared" si="208"/>
        <v>3.600265181013929</v>
      </c>
      <c r="P584">
        <f t="shared" si="202"/>
        <v>15516.794816073878</v>
      </c>
      <c r="Q584">
        <f t="shared" si="203"/>
        <v>5286.2088448053764</v>
      </c>
      <c r="V584">
        <f t="shared" si="204"/>
        <v>-23138.243628748285</v>
      </c>
      <c r="W584">
        <f t="shared" si="205"/>
        <v>8450.3461913637639</v>
      </c>
      <c r="AB584">
        <f t="shared" si="206"/>
        <v>-9483.2051839261221</v>
      </c>
      <c r="AC584">
        <f t="shared" si="207"/>
        <v>-17213.791155194624</v>
      </c>
      <c r="AW584">
        <v>577</v>
      </c>
      <c r="AX584">
        <f t="shared" si="197"/>
        <v>288.5</v>
      </c>
      <c r="AZ584">
        <f t="shared" si="198"/>
        <v>119111.41993415347</v>
      </c>
      <c r="BB584">
        <f t="shared" si="199"/>
        <v>46680.147611713321</v>
      </c>
      <c r="BD584">
        <f t="shared" si="200"/>
        <v>-1738.9035102861042</v>
      </c>
      <c r="BF584">
        <f t="shared" si="201"/>
        <v>557.17451661943494</v>
      </c>
      <c r="BH584">
        <f t="shared" ref="BH584:BH647" si="209">BN584+BR584+BV584</f>
        <v>-74.892885961294397</v>
      </c>
      <c r="BJ584">
        <f t="shared" ref="BJ584:BJ647" si="210">SUM(BP584,BT584,BX584)</f>
        <v>-30.967980663637796</v>
      </c>
      <c r="BN584" s="20">
        <f t="shared" ref="BN584:BN647" si="211">$F$36*($F$32-AZ584)/(CB584^2+$F$37^2)^(3/2)</f>
        <v>-42.310692883986988</v>
      </c>
      <c r="BP584">
        <f t="shared" ref="BP584:BP647" si="212">$F$36*($G$32-BB584)/(CB584^2+($F$37)^2)^(3/2)</f>
        <v>-16.726015971215311</v>
      </c>
      <c r="BR584">
        <f t="shared" ref="BR584:BR647" si="213">$F$47*($F$43-AZ584)/(CD584^2+($F$48)^2)^(3/2)</f>
        <v>-8.3606639036433155</v>
      </c>
      <c r="BT584">
        <f t="shared" ref="BT584:BT647" si="214">$F$47*($G$43-BB584)/(CD584^2+($F$48)^2)^(3/2)</f>
        <v>-2.2044946867965147</v>
      </c>
      <c r="BV584">
        <f t="shared" ref="BV584:BV647" si="215">$F$58*($F$54-AZ584)/(CF584^2+($F$59)^2)^(3/2)</f>
        <v>-24.221529173664091</v>
      </c>
      <c r="BX584">
        <f t="shared" ref="BX584:BX647" si="216">$F$58*($G$54-BB584)/(CF584^2+($F$59)^2)^(3/2)</f>
        <v>-12.037470005625972</v>
      </c>
      <c r="CB584">
        <f t="shared" ref="CB584:CB647" si="217">SQRT(($F$32-AZ584)^2+($G$32-BB584)^2)</f>
        <v>106574.65706367418</v>
      </c>
      <c r="CD584">
        <f t="shared" ref="CD584:CD647" si="218">SQRT(($F$43-AZ584)^2+($G$43-BB584)^2)</f>
        <v>143865.98063793077</v>
      </c>
      <c r="CF584">
        <f t="shared" ref="CF584:CF647" si="219">SQRT(($F$54-AZ584)^2+($G$54-BB584)^2)</f>
        <v>138593.23636986956</v>
      </c>
    </row>
    <row r="585" spans="12:84" x14ac:dyDescent="0.25">
      <c r="L585">
        <v>574</v>
      </c>
      <c r="M585">
        <f t="shared" si="208"/>
        <v>3.6065483663211086</v>
      </c>
      <c r="P585">
        <f t="shared" si="202"/>
        <v>15530.79287924374</v>
      </c>
      <c r="Q585">
        <f t="shared" si="203"/>
        <v>5258.0839195497229</v>
      </c>
      <c r="V585">
        <f t="shared" si="204"/>
        <v>-23128.444984529382</v>
      </c>
      <c r="W585">
        <f t="shared" si="205"/>
        <v>8430.6587436848058</v>
      </c>
      <c r="AB585">
        <f t="shared" si="206"/>
        <v>-9469.2071207562603</v>
      </c>
      <c r="AC585">
        <f t="shared" si="207"/>
        <v>-17241.916080450279</v>
      </c>
      <c r="AW585">
        <v>578</v>
      </c>
      <c r="AX585">
        <f t="shared" ref="AX585:AX648" si="220">$F$17*AW585</f>
        <v>289</v>
      </c>
      <c r="AZ585">
        <f t="shared" ref="AZ585:AZ648" si="221">AZ584+BD584*$F$17+(BH584*0.5)*$F$17^2</f>
        <v>118232.60656826526</v>
      </c>
      <c r="BB585">
        <f t="shared" ref="BB585:BB648" si="222">BB584+(BF584*$F$17)+(BJ584*0.5)*$F$17^2</f>
        <v>46954.863872440081</v>
      </c>
      <c r="BD585">
        <f t="shared" ref="BD585:BD648" si="223">BD584+BH584*$F$17</f>
        <v>-1776.3499532667513</v>
      </c>
      <c r="BF585">
        <f t="shared" ref="BF585:BF648" si="224">BF584+BJ584*$F$17</f>
        <v>541.69052628761608</v>
      </c>
      <c r="BH585">
        <f t="shared" si="209"/>
        <v>-75.6237856216284</v>
      </c>
      <c r="BJ585">
        <f t="shared" si="210"/>
        <v>-31.706512044874771</v>
      </c>
      <c r="BN585" s="20">
        <f t="shared" si="211"/>
        <v>-42.783048911365562</v>
      </c>
      <c r="BP585">
        <f t="shared" si="212"/>
        <v>-17.183697244894184</v>
      </c>
      <c r="BR585">
        <f t="shared" si="213"/>
        <v>-8.4439305904063726</v>
      </c>
      <c r="BT585">
        <f t="shared" si="214"/>
        <v>-2.2573856723355581</v>
      </c>
      <c r="BV585">
        <f t="shared" si="215"/>
        <v>-24.396806119856468</v>
      </c>
      <c r="BX585">
        <f t="shared" si="216"/>
        <v>-12.265429127645026</v>
      </c>
      <c r="CB585">
        <f t="shared" si="217"/>
        <v>105859.96068574922</v>
      </c>
      <c r="CD585">
        <f t="shared" si="218"/>
        <v>143087.09055147981</v>
      </c>
      <c r="CF585">
        <f t="shared" si="219"/>
        <v>137929.98397397657</v>
      </c>
    </row>
    <row r="586" spans="12:84" x14ac:dyDescent="0.25">
      <c r="L586">
        <v>575</v>
      </c>
      <c r="M586">
        <f t="shared" si="208"/>
        <v>3.6128315516282883</v>
      </c>
      <c r="P586">
        <f t="shared" si="202"/>
        <v>15544.96737905822</v>
      </c>
      <c r="Q586">
        <f t="shared" si="203"/>
        <v>5230.0475013021496</v>
      </c>
      <c r="V586">
        <f t="shared" si="204"/>
        <v>-23118.522834659245</v>
      </c>
      <c r="W586">
        <f t="shared" si="205"/>
        <v>8411.0332509115051</v>
      </c>
      <c r="AB586">
        <f t="shared" si="206"/>
        <v>-9455.0326209417799</v>
      </c>
      <c r="AC586">
        <f t="shared" si="207"/>
        <v>-17269.95249869785</v>
      </c>
      <c r="AW586">
        <v>579</v>
      </c>
      <c r="AX586">
        <f t="shared" si="220"/>
        <v>289.5</v>
      </c>
      <c r="AZ586">
        <f t="shared" si="221"/>
        <v>117334.97861842917</v>
      </c>
      <c r="BB586">
        <f t="shared" si="222"/>
        <v>47221.745821578275</v>
      </c>
      <c r="BD586">
        <f t="shared" si="223"/>
        <v>-1814.1618460775655</v>
      </c>
      <c r="BF586">
        <f t="shared" si="224"/>
        <v>525.83727026517874</v>
      </c>
      <c r="BH586">
        <f t="shared" si="209"/>
        <v>-76.385485986866584</v>
      </c>
      <c r="BJ586">
        <f t="shared" si="210"/>
        <v>-32.473980576219844</v>
      </c>
      <c r="BN586" s="20">
        <f t="shared" si="211"/>
        <v>-43.275627638424119</v>
      </c>
      <c r="BP586">
        <f t="shared" si="212"/>
        <v>-17.66049066555486</v>
      </c>
      <c r="BR586">
        <f t="shared" si="213"/>
        <v>-8.5305874093766043</v>
      </c>
      <c r="BT586">
        <f t="shared" si="214"/>
        <v>-2.312035575021111</v>
      </c>
      <c r="BV586">
        <f t="shared" si="215"/>
        <v>-24.579270939065868</v>
      </c>
      <c r="BX586">
        <f t="shared" si="216"/>
        <v>-12.501454335643874</v>
      </c>
      <c r="CB586">
        <f t="shared" si="217"/>
        <v>105128.08927096571</v>
      </c>
      <c r="CD586">
        <f t="shared" si="218"/>
        <v>142289.68590214322</v>
      </c>
      <c r="CF586">
        <f t="shared" si="219"/>
        <v>137249.38122504091</v>
      </c>
    </row>
    <row r="587" spans="12:84" x14ac:dyDescent="0.25">
      <c r="L587">
        <v>576</v>
      </c>
      <c r="M587">
        <f t="shared" si="208"/>
        <v>3.6191147369354679</v>
      </c>
      <c r="P587">
        <f t="shared" ref="P587:P650" si="225">COS(M587)*$F$33+$F$32</f>
        <v>15559.317755932338</v>
      </c>
      <c r="Q587">
        <f t="shared" ref="Q587:Q650" si="226">SIN(M587)*$F$33+$G$32</f>
        <v>5202.1006968924448</v>
      </c>
      <c r="V587">
        <f t="shared" si="204"/>
        <v>-23108.477570847364</v>
      </c>
      <c r="W587">
        <f t="shared" si="205"/>
        <v>8391.4704878247103</v>
      </c>
      <c r="AB587">
        <f t="shared" si="206"/>
        <v>-9440.6822440676624</v>
      </c>
      <c r="AC587">
        <f t="shared" si="207"/>
        <v>-17297.899303107555</v>
      </c>
      <c r="AW587">
        <v>580</v>
      </c>
      <c r="AX587">
        <f t="shared" si="220"/>
        <v>290</v>
      </c>
      <c r="AZ587">
        <f t="shared" si="221"/>
        <v>116418.34950964204</v>
      </c>
      <c r="BB587">
        <f t="shared" si="222"/>
        <v>47480.605209138841</v>
      </c>
      <c r="BD587">
        <f t="shared" si="223"/>
        <v>-1852.3545890709988</v>
      </c>
      <c r="BF587">
        <f t="shared" si="224"/>
        <v>509.60027997706879</v>
      </c>
      <c r="BH587">
        <f t="shared" si="209"/>
        <v>-77.179329789134997</v>
      </c>
      <c r="BJ587">
        <f t="shared" si="210"/>
        <v>-33.27209302718142</v>
      </c>
      <c r="BN587" s="20">
        <f t="shared" si="211"/>
        <v>-43.789361221009649</v>
      </c>
      <c r="BP587">
        <f t="shared" si="212"/>
        <v>-18.157593157747264</v>
      </c>
      <c r="BR587">
        <f t="shared" si="213"/>
        <v>-8.6207884290264118</v>
      </c>
      <c r="BT587">
        <f t="shared" si="214"/>
        <v>-2.3685403676359065</v>
      </c>
      <c r="BV587">
        <f t="shared" si="215"/>
        <v>-24.769180139098932</v>
      </c>
      <c r="BX587">
        <f t="shared" si="216"/>
        <v>-12.74595950179825</v>
      </c>
      <c r="CB587">
        <f t="shared" si="217"/>
        <v>104378.86239585344</v>
      </c>
      <c r="CD587">
        <f t="shared" si="218"/>
        <v>141473.53763081695</v>
      </c>
      <c r="CF587">
        <f t="shared" si="219"/>
        <v>136551.24175541525</v>
      </c>
    </row>
    <row r="588" spans="12:84" x14ac:dyDescent="0.25">
      <c r="L588">
        <v>577</v>
      </c>
      <c r="M588">
        <f t="shared" si="208"/>
        <v>3.6253979222426476</v>
      </c>
      <c r="P588">
        <f t="shared" si="225"/>
        <v>15573.843443337784</v>
      </c>
      <c r="Q588">
        <f t="shared" si="226"/>
        <v>5174.2446096125923</v>
      </c>
      <c r="V588">
        <f t="shared" ref="V588:V651" si="227">COS(M588)*$F$44+$F$43</f>
        <v>-23098.30958966355</v>
      </c>
      <c r="W588">
        <f t="shared" ref="W588:W651" si="228">SIN(M588)*$F$44+$G$43</f>
        <v>8371.9712267288141</v>
      </c>
      <c r="AB588">
        <f t="shared" ref="AB588:AB651" si="229">COS(M588)*$F$55+$F$54</f>
        <v>-9426.1565566622157</v>
      </c>
      <c r="AC588">
        <f t="shared" ref="AC588:AC651" si="230">SIN(M588)*$F$55+$G$54</f>
        <v>-17325.755390387407</v>
      </c>
      <c r="AW588">
        <v>581</v>
      </c>
      <c r="AX588">
        <f t="shared" si="220"/>
        <v>290.5</v>
      </c>
      <c r="AZ588">
        <f t="shared" si="221"/>
        <v>115482.52479888289</v>
      </c>
      <c r="BB588">
        <f t="shared" si="222"/>
        <v>47731.246337498975</v>
      </c>
      <c r="BD588">
        <f t="shared" si="223"/>
        <v>-1890.9442539655663</v>
      </c>
      <c r="BF588">
        <f t="shared" si="224"/>
        <v>492.96423346347808</v>
      </c>
      <c r="BH588">
        <f t="shared" si="209"/>
        <v>-78.006748839360625</v>
      </c>
      <c r="BJ588">
        <f t="shared" si="210"/>
        <v>-34.102683930749336</v>
      </c>
      <c r="BN588" s="20">
        <f t="shared" si="211"/>
        <v>-44.325244784554584</v>
      </c>
      <c r="BP588">
        <f t="shared" si="212"/>
        <v>-18.676295433677311</v>
      </c>
      <c r="BR588">
        <f t="shared" si="213"/>
        <v>-8.7146982318354436</v>
      </c>
      <c r="BT588">
        <f t="shared" si="214"/>
        <v>-2.4270024951960525</v>
      </c>
      <c r="BV588">
        <f t="shared" si="215"/>
        <v>-24.966805822970603</v>
      </c>
      <c r="BX588">
        <f t="shared" si="216"/>
        <v>-12.999386001875971</v>
      </c>
      <c r="CB588">
        <f t="shared" si="217"/>
        <v>103612.09255602268</v>
      </c>
      <c r="CD588">
        <f t="shared" si="218"/>
        <v>140638.40683135224</v>
      </c>
      <c r="CF588">
        <f t="shared" si="219"/>
        <v>135835.37112611506</v>
      </c>
    </row>
    <row r="589" spans="12:84" x14ac:dyDescent="0.25">
      <c r="L589">
        <v>578</v>
      </c>
      <c r="M589">
        <f t="shared" ref="M589:M652" si="231">M588+$O$5</f>
        <v>3.6316811075498272</v>
      </c>
      <c r="P589">
        <f t="shared" si="225"/>
        <v>15588.543867825294</v>
      </c>
      <c r="Q589">
        <f t="shared" si="226"/>
        <v>5146.4803391732212</v>
      </c>
      <c r="V589">
        <f t="shared" si="227"/>
        <v>-23088.019292522295</v>
      </c>
      <c r="W589">
        <f t="shared" si="228"/>
        <v>8352.5362374212546</v>
      </c>
      <c r="AB589">
        <f t="shared" si="229"/>
        <v>-9411.456132174706</v>
      </c>
      <c r="AC589">
        <f t="shared" si="230"/>
        <v>-17353.51966082678</v>
      </c>
      <c r="AW589">
        <v>582</v>
      </c>
      <c r="AX589">
        <f t="shared" si="220"/>
        <v>291</v>
      </c>
      <c r="AZ589">
        <f t="shared" si="221"/>
        <v>114527.30182829518</v>
      </c>
      <c r="BB589">
        <f t="shared" si="222"/>
        <v>47973.46561873937</v>
      </c>
      <c r="BD589">
        <f t="shared" si="223"/>
        <v>-1929.9476283852466</v>
      </c>
      <c r="BF589">
        <f t="shared" si="224"/>
        <v>475.91289149810342</v>
      </c>
      <c r="BH589">
        <f t="shared" si="209"/>
        <v>-78.869270947540997</v>
      </c>
      <c r="BJ589">
        <f t="shared" si="210"/>
        <v>-34.96772757427302</v>
      </c>
      <c r="BN589" s="20">
        <f t="shared" si="211"/>
        <v>-44.884341404344973</v>
      </c>
      <c r="BP589">
        <f t="shared" si="212"/>
        <v>-19.217991136024786</v>
      </c>
      <c r="BR589">
        <f t="shared" si="213"/>
        <v>-8.8124927872295498</v>
      </c>
      <c r="BT589">
        <f t="shared" si="214"/>
        <v>-2.4875314328267071</v>
      </c>
      <c r="BV589">
        <f t="shared" si="215"/>
        <v>-25.172436755966473</v>
      </c>
      <c r="BX589">
        <f t="shared" si="216"/>
        <v>-13.262205005421526</v>
      </c>
      <c r="CB589">
        <f t="shared" si="217"/>
        <v>102827.58486966859</v>
      </c>
      <c r="CD589">
        <f t="shared" si="218"/>
        <v>139784.04425505368</v>
      </c>
      <c r="CF589">
        <f t="shared" si="219"/>
        <v>135101.56643942706</v>
      </c>
    </row>
    <row r="590" spans="12:84" x14ac:dyDescent="0.25">
      <c r="L590">
        <v>579</v>
      </c>
      <c r="M590">
        <f t="shared" si="231"/>
        <v>3.6379642928570068</v>
      </c>
      <c r="P590">
        <f t="shared" si="225"/>
        <v>15603.41844904728</v>
      </c>
      <c r="Q590">
        <f t="shared" si="226"/>
        <v>5118.8089816601896</v>
      </c>
      <c r="V590">
        <f t="shared" si="227"/>
        <v>-23077.607085666903</v>
      </c>
      <c r="W590">
        <f t="shared" si="228"/>
        <v>8333.166287162132</v>
      </c>
      <c r="AB590">
        <f t="shared" si="229"/>
        <v>-9396.5815509527201</v>
      </c>
      <c r="AC590">
        <f t="shared" si="230"/>
        <v>-17381.19101833981</v>
      </c>
      <c r="AW590">
        <v>583</v>
      </c>
      <c r="AX590">
        <f t="shared" si="220"/>
        <v>291.5</v>
      </c>
      <c r="AZ590">
        <f t="shared" si="221"/>
        <v>113552.46935523412</v>
      </c>
      <c r="BB590">
        <f t="shared" si="222"/>
        <v>48207.051098541633</v>
      </c>
      <c r="BD590">
        <f t="shared" si="223"/>
        <v>-1969.382263859017</v>
      </c>
      <c r="BF590">
        <f t="shared" si="224"/>
        <v>458.42902771096692</v>
      </c>
      <c r="BH590">
        <f t="shared" si="209"/>
        <v>-79.768527496219178</v>
      </c>
      <c r="BJ590">
        <f t="shared" si="210"/>
        <v>-35.869351331517741</v>
      </c>
      <c r="BN590" s="20">
        <f t="shared" si="211"/>
        <v>-45.467787556508</v>
      </c>
      <c r="BP590">
        <f t="shared" si="212"/>
        <v>-19.784187035965754</v>
      </c>
      <c r="BR590">
        <f t="shared" si="213"/>
        <v>-8.9143604140275396</v>
      </c>
      <c r="BT590">
        <f t="shared" si="214"/>
        <v>-2.5502443009393794</v>
      </c>
      <c r="BV590">
        <f t="shared" si="215"/>
        <v>-25.386379525683637</v>
      </c>
      <c r="BX590">
        <f t="shared" si="216"/>
        <v>-13.534919994612608</v>
      </c>
      <c r="CB590">
        <f t="shared" si="217"/>
        <v>102025.13676345305</v>
      </c>
      <c r="CD590">
        <f t="shared" si="218"/>
        <v>138910.18977932225</v>
      </c>
      <c r="CF590">
        <f t="shared" si="219"/>
        <v>134349.61592352015</v>
      </c>
    </row>
    <row r="591" spans="12:84" x14ac:dyDescent="0.25">
      <c r="L591">
        <v>580</v>
      </c>
      <c r="M591">
        <f t="shared" si="231"/>
        <v>3.6442474781641865</v>
      </c>
      <c r="P591">
        <f t="shared" si="225"/>
        <v>15618.466599780746</v>
      </c>
      <c r="Q591">
        <f t="shared" si="226"/>
        <v>5091.231629491308</v>
      </c>
      <c r="V591">
        <f t="shared" si="227"/>
        <v>-23067.073380153477</v>
      </c>
      <c r="W591">
        <f t="shared" si="228"/>
        <v>8313.8621406439161</v>
      </c>
      <c r="AB591">
        <f t="shared" si="229"/>
        <v>-9381.533400219254</v>
      </c>
      <c r="AC591">
        <f t="shared" si="230"/>
        <v>-17408.768370508693</v>
      </c>
      <c r="AW591">
        <v>584</v>
      </c>
      <c r="AX591">
        <f t="shared" si="220"/>
        <v>292</v>
      </c>
      <c r="AZ591">
        <f t="shared" si="221"/>
        <v>112557.80715736758</v>
      </c>
      <c r="BB591">
        <f t="shared" si="222"/>
        <v>48431.781943480681</v>
      </c>
      <c r="BD591">
        <f t="shared" si="223"/>
        <v>-2009.2665276071266</v>
      </c>
      <c r="BF591">
        <f t="shared" si="224"/>
        <v>440.49435204520807</v>
      </c>
      <c r="BH591">
        <f t="shared" si="209"/>
        <v>-80.706261737239515</v>
      </c>
      <c r="BJ591">
        <f t="shared" si="210"/>
        <v>-36.809850511562217</v>
      </c>
      <c r="BN591" s="20">
        <f t="shared" si="211"/>
        <v>-46.076799089634186</v>
      </c>
      <c r="BP591">
        <f t="shared" si="212"/>
        <v>-20.376514428262901</v>
      </c>
      <c r="BR591">
        <f t="shared" si="213"/>
        <v>-9.0205028432134764</v>
      </c>
      <c r="BT591">
        <f t="shared" si="214"/>
        <v>-2.6152665446507402</v>
      </c>
      <c r="BV591">
        <f t="shared" si="215"/>
        <v>-25.608959804391844</v>
      </c>
      <c r="BX591">
        <f t="shared" si="216"/>
        <v>-13.818069538648579</v>
      </c>
      <c r="CB591">
        <f t="shared" si="217"/>
        <v>101204.5376396192</v>
      </c>
      <c r="CD591">
        <f t="shared" si="218"/>
        <v>138016.57183730183</v>
      </c>
      <c r="CF591">
        <f t="shared" si="219"/>
        <v>133579.29848660724</v>
      </c>
    </row>
    <row r="592" spans="12:84" x14ac:dyDescent="0.25">
      <c r="L592">
        <v>581</v>
      </c>
      <c r="M592">
        <f t="shared" si="231"/>
        <v>3.6505306634713661</v>
      </c>
      <c r="P592">
        <f t="shared" si="225"/>
        <v>15633.687725950464</v>
      </c>
      <c r="Q592">
        <f t="shared" si="226"/>
        <v>5063.7493713732238</v>
      </c>
      <c r="V592">
        <f t="shared" si="227"/>
        <v>-23056.418591834677</v>
      </c>
      <c r="W592">
        <f t="shared" si="228"/>
        <v>8294.6245599612557</v>
      </c>
      <c r="AB592">
        <f t="shared" si="229"/>
        <v>-9366.3122740495364</v>
      </c>
      <c r="AC592">
        <f t="shared" si="230"/>
        <v>-17436.250628626778</v>
      </c>
      <c r="AW592">
        <v>585</v>
      </c>
      <c r="AX592">
        <f t="shared" si="220"/>
        <v>292.5</v>
      </c>
      <c r="AZ592">
        <f t="shared" si="221"/>
        <v>111543.08561084686</v>
      </c>
      <c r="BB592">
        <f t="shared" si="222"/>
        <v>48647.427888189341</v>
      </c>
      <c r="BD592">
        <f t="shared" si="223"/>
        <v>-2049.6196584757463</v>
      </c>
      <c r="BF592">
        <f t="shared" si="224"/>
        <v>422.08942678942697</v>
      </c>
      <c r="BH592">
        <f t="shared" si="209"/>
        <v>-81.684337890266931</v>
      </c>
      <c r="BJ592">
        <f t="shared" si="210"/>
        <v>-37.791704926603728</v>
      </c>
      <c r="BN592" s="20">
        <f t="shared" si="211"/>
        <v>-46.712677772744804</v>
      </c>
      <c r="BP592">
        <f t="shared" si="212"/>
        <v>-20.996741887084621</v>
      </c>
      <c r="BR592">
        <f t="shared" si="213"/>
        <v>-9.1311363933725378</v>
      </c>
      <c r="BT592">
        <f t="shared" si="214"/>
        <v>-2.6827326853505649</v>
      </c>
      <c r="BV592">
        <f t="shared" si="215"/>
        <v>-25.840523724149584</v>
      </c>
      <c r="BX592">
        <f t="shared" si="216"/>
        <v>-14.112230354168545</v>
      </c>
      <c r="CB592">
        <f t="shared" si="217"/>
        <v>100365.56852311741</v>
      </c>
      <c r="CD592">
        <f t="shared" si="218"/>
        <v>137102.90680505423</v>
      </c>
      <c r="CF592">
        <f t="shared" si="219"/>
        <v>132790.38323794174</v>
      </c>
    </row>
    <row r="593" spans="12:84" x14ac:dyDescent="0.25">
      <c r="L593">
        <v>582</v>
      </c>
      <c r="M593">
        <f t="shared" si="231"/>
        <v>3.6568138487785458</v>
      </c>
      <c r="P593">
        <f t="shared" si="225"/>
        <v>15649.081226652437</v>
      </c>
      <c r="Q593">
        <f t="shared" si="226"/>
        <v>5036.3632922584275</v>
      </c>
      <c r="V593">
        <f t="shared" si="227"/>
        <v>-23045.643141343295</v>
      </c>
      <c r="W593">
        <f t="shared" si="228"/>
        <v>8275.4543045808987</v>
      </c>
      <c r="AB593">
        <f t="shared" si="229"/>
        <v>-9350.9187733475628</v>
      </c>
      <c r="AC593">
        <f t="shared" si="230"/>
        <v>-17463.636707741571</v>
      </c>
      <c r="AW593">
        <v>586</v>
      </c>
      <c r="AX593">
        <f t="shared" si="220"/>
        <v>293</v>
      </c>
      <c r="AZ593">
        <f t="shared" si="221"/>
        <v>110508.06523937271</v>
      </c>
      <c r="BB593">
        <f t="shared" si="222"/>
        <v>48853.748638468234</v>
      </c>
      <c r="BD593">
        <f t="shared" si="223"/>
        <v>-2090.4618274208797</v>
      </c>
      <c r="BF593">
        <f t="shared" si="224"/>
        <v>403.19357432612509</v>
      </c>
      <c r="BH593">
        <f t="shared" si="209"/>
        <v>-82.704751130960716</v>
      </c>
      <c r="BJ593">
        <f t="shared" si="210"/>
        <v>-38.817597411598157</v>
      </c>
      <c r="BN593" s="20">
        <f t="shared" si="211"/>
        <v>-47.376818481724563</v>
      </c>
      <c r="BP593">
        <f t="shared" si="212"/>
        <v>-21.6467895717572</v>
      </c>
      <c r="BR593">
        <f t="shared" si="213"/>
        <v>-9.2464932728908575</v>
      </c>
      <c r="BT593">
        <f t="shared" si="214"/>
        <v>-2.7527871534471586</v>
      </c>
      <c r="BV593">
        <f t="shared" si="215"/>
        <v>-26.081439376345291</v>
      </c>
      <c r="BX593">
        <f t="shared" si="216"/>
        <v>-14.418020686393797</v>
      </c>
      <c r="CB593">
        <f t="shared" si="217"/>
        <v>99508.001687443</v>
      </c>
      <c r="CD593">
        <f t="shared" si="218"/>
        <v>136168.89834241016</v>
      </c>
      <c r="CF593">
        <f t="shared" si="219"/>
        <v>131982.62897263363</v>
      </c>
    </row>
    <row r="594" spans="12:84" x14ac:dyDescent="0.25">
      <c r="L594">
        <v>583</v>
      </c>
      <c r="M594">
        <f t="shared" si="231"/>
        <v>3.6630970340857254</v>
      </c>
      <c r="P594">
        <f t="shared" si="225"/>
        <v>15664.646494177616</v>
      </c>
      <c r="Q594">
        <f t="shared" si="226"/>
        <v>5009.0744733024312</v>
      </c>
      <c r="V594">
        <f t="shared" si="227"/>
        <v>-23034.74745407567</v>
      </c>
      <c r="W594">
        <f t="shared" si="228"/>
        <v>8256.3521313117017</v>
      </c>
      <c r="AB594">
        <f t="shared" si="229"/>
        <v>-9335.3535058223842</v>
      </c>
      <c r="AC594">
        <f t="shared" si="230"/>
        <v>-17490.925526697571</v>
      </c>
      <c r="AW594">
        <v>587</v>
      </c>
      <c r="AX594">
        <f t="shared" si="220"/>
        <v>293.5</v>
      </c>
      <c r="AZ594">
        <f t="shared" si="221"/>
        <v>109452.49623177089</v>
      </c>
      <c r="BB594">
        <f t="shared" si="222"/>
        <v>49050.493225954851</v>
      </c>
      <c r="BD594">
        <f t="shared" si="223"/>
        <v>-2131.8142029863602</v>
      </c>
      <c r="BF594">
        <f t="shared" si="224"/>
        <v>383.784775620326</v>
      </c>
      <c r="BH594">
        <f t="shared" si="209"/>
        <v>-83.769638567392747</v>
      </c>
      <c r="BJ594">
        <f t="shared" si="210"/>
        <v>-39.890434564902677</v>
      </c>
      <c r="BN594" s="20">
        <f t="shared" si="211"/>
        <v>-48.07071709356503</v>
      </c>
      <c r="BP594">
        <f t="shared" si="212"/>
        <v>-22.328745301727665</v>
      </c>
      <c r="BR594">
        <f t="shared" si="213"/>
        <v>-9.3668230250760569</v>
      </c>
      <c r="BT594">
        <f t="shared" si="214"/>
        <v>-2.8255852126216405</v>
      </c>
      <c r="BV594">
        <f t="shared" si="215"/>
        <v>-26.332098448751655</v>
      </c>
      <c r="BX594">
        <f t="shared" si="216"/>
        <v>-14.736104050553376</v>
      </c>
      <c r="CB594">
        <f t="shared" si="217"/>
        <v>98631.600257803293</v>
      </c>
      <c r="CD594">
        <f t="shared" si="218"/>
        <v>135214.2366832243</v>
      </c>
      <c r="CF594">
        <f t="shared" si="219"/>
        <v>131155.78361693249</v>
      </c>
    </row>
    <row r="595" spans="12:84" x14ac:dyDescent="0.25">
      <c r="L595">
        <v>584</v>
      </c>
      <c r="M595">
        <f t="shared" si="231"/>
        <v>3.669380219392905</v>
      </c>
      <c r="P595">
        <f t="shared" si="225"/>
        <v>15680.38291403589</v>
      </c>
      <c r="Q595">
        <f t="shared" si="226"/>
        <v>4981.8839918210815</v>
      </c>
      <c r="V595">
        <f t="shared" si="227"/>
        <v>-23023.731960174875</v>
      </c>
      <c r="W595">
        <f t="shared" si="228"/>
        <v>8237.3187942747572</v>
      </c>
      <c r="AB595">
        <f t="shared" si="229"/>
        <v>-9319.6170859641097</v>
      </c>
      <c r="AC595">
        <f t="shared" si="230"/>
        <v>-17518.11600817892</v>
      </c>
      <c r="AW595">
        <v>588</v>
      </c>
      <c r="AX595">
        <f t="shared" si="220"/>
        <v>294</v>
      </c>
      <c r="AZ595">
        <f t="shared" si="221"/>
        <v>108376.11792545678</v>
      </c>
      <c r="BB595">
        <f t="shared" si="222"/>
        <v>49237.399309444401</v>
      </c>
      <c r="BD595">
        <f t="shared" si="223"/>
        <v>-2173.6990222700565</v>
      </c>
      <c r="BF595">
        <f t="shared" si="224"/>
        <v>363.83955833787468</v>
      </c>
      <c r="BH595">
        <f t="shared" si="209"/>
        <v>-84.881291315267802</v>
      </c>
      <c r="BJ595">
        <f t="shared" si="210"/>
        <v>-41.013370021664599</v>
      </c>
      <c r="BN595" s="20">
        <f t="shared" si="211"/>
        <v>-48.795979165758816</v>
      </c>
      <c r="BP595">
        <f t="shared" si="212"/>
        <v>-23.044882655452742</v>
      </c>
      <c r="BR595">
        <f t="shared" si="213"/>
        <v>-9.4923941347470144</v>
      </c>
      <c r="BT595">
        <f t="shared" si="214"/>
        <v>-2.9012939874375108</v>
      </c>
      <c r="BV595">
        <f t="shared" si="215"/>
        <v>-26.59291801476197</v>
      </c>
      <c r="BX595">
        <f t="shared" si="216"/>
        <v>-15.067193378774348</v>
      </c>
      <c r="CB595">
        <f t="shared" si="217"/>
        <v>97736.117790150922</v>
      </c>
      <c r="CD595">
        <f t="shared" si="218"/>
        <v>134238.59787028309</v>
      </c>
      <c r="CF595">
        <f t="shared" si="219"/>
        <v>130309.58363024605</v>
      </c>
    </row>
    <row r="596" spans="12:84" x14ac:dyDescent="0.25">
      <c r="L596">
        <v>585</v>
      </c>
      <c r="M596">
        <f t="shared" si="231"/>
        <v>3.6756634047000847</v>
      </c>
      <c r="P596">
        <f t="shared" si="225"/>
        <v>15696.28986498035</v>
      </c>
      <c r="Q596">
        <f t="shared" si="226"/>
        <v>4954.7929212480285</v>
      </c>
      <c r="V596">
        <f t="shared" si="227"/>
        <v>-23012.597094513756</v>
      </c>
      <c r="W596">
        <f t="shared" si="228"/>
        <v>8218.3550448736205</v>
      </c>
      <c r="AB596">
        <f t="shared" si="229"/>
        <v>-9303.7101350196499</v>
      </c>
      <c r="AC596">
        <f t="shared" si="230"/>
        <v>-17545.20707875197</v>
      </c>
      <c r="AW596">
        <v>589</v>
      </c>
      <c r="AX596">
        <f t="shared" si="220"/>
        <v>294.5</v>
      </c>
      <c r="AZ596">
        <f t="shared" si="221"/>
        <v>107278.65825290733</v>
      </c>
      <c r="BB596">
        <f t="shared" si="222"/>
        <v>49414.192417360631</v>
      </c>
      <c r="BD596">
        <f t="shared" si="223"/>
        <v>-2216.1396679276904</v>
      </c>
      <c r="BF596">
        <f t="shared" si="224"/>
        <v>343.33287332704236</v>
      </c>
      <c r="BH596">
        <f t="shared" si="209"/>
        <v>-86.042167796070288</v>
      </c>
      <c r="BJ596">
        <f t="shared" si="210"/>
        <v>-42.189830621943258</v>
      </c>
      <c r="BN596" s="20">
        <f t="shared" si="211"/>
        <v>-49.554329487108717</v>
      </c>
      <c r="BP596">
        <f t="shared" si="212"/>
        <v>-23.79768138984624</v>
      </c>
      <c r="BR596">
        <f t="shared" si="213"/>
        <v>-9.6234958176433381</v>
      </c>
      <c r="BT596">
        <f t="shared" si="214"/>
        <v>-2.9800936079210723</v>
      </c>
      <c r="BV596">
        <f t="shared" si="215"/>
        <v>-26.864342491318229</v>
      </c>
      <c r="BX596">
        <f t="shared" si="216"/>
        <v>-15.412055624175949</v>
      </c>
      <c r="CB596">
        <f t="shared" si="217"/>
        <v>96821.297824535082</v>
      </c>
      <c r="CD596">
        <f t="shared" si="218"/>
        <v>133241.64292957779</v>
      </c>
      <c r="CF596">
        <f t="shared" si="219"/>
        <v>129443.75335972731</v>
      </c>
    </row>
    <row r="597" spans="12:84" x14ac:dyDescent="0.25">
      <c r="L597">
        <v>586</v>
      </c>
      <c r="M597">
        <f t="shared" si="231"/>
        <v>3.6819465900072643</v>
      </c>
      <c r="P597">
        <f t="shared" si="225"/>
        <v>15712.366719031808</v>
      </c>
      <c r="Q597">
        <f t="shared" si="226"/>
        <v>4927.8023310923536</v>
      </c>
      <c r="V597">
        <f t="shared" si="227"/>
        <v>-23001.343296677736</v>
      </c>
      <c r="W597">
        <f t="shared" si="228"/>
        <v>8199.4616317646469</v>
      </c>
      <c r="AB597">
        <f t="shared" si="229"/>
        <v>-9287.6332809681917</v>
      </c>
      <c r="AC597">
        <f t="shared" si="230"/>
        <v>-17572.197668907647</v>
      </c>
      <c r="AW597">
        <v>590</v>
      </c>
      <c r="AX597">
        <f t="shared" si="220"/>
        <v>295</v>
      </c>
      <c r="AZ597">
        <f t="shared" si="221"/>
        <v>106159.83314796898</v>
      </c>
      <c r="BB597">
        <f t="shared" si="222"/>
        <v>49580.585125196412</v>
      </c>
      <c r="BD597">
        <f t="shared" si="223"/>
        <v>-2259.1607518257256</v>
      </c>
      <c r="BF597">
        <f t="shared" si="224"/>
        <v>322.23795801607071</v>
      </c>
      <c r="BH597">
        <f t="shared" si="209"/>
        <v>-87.254908397465698</v>
      </c>
      <c r="BJ597">
        <f t="shared" si="210"/>
        <v>-43.423545894923294</v>
      </c>
      <c r="BN597" s="20">
        <f t="shared" si="211"/>
        <v>-50.347622596077329</v>
      </c>
      <c r="BP597">
        <f t="shared" si="212"/>
        <v>-24.589850526601641</v>
      </c>
      <c r="BR597">
        <f t="shared" si="213"/>
        <v>-9.7604400172894827</v>
      </c>
      <c r="BT597">
        <f t="shared" si="214"/>
        <v>-3.0621784867977153</v>
      </c>
      <c r="BV597">
        <f t="shared" si="215"/>
        <v>-27.146845784098883</v>
      </c>
      <c r="BX597">
        <f t="shared" si="216"/>
        <v>-15.77151688152394</v>
      </c>
      <c r="CB597">
        <f t="shared" si="217"/>
        <v>95886.873411144014</v>
      </c>
      <c r="CD597">
        <f t="shared" si="218"/>
        <v>132223.01697804467</v>
      </c>
      <c r="CF597">
        <f t="shared" si="219"/>
        <v>128558.00434277534</v>
      </c>
    </row>
    <row r="598" spans="12:84" x14ac:dyDescent="0.25">
      <c r="L598">
        <v>587</v>
      </c>
      <c r="M598">
        <f t="shared" si="231"/>
        <v>3.688229775314444</v>
      </c>
      <c r="P598">
        <f t="shared" si="225"/>
        <v>15728.612841503593</v>
      </c>
      <c r="Q598">
        <f t="shared" si="226"/>
        <v>4900.9132868963388</v>
      </c>
      <c r="V598">
        <f t="shared" si="227"/>
        <v>-22989.971010947484</v>
      </c>
      <c r="W598">
        <f t="shared" si="228"/>
        <v>8180.6393008274372</v>
      </c>
      <c r="AB598">
        <f t="shared" si="229"/>
        <v>-9271.3871584964072</v>
      </c>
      <c r="AC598">
        <f t="shared" si="230"/>
        <v>-17599.086713103661</v>
      </c>
      <c r="AW598">
        <v>591</v>
      </c>
      <c r="AX598">
        <f t="shared" si="220"/>
        <v>295.5</v>
      </c>
      <c r="AZ598">
        <f t="shared" si="221"/>
        <v>105019.34590850644</v>
      </c>
      <c r="BB598">
        <f t="shared" si="222"/>
        <v>49736.276160967587</v>
      </c>
      <c r="BD598">
        <f t="shared" si="223"/>
        <v>-2302.7882060244583</v>
      </c>
      <c r="BF598">
        <f t="shared" si="224"/>
        <v>300.52618506860904</v>
      </c>
      <c r="BH598">
        <f t="shared" si="209"/>
        <v>-88.522351652421975</v>
      </c>
      <c r="BJ598">
        <f t="shared" si="210"/>
        <v>-44.718581351000246</v>
      </c>
      <c r="BN598" s="20">
        <f t="shared" si="211"/>
        <v>-51.17785437368601</v>
      </c>
      <c r="BP598">
        <f t="shared" si="212"/>
        <v>-25.424354510783346</v>
      </c>
      <c r="BR598">
        <f t="shared" si="213"/>
        <v>-9.9035636378116898</v>
      </c>
      <c r="BT598">
        <f t="shared" si="214"/>
        <v>-3.1477587474965816</v>
      </c>
      <c r="BV598">
        <f t="shared" si="215"/>
        <v>-27.440933640924268</v>
      </c>
      <c r="BX598">
        <f t="shared" si="216"/>
        <v>-16.146468092720319</v>
      </c>
      <c r="CB598">
        <f t="shared" si="217"/>
        <v>94932.566607333385</v>
      </c>
      <c r="CD598">
        <f t="shared" si="218"/>
        <v>131182.34825818398</v>
      </c>
      <c r="CF598">
        <f t="shared" si="219"/>
        <v>127652.03455223364</v>
      </c>
    </row>
    <row r="599" spans="12:84" x14ac:dyDescent="0.25">
      <c r="L599">
        <v>588</v>
      </c>
      <c r="M599">
        <f t="shared" si="231"/>
        <v>3.6945129606216236</v>
      </c>
      <c r="P599">
        <f t="shared" si="225"/>
        <v>15745.02759102661</v>
      </c>
      <c r="Q599">
        <f t="shared" si="226"/>
        <v>4874.1268501934082</v>
      </c>
      <c r="V599">
        <f t="shared" si="227"/>
        <v>-22978.480686281371</v>
      </c>
      <c r="W599">
        <f t="shared" si="228"/>
        <v>8161.8887951353854</v>
      </c>
      <c r="AB599">
        <f t="shared" si="229"/>
        <v>-9254.97240897339</v>
      </c>
      <c r="AC599">
        <f t="shared" si="230"/>
        <v>-17625.873149806594</v>
      </c>
      <c r="AW599">
        <v>592</v>
      </c>
      <c r="AX599">
        <f t="shared" si="220"/>
        <v>296</v>
      </c>
      <c r="AZ599">
        <f t="shared" si="221"/>
        <v>103856.88651153767</v>
      </c>
      <c r="BB599">
        <f t="shared" si="222"/>
        <v>49880.949430833018</v>
      </c>
      <c r="BD599">
        <f t="shared" si="223"/>
        <v>-2347.0493818506693</v>
      </c>
      <c r="BF599">
        <f t="shared" si="224"/>
        <v>278.16689439310892</v>
      </c>
      <c r="BH599">
        <f t="shared" si="209"/>
        <v>-89.847552112714695</v>
      </c>
      <c r="BJ599">
        <f t="shared" si="210"/>
        <v>-46.079376157247268</v>
      </c>
      <c r="BN599" s="20">
        <f t="shared" si="211"/>
        <v>-52.047174829909601</v>
      </c>
      <c r="BP599">
        <f t="shared" si="212"/>
        <v>-26.304442917525112</v>
      </c>
      <c r="BR599">
        <f t="shared" si="213"/>
        <v>-10.053231045762026</v>
      </c>
      <c r="BT599">
        <f t="shared" si="214"/>
        <v>-3.2370618238911386</v>
      </c>
      <c r="BV599">
        <f t="shared" si="215"/>
        <v>-27.747146237043065</v>
      </c>
      <c r="BX599">
        <f t="shared" si="216"/>
        <v>-16.537871415831017</v>
      </c>
      <c r="CB599">
        <f t="shared" si="217"/>
        <v>93958.087943868537</v>
      </c>
      <c r="CD599">
        <f t="shared" si="218"/>
        <v>130119.24709218302</v>
      </c>
      <c r="CF599">
        <f t="shared" si="219"/>
        <v>126725.5275784327</v>
      </c>
    </row>
    <row r="600" spans="12:84" x14ac:dyDescent="0.25">
      <c r="L600">
        <v>589</v>
      </c>
      <c r="M600">
        <f t="shared" si="231"/>
        <v>3.7007961459288032</v>
      </c>
      <c r="P600">
        <f t="shared" si="225"/>
        <v>15761.610319574655</v>
      </c>
      <c r="Q600">
        <f t="shared" si="226"/>
        <v>4847.4440784662165</v>
      </c>
      <c r="V600">
        <f t="shared" si="227"/>
        <v>-22966.872776297743</v>
      </c>
      <c r="W600">
        <f t="shared" si="228"/>
        <v>8143.2108549263512</v>
      </c>
      <c r="AB600">
        <f t="shared" si="229"/>
        <v>-9238.3896804253454</v>
      </c>
      <c r="AC600">
        <f t="shared" si="230"/>
        <v>-17652.555921533785</v>
      </c>
      <c r="AW600">
        <v>593</v>
      </c>
      <c r="AX600">
        <f t="shared" si="220"/>
        <v>296.5</v>
      </c>
      <c r="AZ600">
        <f t="shared" si="221"/>
        <v>102672.13087659824</v>
      </c>
      <c r="BB600">
        <f t="shared" si="222"/>
        <v>50014.272956009918</v>
      </c>
      <c r="BD600">
        <f t="shared" si="223"/>
        <v>-2391.9731579070267</v>
      </c>
      <c r="BF600">
        <f t="shared" si="224"/>
        <v>255.12720631448528</v>
      </c>
      <c r="BH600">
        <f t="shared" si="209"/>
        <v>-91.233800113963127</v>
      </c>
      <c r="BJ600">
        <f t="shared" si="210"/>
        <v>-47.510785871641403</v>
      </c>
      <c r="BN600" s="20">
        <f t="shared" si="211"/>
        <v>-52.957902215474725</v>
      </c>
      <c r="BP600">
        <f t="shared" si="212"/>
        <v>-27.233684266915283</v>
      </c>
      <c r="BR600">
        <f t="shared" si="213"/>
        <v>-10.209836879395109</v>
      </c>
      <c r="BT600">
        <f t="shared" si="214"/>
        <v>-3.3303342561108802</v>
      </c>
      <c r="BV600">
        <f t="shared" si="215"/>
        <v>-28.066061019093297</v>
      </c>
      <c r="BX600">
        <f t="shared" si="216"/>
        <v>-16.946767348615236</v>
      </c>
      <c r="CB600">
        <f t="shared" si="217"/>
        <v>92963.135858551497</v>
      </c>
      <c r="CD600">
        <f t="shared" si="218"/>
        <v>129033.30474727567</v>
      </c>
      <c r="CF600">
        <f t="shared" si="219"/>
        <v>125778.1517414923</v>
      </c>
    </row>
    <row r="601" spans="12:84" x14ac:dyDescent="0.25">
      <c r="L601">
        <v>590</v>
      </c>
      <c r="M601">
        <f t="shared" si="231"/>
        <v>3.7070793312359829</v>
      </c>
      <c r="P601">
        <f t="shared" si="225"/>
        <v>15778.360372489997</v>
      </c>
      <c r="Q601">
        <f t="shared" si="226"/>
        <v>4820.8660251049041</v>
      </c>
      <c r="V601">
        <f t="shared" si="227"/>
        <v>-22955.147739257001</v>
      </c>
      <c r="W601">
        <f t="shared" si="228"/>
        <v>8124.6062175734323</v>
      </c>
      <c r="AB601">
        <f t="shared" si="229"/>
        <v>-9221.6396275100033</v>
      </c>
      <c r="AC601">
        <f t="shared" si="230"/>
        <v>-17679.133974895096</v>
      </c>
      <c r="AW601">
        <v>594</v>
      </c>
      <c r="AX601">
        <f t="shared" si="220"/>
        <v>297</v>
      </c>
      <c r="AZ601">
        <f t="shared" si="221"/>
        <v>101464.74007263048</v>
      </c>
      <c r="BB601">
        <f t="shared" si="222"/>
        <v>50135.897710933205</v>
      </c>
      <c r="BD601">
        <f t="shared" si="223"/>
        <v>-2437.5900579640083</v>
      </c>
      <c r="BF601">
        <f t="shared" si="224"/>
        <v>231.37181337866457</v>
      </c>
      <c r="BH601">
        <f t="shared" si="209"/>
        <v>-92.684643653299531</v>
      </c>
      <c r="BJ601">
        <f t="shared" si="210"/>
        <v>-49.018131030917374</v>
      </c>
      <c r="BN601" s="20">
        <f t="shared" si="211"/>
        <v>-53.912538604942576</v>
      </c>
      <c r="BP601">
        <f t="shared" si="212"/>
        <v>-28.216004608223475</v>
      </c>
      <c r="BR601">
        <f t="shared" si="213"/>
        <v>-10.373809210243177</v>
      </c>
      <c r="BT601">
        <f t="shared" si="214"/>
        <v>-3.4278437107434718</v>
      </c>
      <c r="BV601">
        <f t="shared" si="215"/>
        <v>-28.398295838113782</v>
      </c>
      <c r="BX601">
        <f t="shared" si="216"/>
        <v>-17.374282711950425</v>
      </c>
      <c r="CB601">
        <f t="shared" si="217"/>
        <v>91947.396095367512</v>
      </c>
      <c r="CD601">
        <f t="shared" si="218"/>
        <v>127924.09220304899</v>
      </c>
      <c r="CF601">
        <f t="shared" si="219"/>
        <v>124809.55912646244</v>
      </c>
    </row>
    <row r="602" spans="12:84" x14ac:dyDescent="0.25">
      <c r="L602">
        <v>591</v>
      </c>
      <c r="M602">
        <f t="shared" si="231"/>
        <v>3.7133625165431625</v>
      </c>
      <c r="P602">
        <f t="shared" si="225"/>
        <v>15795.277088509229</v>
      </c>
      <c r="Q602">
        <f t="shared" si="226"/>
        <v>4794.3937393655078</v>
      </c>
      <c r="V602">
        <f t="shared" si="227"/>
        <v>-22943.306038043542</v>
      </c>
      <c r="W602">
        <f t="shared" si="228"/>
        <v>8106.0756175558554</v>
      </c>
      <c r="AB602">
        <f t="shared" si="229"/>
        <v>-9204.7229114907714</v>
      </c>
      <c r="AC602">
        <f t="shared" si="230"/>
        <v>-17705.606260634493</v>
      </c>
      <c r="AW602">
        <v>595</v>
      </c>
      <c r="AX602">
        <f t="shared" si="220"/>
        <v>297.5</v>
      </c>
      <c r="AZ602">
        <f t="shared" si="221"/>
        <v>100234.35946319181</v>
      </c>
      <c r="BB602">
        <f t="shared" si="222"/>
        <v>50245.456351243673</v>
      </c>
      <c r="BD602">
        <f t="shared" si="223"/>
        <v>-2483.9323797906582</v>
      </c>
      <c r="BF602">
        <f t="shared" si="224"/>
        <v>206.86274786320587</v>
      </c>
      <c r="BH602">
        <f t="shared" si="209"/>
        <v>-94.203912627319255</v>
      </c>
      <c r="BJ602">
        <f t="shared" si="210"/>
        <v>-50.607252530325269</v>
      </c>
      <c r="BN602" s="20">
        <f t="shared" si="211"/>
        <v>-54.913787111751979</v>
      </c>
      <c r="BP602">
        <f t="shared" si="212"/>
        <v>-29.255731656257961</v>
      </c>
      <c r="BR602">
        <f t="shared" si="213"/>
        <v>-10.545613109452045</v>
      </c>
      <c r="BT602">
        <f t="shared" si="214"/>
        <v>-3.5298812584724071</v>
      </c>
      <c r="BV602">
        <f t="shared" si="215"/>
        <v>-28.744512406115231</v>
      </c>
      <c r="BX602">
        <f t="shared" si="216"/>
        <v>-17.821639615594904</v>
      </c>
      <c r="CB602">
        <f t="shared" si="217"/>
        <v>90910.541067275335</v>
      </c>
      <c r="CD602">
        <f t="shared" si="218"/>
        <v>126791.1588102415</v>
      </c>
      <c r="CF602">
        <f t="shared" si="219"/>
        <v>123819.38453291677</v>
      </c>
    </row>
    <row r="603" spans="12:84" x14ac:dyDescent="0.25">
      <c r="L603">
        <v>592</v>
      </c>
      <c r="M603">
        <f t="shared" si="231"/>
        <v>3.7196457018503422</v>
      </c>
      <c r="P603">
        <f t="shared" si="225"/>
        <v>15812.359799789365</v>
      </c>
      <c r="Q603">
        <f t="shared" si="226"/>
        <v>4768.0282663285416</v>
      </c>
      <c r="V603">
        <f t="shared" si="227"/>
        <v>-22931.348140147446</v>
      </c>
      <c r="W603">
        <f t="shared" si="228"/>
        <v>8087.6197864299793</v>
      </c>
      <c r="AB603">
        <f t="shared" si="229"/>
        <v>-9187.6402002106352</v>
      </c>
      <c r="AC603">
        <f t="shared" si="230"/>
        <v>-17731.97173367146</v>
      </c>
      <c r="AW603">
        <v>596</v>
      </c>
      <c r="AX603">
        <f t="shared" si="220"/>
        <v>298</v>
      </c>
      <c r="AZ603">
        <f t="shared" si="221"/>
        <v>98980.617784218062</v>
      </c>
      <c r="BB603">
        <f t="shared" si="222"/>
        <v>50342.561818608985</v>
      </c>
      <c r="BD603">
        <f t="shared" si="223"/>
        <v>-2531.0343361043178</v>
      </c>
      <c r="BF603">
        <f t="shared" si="224"/>
        <v>181.55912159804325</v>
      </c>
      <c r="BH603">
        <f t="shared" si="209"/>
        <v>-95.795745707214508</v>
      </c>
      <c r="BJ603">
        <f t="shared" si="210"/>
        <v>-52.284574906271004</v>
      </c>
      <c r="BN603" s="20">
        <f t="shared" si="211"/>
        <v>-55.964570911263642</v>
      </c>
      <c r="BP603">
        <f t="shared" si="212"/>
        <v>-30.357645409515161</v>
      </c>
      <c r="BR603">
        <f t="shared" si="213"/>
        <v>-10.725754680449546</v>
      </c>
      <c r="BT603">
        <f t="shared" si="214"/>
        <v>-3.6367639478223128</v>
      </c>
      <c r="BV603">
        <f t="shared" si="215"/>
        <v>-29.105420115501317</v>
      </c>
      <c r="BX603">
        <f t="shared" si="216"/>
        <v>-18.29016554893353</v>
      </c>
      <c r="CB603">
        <f t="shared" si="217"/>
        <v>89852.229180794806</v>
      </c>
      <c r="CD603">
        <f t="shared" si="218"/>
        <v>125634.03082924019</v>
      </c>
      <c r="CF603">
        <f t="shared" si="219"/>
        <v>122807.24432950355</v>
      </c>
    </row>
    <row r="604" spans="12:84" x14ac:dyDescent="0.25">
      <c r="L604">
        <v>593</v>
      </c>
      <c r="M604">
        <f t="shared" si="231"/>
        <v>3.7259288871575218</v>
      </c>
      <c r="P604">
        <f t="shared" si="225"/>
        <v>15829.60783193422</v>
      </c>
      <c r="Q604">
        <f t="shared" si="226"/>
        <v>4741.7706468577362</v>
      </c>
      <c r="V604">
        <f t="shared" si="227"/>
        <v>-22919.274517646048</v>
      </c>
      <c r="W604">
        <f t="shared" si="228"/>
        <v>8069.2394528004152</v>
      </c>
      <c r="AB604">
        <f t="shared" si="229"/>
        <v>-9170.3921680657804</v>
      </c>
      <c r="AC604">
        <f t="shared" si="230"/>
        <v>-17758.229353142262</v>
      </c>
      <c r="AW604">
        <v>597</v>
      </c>
      <c r="AX604">
        <f t="shared" si="220"/>
        <v>298.5</v>
      </c>
      <c r="AZ604">
        <f t="shared" si="221"/>
        <v>97703.126147952498</v>
      </c>
      <c r="BB604">
        <f t="shared" si="222"/>
        <v>50426.805807544719</v>
      </c>
      <c r="BD604">
        <f t="shared" si="223"/>
        <v>-2578.932208957925</v>
      </c>
      <c r="BF604">
        <f t="shared" si="224"/>
        <v>155.41683414490774</v>
      </c>
      <c r="BH604">
        <f t="shared" si="209"/>
        <v>-97.464620159883992</v>
      </c>
      <c r="BJ604">
        <f t="shared" si="210"/>
        <v>-54.057178841478823</v>
      </c>
      <c r="BN604" s="20">
        <f t="shared" si="211"/>
        <v>-57.06805426330758</v>
      </c>
      <c r="BP604">
        <f t="shared" si="212"/>
        <v>-31.527036357725493</v>
      </c>
      <c r="BR604">
        <f t="shared" si="213"/>
        <v>-10.914785630429526</v>
      </c>
      <c r="BT604">
        <f t="shared" si="214"/>
        <v>-3.7488377203992362</v>
      </c>
      <c r="BV604">
        <f t="shared" si="215"/>
        <v>-29.481780266146892</v>
      </c>
      <c r="BX604">
        <f t="shared" si="216"/>
        <v>-18.781304763354093</v>
      </c>
      <c r="CB604">
        <f t="shared" si="217"/>
        <v>88772.104120626071</v>
      </c>
      <c r="CD604">
        <f t="shared" si="218"/>
        <v>124452.20983494728</v>
      </c>
      <c r="CF604">
        <f t="shared" si="219"/>
        <v>121772.73520267339</v>
      </c>
    </row>
    <row r="605" spans="12:84" x14ac:dyDescent="0.25">
      <c r="L605">
        <v>594</v>
      </c>
      <c r="M605">
        <f t="shared" si="231"/>
        <v>3.7322120724647014</v>
      </c>
      <c r="P605">
        <f t="shared" si="225"/>
        <v>15847.020504021013</v>
      </c>
      <c r="Q605">
        <f t="shared" si="226"/>
        <v>4715.6219175589476</v>
      </c>
      <c r="V605">
        <f t="shared" si="227"/>
        <v>-22907.085647185293</v>
      </c>
      <c r="W605">
        <f t="shared" si="228"/>
        <v>8050.9353422912636</v>
      </c>
      <c r="AB605">
        <f t="shared" si="229"/>
        <v>-9152.979495978987</v>
      </c>
      <c r="AC605">
        <f t="shared" si="230"/>
        <v>-17784.378082441053</v>
      </c>
      <c r="AW605">
        <v>598</v>
      </c>
      <c r="AX605">
        <f t="shared" si="220"/>
        <v>299</v>
      </c>
      <c r="AZ605">
        <f t="shared" si="221"/>
        <v>96401.476965953538</v>
      </c>
      <c r="BB605">
        <f t="shared" si="222"/>
        <v>50497.757077261987</v>
      </c>
      <c r="BD605">
        <f t="shared" si="223"/>
        <v>-2627.6645190378672</v>
      </c>
      <c r="BF605">
        <f t="shared" si="224"/>
        <v>128.38824472416832</v>
      </c>
      <c r="BH605">
        <f t="shared" si="209"/>
        <v>-99.215384958176799</v>
      </c>
      <c r="BJ605">
        <f t="shared" si="210"/>
        <v>-55.932884465336713</v>
      </c>
      <c r="BN605" s="20">
        <f t="shared" si="211"/>
        <v>-58.227665740541489</v>
      </c>
      <c r="BP605">
        <f t="shared" si="212"/>
        <v>-32.769772602740488</v>
      </c>
      <c r="BR605">
        <f t="shared" si="213"/>
        <v>-11.113308466276784</v>
      </c>
      <c r="BT605">
        <f t="shared" si="214"/>
        <v>-3.8664807210616083</v>
      </c>
      <c r="BV605">
        <f t="shared" si="215"/>
        <v>-29.874410751358532</v>
      </c>
      <c r="BX605">
        <f t="shared" si="216"/>
        <v>-19.296631141534622</v>
      </c>
      <c r="CB605">
        <f t="shared" si="217"/>
        <v>87669.794092688287</v>
      </c>
      <c r="CD605">
        <f t="shared" si="218"/>
        <v>123245.17097292021</v>
      </c>
      <c r="CF605">
        <f t="shared" si="219"/>
        <v>120715.43278731527</v>
      </c>
    </row>
    <row r="606" spans="12:84" x14ac:dyDescent="0.25">
      <c r="L606">
        <v>595</v>
      </c>
      <c r="M606">
        <f t="shared" si="231"/>
        <v>3.7384952577718811</v>
      </c>
      <c r="P606">
        <f t="shared" si="225"/>
        <v>15864.597128627267</v>
      </c>
      <c r="Q606">
        <f t="shared" si="226"/>
        <v>4689.5831107392351</v>
      </c>
      <c r="V606">
        <f t="shared" si="227"/>
        <v>-22894.782009960913</v>
      </c>
      <c r="W606">
        <f t="shared" si="228"/>
        <v>8032.7081775174647</v>
      </c>
      <c r="AB606">
        <f t="shared" si="229"/>
        <v>-9135.402871372733</v>
      </c>
      <c r="AC606">
        <f t="shared" si="230"/>
        <v>-17810.416889260763</v>
      </c>
      <c r="AW606">
        <v>599</v>
      </c>
      <c r="AX606">
        <f t="shared" si="220"/>
        <v>299.5</v>
      </c>
      <c r="AZ606">
        <f t="shared" si="221"/>
        <v>95075.242783314825</v>
      </c>
      <c r="BB606">
        <f t="shared" si="222"/>
        <v>50554.959589065904</v>
      </c>
      <c r="BD606">
        <f t="shared" si="223"/>
        <v>-2677.2722115169554</v>
      </c>
      <c r="BF606">
        <f t="shared" si="224"/>
        <v>100.42180249149996</v>
      </c>
      <c r="BH606">
        <f t="shared" si="209"/>
        <v>-101.05329755974358</v>
      </c>
      <c r="BJ606">
        <f t="shared" si="210"/>
        <v>-57.920347329981716</v>
      </c>
      <c r="BN606" s="20">
        <f t="shared" si="211"/>
        <v>-59.44712388191887</v>
      </c>
      <c r="BP606">
        <f t="shared" si="212"/>
        <v>-34.09237748067661</v>
      </c>
      <c r="BR606">
        <f t="shared" si="213"/>
        <v>-11.321982416430924</v>
      </c>
      <c r="BT606">
        <f t="shared" si="214"/>
        <v>-3.9901070661312255</v>
      </c>
      <c r="BV606">
        <f t="shared" si="215"/>
        <v>-30.284191261393783</v>
      </c>
      <c r="BX606">
        <f t="shared" si="216"/>
        <v>-19.837862783173883</v>
      </c>
      <c r="CB606">
        <f t="shared" si="217"/>
        <v>86544.911024217727</v>
      </c>
      <c r="CD606">
        <f t="shared" si="218"/>
        <v>122012.36104964784</v>
      </c>
      <c r="CF606">
        <f t="shared" si="219"/>
        <v>119634.89016530031</v>
      </c>
    </row>
    <row r="607" spans="12:84" x14ac:dyDescent="0.25">
      <c r="L607">
        <v>596</v>
      </c>
      <c r="M607">
        <f t="shared" si="231"/>
        <v>3.7447784430790607</v>
      </c>
      <c r="P607">
        <f t="shared" si="225"/>
        <v>15882.337011857941</v>
      </c>
      <c r="Q607">
        <f t="shared" si="226"/>
        <v>4663.6552543661055</v>
      </c>
      <c r="V607">
        <f t="shared" si="227"/>
        <v>-22882.364091699441</v>
      </c>
      <c r="W607">
        <f t="shared" si="228"/>
        <v>8014.5586780562744</v>
      </c>
      <c r="AB607">
        <f t="shared" si="229"/>
        <v>-9117.6629881420595</v>
      </c>
      <c r="AC607">
        <f t="shared" si="230"/>
        <v>-17836.344745633894</v>
      </c>
      <c r="AW607">
        <v>600</v>
      </c>
      <c r="AX607">
        <f t="shared" si="220"/>
        <v>300</v>
      </c>
      <c r="AZ607">
        <f t="shared" si="221"/>
        <v>93723.975015361386</v>
      </c>
      <c r="BB607">
        <f t="shared" si="222"/>
        <v>50597.930446895407</v>
      </c>
      <c r="BD607">
        <f t="shared" si="223"/>
        <v>-2727.7988602968271</v>
      </c>
      <c r="BF607">
        <f t="shared" si="224"/>
        <v>71.461628826509099</v>
      </c>
      <c r="BH607">
        <f t="shared" si="209"/>
        <v>-102.98406477130783</v>
      </c>
      <c r="BJ607">
        <f t="shared" si="210"/>
        <v>-60.029169318758179</v>
      </c>
      <c r="BN607" s="20">
        <f t="shared" si="211"/>
        <v>-60.730465499968112</v>
      </c>
      <c r="BP607">
        <f t="shared" si="212"/>
        <v>-35.502119596506368</v>
      </c>
      <c r="BR607">
        <f t="shared" si="213"/>
        <v>-11.54153019943486</v>
      </c>
      <c r="BT607">
        <f t="shared" si="214"/>
        <v>-4.120171144423221</v>
      </c>
      <c r="BV607">
        <f t="shared" si="215"/>
        <v>-30.712069071904867</v>
      </c>
      <c r="BX607">
        <f t="shared" si="216"/>
        <v>-20.406878577828589</v>
      </c>
      <c r="CB607">
        <f t="shared" si="217"/>
        <v>85397.049719946794</v>
      </c>
      <c r="CD607">
        <f t="shared" si="218"/>
        <v>120753.19643746702</v>
      </c>
      <c r="CF607">
        <f t="shared" si="219"/>
        <v>118530.63621591435</v>
      </c>
    </row>
    <row r="608" spans="12:84" x14ac:dyDescent="0.25">
      <c r="L608">
        <v>597</v>
      </c>
      <c r="M608">
        <f t="shared" si="231"/>
        <v>3.7510616283862404</v>
      </c>
      <c r="P608">
        <f t="shared" si="225"/>
        <v>15900.239453372817</v>
      </c>
      <c r="Q608">
        <f t="shared" si="226"/>
        <v>4637.8393720269341</v>
      </c>
      <c r="V608">
        <f t="shared" si="227"/>
        <v>-22869.83238263903</v>
      </c>
      <c r="W608">
        <f t="shared" si="228"/>
        <v>7996.4875604188537</v>
      </c>
      <c r="AB608">
        <f t="shared" si="229"/>
        <v>-9099.7605466271834</v>
      </c>
      <c r="AC608">
        <f t="shared" si="230"/>
        <v>-17862.160627973066</v>
      </c>
      <c r="AW608">
        <v>601</v>
      </c>
      <c r="AX608">
        <f t="shared" si="220"/>
        <v>300.5</v>
      </c>
      <c r="AZ608">
        <f t="shared" si="221"/>
        <v>92347.20257711655</v>
      </c>
      <c r="BB608">
        <f t="shared" si="222"/>
        <v>50626.15761514382</v>
      </c>
      <c r="BD608">
        <f t="shared" si="223"/>
        <v>-2779.2908926824812</v>
      </c>
      <c r="BF608">
        <f t="shared" si="224"/>
        <v>41.447044167130009</v>
      </c>
      <c r="BH608">
        <f t="shared" si="209"/>
        <v>-105.01388815200873</v>
      </c>
      <c r="BJ608">
        <f t="shared" si="210"/>
        <v>-62.270027204826469</v>
      </c>
      <c r="BN608" s="20">
        <f t="shared" si="211"/>
        <v>-62.082076873811218</v>
      </c>
      <c r="BP608">
        <f t="shared" si="212"/>
        <v>-37.007117579723925</v>
      </c>
      <c r="BR608">
        <f t="shared" si="213"/>
        <v>-11.772745783368638</v>
      </c>
      <c r="BT608">
        <f t="shared" si="214"/>
        <v>-4.2571725400092237</v>
      </c>
      <c r="BV608">
        <f t="shared" si="215"/>
        <v>-31.159065494828877</v>
      </c>
      <c r="BX608">
        <f t="shared" si="216"/>
        <v>-21.005737085093322</v>
      </c>
      <c r="CB608">
        <f t="shared" si="217"/>
        <v>84225.786973946218</v>
      </c>
      <c r="CD608">
        <f t="shared" si="218"/>
        <v>119467.06077188881</v>
      </c>
      <c r="CF608">
        <f t="shared" si="219"/>
        <v>117402.17379979754</v>
      </c>
    </row>
    <row r="609" spans="12:84" x14ac:dyDescent="0.25">
      <c r="L609">
        <v>598</v>
      </c>
      <c r="M609">
        <f t="shared" si="231"/>
        <v>3.75734481369342</v>
      </c>
      <c r="P609">
        <f t="shared" si="225"/>
        <v>15918.30374641416</v>
      </c>
      <c r="Q609">
        <f t="shared" si="226"/>
        <v>4612.1364828885507</v>
      </c>
      <c r="V609">
        <f t="shared" si="227"/>
        <v>-22857.18737751009</v>
      </c>
      <c r="W609">
        <f t="shared" si="228"/>
        <v>7978.4955380219853</v>
      </c>
      <c r="AB609">
        <f t="shared" si="229"/>
        <v>-9081.6962535858402</v>
      </c>
      <c r="AC609">
        <f t="shared" si="230"/>
        <v>-17887.863517111451</v>
      </c>
      <c r="AW609">
        <v>602</v>
      </c>
      <c r="AX609">
        <f t="shared" si="220"/>
        <v>301</v>
      </c>
      <c r="AZ609">
        <f t="shared" si="221"/>
        <v>90944.430394756317</v>
      </c>
      <c r="BB609">
        <f t="shared" si="222"/>
        <v>50639.097383826782</v>
      </c>
      <c r="BD609">
        <f t="shared" si="223"/>
        <v>-2831.7978367584856</v>
      </c>
      <c r="BF609">
        <f t="shared" si="224"/>
        <v>10.312030564716775</v>
      </c>
      <c r="BH609">
        <f t="shared" si="209"/>
        <v>-107.14951444315362</v>
      </c>
      <c r="BJ609">
        <f t="shared" si="210"/>
        <v>-64.65482214534083</v>
      </c>
      <c r="BN609" s="20">
        <f t="shared" si="211"/>
        <v>-63.5067280529668</v>
      </c>
      <c r="BP609">
        <f t="shared" si="212"/>
        <v>-38.61646236020286</v>
      </c>
      <c r="BR609">
        <f t="shared" si="213"/>
        <v>-12.016503309045417</v>
      </c>
      <c r="BT609">
        <f t="shared" si="214"/>
        <v>-4.4016616828063357</v>
      </c>
      <c r="BV609">
        <f t="shared" si="215"/>
        <v>-31.626283081141413</v>
      </c>
      <c r="BX609">
        <f t="shared" si="216"/>
        <v>-21.636698102331643</v>
      </c>
      <c r="CB609">
        <f t="shared" si="217"/>
        <v>83030.680637507205</v>
      </c>
      <c r="CD609">
        <f t="shared" si="218"/>
        <v>118153.30241592525</v>
      </c>
      <c r="CF609">
        <f t="shared" si="219"/>
        <v>116248.97775523765</v>
      </c>
    </row>
    <row r="610" spans="12:84" x14ac:dyDescent="0.25">
      <c r="L610">
        <v>599</v>
      </c>
      <c r="M610">
        <f t="shared" si="231"/>
        <v>3.7636279990005996</v>
      </c>
      <c r="P610">
        <f t="shared" si="225"/>
        <v>15936.529177834609</v>
      </c>
      <c r="Q610">
        <f t="shared" si="226"/>
        <v>4586.5476016570083</v>
      </c>
      <c r="V610">
        <f t="shared" si="227"/>
        <v>-22844.429575515773</v>
      </c>
      <c r="W610">
        <f t="shared" si="228"/>
        <v>7960.5833211599056</v>
      </c>
      <c r="AB610">
        <f t="shared" si="229"/>
        <v>-9063.4708221653909</v>
      </c>
      <c r="AC610">
        <f t="shared" si="230"/>
        <v>-17913.45239834299</v>
      </c>
      <c r="AW610">
        <v>603</v>
      </c>
      <c r="AX610">
        <f t="shared" si="220"/>
        <v>301.5</v>
      </c>
      <c r="AZ610">
        <f t="shared" si="221"/>
        <v>89515.137787071682</v>
      </c>
      <c r="BB610">
        <f t="shared" si="222"/>
        <v>50636.171546340971</v>
      </c>
      <c r="BD610">
        <f t="shared" si="223"/>
        <v>-2885.3725939800624</v>
      </c>
      <c r="BF610">
        <f t="shared" si="224"/>
        <v>-22.01538050795364</v>
      </c>
      <c r="BH610">
        <f t="shared" si="209"/>
        <v>-109.39829153835657</v>
      </c>
      <c r="BJ610">
        <f t="shared" si="210"/>
        <v>-67.196854098274684</v>
      </c>
      <c r="BN610" s="20">
        <f t="shared" si="211"/>
        <v>-65.009610474395117</v>
      </c>
      <c r="BP610">
        <f t="shared" si="212"/>
        <v>-40.340360371203147</v>
      </c>
      <c r="BR610">
        <f t="shared" si="213"/>
        <v>-12.273767385094928</v>
      </c>
      <c r="BT610">
        <f t="shared" si="214"/>
        <v>-4.5542463540550004</v>
      </c>
      <c r="BV610">
        <f t="shared" si="215"/>
        <v>-32.114913678866529</v>
      </c>
      <c r="BX610">
        <f t="shared" si="216"/>
        <v>-22.302247373016542</v>
      </c>
      <c r="CB610">
        <f t="shared" si="217"/>
        <v>81811.26864455115</v>
      </c>
      <c r="CD610">
        <f t="shared" si="218"/>
        <v>116811.23166230612</v>
      </c>
      <c r="CF610">
        <f t="shared" si="219"/>
        <v>115070.49268239815</v>
      </c>
    </row>
    <row r="611" spans="12:84" x14ac:dyDescent="0.25">
      <c r="L611">
        <v>600</v>
      </c>
      <c r="M611">
        <f t="shared" si="231"/>
        <v>3.7699111843077793</v>
      </c>
      <c r="P611">
        <f t="shared" si="225"/>
        <v>15954.915028125342</v>
      </c>
      <c r="Q611">
        <f t="shared" si="226"/>
        <v>4561.0737385375232</v>
      </c>
      <c r="V611">
        <f t="shared" si="227"/>
        <v>-22831.559480312259</v>
      </c>
      <c r="W611">
        <f t="shared" si="228"/>
        <v>7942.7516169762666</v>
      </c>
      <c r="AB611">
        <f t="shared" si="229"/>
        <v>-9045.0849718746576</v>
      </c>
      <c r="AC611">
        <f t="shared" si="230"/>
        <v>-17938.926261462475</v>
      </c>
      <c r="AW611">
        <v>604</v>
      </c>
      <c r="AX611">
        <f t="shared" si="220"/>
        <v>302</v>
      </c>
      <c r="AZ611">
        <f t="shared" si="221"/>
        <v>88058.776703639363</v>
      </c>
      <c r="BB611">
        <f t="shared" si="222"/>
        <v>50616.764249324704</v>
      </c>
      <c r="BD611">
        <f t="shared" si="223"/>
        <v>-2940.0717397492408</v>
      </c>
      <c r="BF611">
        <f t="shared" si="224"/>
        <v>-55.613807557090979</v>
      </c>
      <c r="BH611">
        <f t="shared" si="209"/>
        <v>-111.76823052134472</v>
      </c>
      <c r="BJ611">
        <f t="shared" si="210"/>
        <v>-69.911026019862604</v>
      </c>
      <c r="BN611" s="20">
        <f t="shared" si="211"/>
        <v>-66.596378048578515</v>
      </c>
      <c r="BP611">
        <f t="shared" si="212"/>
        <v>-42.190301842817533</v>
      </c>
      <c r="BR611">
        <f t="shared" si="213"/>
        <v>-12.545605006569794</v>
      </c>
      <c r="BT611">
        <f t="shared" si="214"/>
        <v>-4.7155991994478246</v>
      </c>
      <c r="BV611">
        <f t="shared" si="215"/>
        <v>-32.626247466196418</v>
      </c>
      <c r="BX611">
        <f t="shared" si="216"/>
        <v>-23.005124977597244</v>
      </c>
      <c r="CB611">
        <f t="shared" si="217"/>
        <v>80567.067997586273</v>
      </c>
      <c r="CD611">
        <f t="shared" si="218"/>
        <v>115440.11764015234</v>
      </c>
      <c r="CF611">
        <f t="shared" si="219"/>
        <v>113866.13048720532</v>
      </c>
    </row>
    <row r="612" spans="12:84" x14ac:dyDescent="0.25">
      <c r="L612">
        <v>601</v>
      </c>
      <c r="M612">
        <f t="shared" si="231"/>
        <v>3.7761943696149589</v>
      </c>
      <c r="P612">
        <f t="shared" si="225"/>
        <v>15973.460571444471</v>
      </c>
      <c r="Q612">
        <f t="shared" si="226"/>
        <v>4535.7158991945935</v>
      </c>
      <c r="V612">
        <f t="shared" si="227"/>
        <v>-22818.577599988868</v>
      </c>
      <c r="W612">
        <f t="shared" si="228"/>
        <v>7925.0011294362157</v>
      </c>
      <c r="AB612">
        <f t="shared" si="229"/>
        <v>-9026.5394285555285</v>
      </c>
      <c r="AC612">
        <f t="shared" si="230"/>
        <v>-17964.284100805406</v>
      </c>
      <c r="AW612">
        <v>605</v>
      </c>
      <c r="AX612">
        <f t="shared" si="220"/>
        <v>302.5</v>
      </c>
      <c r="AZ612">
        <f t="shared" si="221"/>
        <v>86574.769804949581</v>
      </c>
      <c r="BB612">
        <f t="shared" si="222"/>
        <v>50580.218467293678</v>
      </c>
      <c r="BD612">
        <f t="shared" si="223"/>
        <v>-2995.9558550099132</v>
      </c>
      <c r="BF612">
        <f t="shared" si="224"/>
        <v>-90.569320567022288</v>
      </c>
      <c r="BH612">
        <f t="shared" si="209"/>
        <v>-114.26807428937252</v>
      </c>
      <c r="BJ612">
        <f t="shared" si="210"/>
        <v>-72.814083786286432</v>
      </c>
      <c r="BN612" s="20">
        <f t="shared" si="211"/>
        <v>-68.273191787658021</v>
      </c>
      <c r="BP612">
        <f t="shared" si="212"/>
        <v>-44.17925929430821</v>
      </c>
      <c r="BR612">
        <f t="shared" si="213"/>
        <v>-12.833199402693246</v>
      </c>
      <c r="BT612">
        <f t="shared" si="214"/>
        <v>-4.886466434304686</v>
      </c>
      <c r="BV612">
        <f t="shared" si="215"/>
        <v>-33.161683099021239</v>
      </c>
      <c r="BX612">
        <f t="shared" si="216"/>
        <v>-23.748358057673538</v>
      </c>
      <c r="CB612">
        <f t="shared" si="217"/>
        <v>79297.573719324966</v>
      </c>
      <c r="CD612">
        <f t="shared" si="218"/>
        <v>114039.18488761342</v>
      </c>
      <c r="CF612">
        <f t="shared" si="219"/>
        <v>112635.26765204349</v>
      </c>
    </row>
    <row r="613" spans="12:84" x14ac:dyDescent="0.25">
      <c r="L613">
        <v>602</v>
      </c>
      <c r="M613">
        <f t="shared" si="231"/>
        <v>3.7824775549221386</v>
      </c>
      <c r="P613">
        <f t="shared" si="225"/>
        <v>15992.1650756457</v>
      </c>
      <c r="Q613">
        <f t="shared" si="226"/>
        <v>4510.4750847122959</v>
      </c>
      <c r="V613">
        <f t="shared" si="227"/>
        <v>-22805.484447048009</v>
      </c>
      <c r="W613">
        <f t="shared" si="228"/>
        <v>7907.3325592986066</v>
      </c>
      <c r="AB613">
        <f t="shared" si="229"/>
        <v>-9007.8349243542998</v>
      </c>
      <c r="AC613">
        <f t="shared" si="230"/>
        <v>-17989.524915287704</v>
      </c>
      <c r="AW613">
        <v>606</v>
      </c>
      <c r="AX613">
        <f t="shared" si="220"/>
        <v>303</v>
      </c>
      <c r="AZ613">
        <f t="shared" si="221"/>
        <v>85062.508368158451</v>
      </c>
      <c r="BB613">
        <f t="shared" si="222"/>
        <v>50525.832046536882</v>
      </c>
      <c r="BD613">
        <f t="shared" si="223"/>
        <v>-3053.0898921545995</v>
      </c>
      <c r="BF613">
        <f t="shared" si="224"/>
        <v>-126.9763624601655</v>
      </c>
      <c r="BH613">
        <f t="shared" si="209"/>
        <v>-116.90737323401984</v>
      </c>
      <c r="BJ613">
        <f t="shared" si="210"/>
        <v>-75.924899142586156</v>
      </c>
      <c r="BN613" s="20">
        <f t="shared" si="211"/>
        <v>-70.046767912131756</v>
      </c>
      <c r="BP613">
        <f t="shared" si="212"/>
        <v>-46.321922520052915</v>
      </c>
      <c r="BR613">
        <f t="shared" si="213"/>
        <v>-13.137866186690088</v>
      </c>
      <c r="BT613">
        <f t="shared" si="214"/>
        <v>-5.0676779643026419</v>
      </c>
      <c r="BV613">
        <f t="shared" si="215"/>
        <v>-33.72273913519799</v>
      </c>
      <c r="BX613">
        <f t="shared" si="216"/>
        <v>-24.535298658230598</v>
      </c>
      <c r="CB613">
        <f t="shared" si="217"/>
        <v>78002.257777922612</v>
      </c>
      <c r="CD613">
        <f t="shared" si="218"/>
        <v>112607.60954604036</v>
      </c>
      <c r="CF613">
        <f t="shared" si="219"/>
        <v>111377.24219496356</v>
      </c>
    </row>
    <row r="614" spans="12:84" x14ac:dyDescent="0.25">
      <c r="L614">
        <v>603</v>
      </c>
      <c r="M614">
        <f t="shared" si="231"/>
        <v>3.7887607402293182</v>
      </c>
      <c r="P614">
        <f t="shared" si="225"/>
        <v>16011.027802307228</v>
      </c>
      <c r="Q614">
        <f t="shared" si="226"/>
        <v>4485.3522915547665</v>
      </c>
      <c r="V614">
        <f t="shared" si="227"/>
        <v>-22792.280538384941</v>
      </c>
      <c r="W614">
        <f t="shared" si="228"/>
        <v>7889.7466040883373</v>
      </c>
      <c r="AB614">
        <f t="shared" si="229"/>
        <v>-8988.9721976927722</v>
      </c>
      <c r="AC614">
        <f t="shared" si="230"/>
        <v>-18014.647708445234</v>
      </c>
      <c r="AW614">
        <v>607</v>
      </c>
      <c r="AX614">
        <f t="shared" si="220"/>
        <v>303.5</v>
      </c>
      <c r="AZ614">
        <f t="shared" si="221"/>
        <v>83521.350000426901</v>
      </c>
      <c r="BB614">
        <f t="shared" si="222"/>
        <v>50452.853252913977</v>
      </c>
      <c r="BD614">
        <f t="shared" si="223"/>
        <v>-3111.5435787716096</v>
      </c>
      <c r="BF614">
        <f t="shared" si="224"/>
        <v>-164.93881203145858</v>
      </c>
      <c r="BH614">
        <f t="shared" si="209"/>
        <v>-119.69656834702545</v>
      </c>
      <c r="BJ614">
        <f t="shared" si="210"/>
        <v>-79.264804691584885</v>
      </c>
      <c r="BN614" s="20">
        <f t="shared" si="211"/>
        <v>-71.92442915671235</v>
      </c>
      <c r="BP614">
        <f t="shared" si="212"/>
        <v>-48.634977859367133</v>
      </c>
      <c r="BR614">
        <f t="shared" si="213"/>
        <v>-13.461072265052154</v>
      </c>
      <c r="BT614">
        <f t="shared" si="214"/>
        <v>-5.2601591938549834</v>
      </c>
      <c r="BV614">
        <f t="shared" si="215"/>
        <v>-34.311066925260945</v>
      </c>
      <c r="BX614">
        <f t="shared" si="216"/>
        <v>-25.369667638362777</v>
      </c>
      <c r="CB614">
        <f t="shared" si="217"/>
        <v>76680.567997655686</v>
      </c>
      <c r="CD614">
        <f t="shared" si="218"/>
        <v>111144.51512428618</v>
      </c>
      <c r="CF614">
        <f t="shared" si="219"/>
        <v>110091.35027260576</v>
      </c>
    </row>
    <row r="615" spans="12:84" x14ac:dyDescent="0.25">
      <c r="L615">
        <v>604</v>
      </c>
      <c r="M615">
        <f t="shared" si="231"/>
        <v>3.7950439255364978</v>
      </c>
      <c r="P615">
        <f t="shared" si="225"/>
        <v>16030.048006760908</v>
      </c>
      <c r="Q615">
        <f t="shared" si="226"/>
        <v>4460.3485115268631</v>
      </c>
      <c r="V615">
        <f t="shared" si="227"/>
        <v>-22778.966395267365</v>
      </c>
      <c r="W615">
        <f t="shared" si="228"/>
        <v>7872.2439580688042</v>
      </c>
      <c r="AB615">
        <f t="shared" si="229"/>
        <v>-8969.9519932390922</v>
      </c>
      <c r="AC615">
        <f t="shared" si="230"/>
        <v>-18039.651488473137</v>
      </c>
      <c r="AW615">
        <v>608</v>
      </c>
      <c r="AX615">
        <f t="shared" si="220"/>
        <v>304</v>
      </c>
      <c r="AZ615">
        <f t="shared" si="221"/>
        <v>81950.616139997714</v>
      </c>
      <c r="BB615">
        <f t="shared" si="222"/>
        <v>50360.4757463118</v>
      </c>
      <c r="BD615">
        <f t="shared" si="223"/>
        <v>-3171.3918629451223</v>
      </c>
      <c r="BF615">
        <f t="shared" si="224"/>
        <v>-204.57121437725101</v>
      </c>
      <c r="BH615">
        <f t="shared" si="209"/>
        <v>-122.64708192503367</v>
      </c>
      <c r="BJ615">
        <f t="shared" si="210"/>
        <v>-82.857992096171202</v>
      </c>
      <c r="BN615" s="20">
        <f t="shared" si="211"/>
        <v>-73.914158663119338</v>
      </c>
      <c r="BP615">
        <f t="shared" si="212"/>
        <v>-51.137441434489425</v>
      </c>
      <c r="BR615">
        <f t="shared" si="213"/>
        <v>-13.804458070029666</v>
      </c>
      <c r="BT615">
        <f t="shared" si="214"/>
        <v>-5.4649448548827868</v>
      </c>
      <c r="BV615">
        <f t="shared" si="215"/>
        <v>-34.928465191884669</v>
      </c>
      <c r="BX615">
        <f t="shared" si="216"/>
        <v>-26.255605806798989</v>
      </c>
      <c r="CB615">
        <f t="shared" si="217"/>
        <v>75331.926972071597</v>
      </c>
      <c r="CD615">
        <f t="shared" si="218"/>
        <v>109648.96777349884</v>
      </c>
      <c r="CF615">
        <f t="shared" si="219"/>
        <v>108776.84237423626</v>
      </c>
    </row>
    <row r="616" spans="12:84" x14ac:dyDescent="0.25">
      <c r="L616">
        <v>605</v>
      </c>
      <c r="M616">
        <f t="shared" si="231"/>
        <v>3.8013271108436775</v>
      </c>
      <c r="P616">
        <f t="shared" si="225"/>
        <v>16049.224938121633</v>
      </c>
      <c r="Q616">
        <f t="shared" si="226"/>
        <v>4435.4647317350082</v>
      </c>
      <c r="V616">
        <f t="shared" si="227"/>
        <v>-22765.542543314856</v>
      </c>
      <c r="W616">
        <f t="shared" si="228"/>
        <v>7854.8253122145052</v>
      </c>
      <c r="AB616">
        <f t="shared" si="229"/>
        <v>-8950.7750618783666</v>
      </c>
      <c r="AC616">
        <f t="shared" si="230"/>
        <v>-18064.53526826499</v>
      </c>
      <c r="AW616">
        <v>609</v>
      </c>
      <c r="AX616">
        <f t="shared" si="220"/>
        <v>304.5</v>
      </c>
      <c r="AZ616">
        <f t="shared" si="221"/>
        <v>80349.589323284512</v>
      </c>
      <c r="BB616">
        <f t="shared" si="222"/>
        <v>50247.832890111153</v>
      </c>
      <c r="BD616">
        <f t="shared" si="223"/>
        <v>-3232.715403907639</v>
      </c>
      <c r="BF616">
        <f t="shared" si="224"/>
        <v>-246.0002104253366</v>
      </c>
      <c r="BH616">
        <f t="shared" si="209"/>
        <v>-125.77141571652264</v>
      </c>
      <c r="BJ616">
        <f t="shared" si="210"/>
        <v>-86.731987411355391</v>
      </c>
      <c r="BN616" s="20">
        <f t="shared" si="211"/>
        <v>-76.02465534296546</v>
      </c>
      <c r="BP616">
        <f t="shared" si="212"/>
        <v>-53.851058450790283</v>
      </c>
      <c r="BR616">
        <f t="shared" si="213"/>
        <v>-14.16986381415208</v>
      </c>
      <c r="BT616">
        <f t="shared" si="214"/>
        <v>-5.6831952648090756</v>
      </c>
      <c r="BV616">
        <f t="shared" si="215"/>
        <v>-35.5768965594051</v>
      </c>
      <c r="BX616">
        <f t="shared" si="216"/>
        <v>-27.197733695756035</v>
      </c>
      <c r="CB616">
        <f t="shared" si="217"/>
        <v>73955.731003688721</v>
      </c>
      <c r="CD616">
        <f t="shared" si="218"/>
        <v>108119.97100305831</v>
      </c>
      <c r="CF616">
        <f t="shared" si="219"/>
        <v>107432.91904490537</v>
      </c>
    </row>
    <row r="617" spans="12:84" x14ac:dyDescent="0.25">
      <c r="L617">
        <v>606</v>
      </c>
      <c r="M617">
        <f t="shared" si="231"/>
        <v>3.8076102961508571</v>
      </c>
      <c r="P617">
        <f t="shared" si="225"/>
        <v>16068.557839316991</v>
      </c>
      <c r="Q617">
        <f t="shared" si="226"/>
        <v>4410.7019345482195</v>
      </c>
      <c r="V617">
        <f t="shared" si="227"/>
        <v>-22752.009512478107</v>
      </c>
      <c r="W617">
        <f t="shared" si="228"/>
        <v>7837.4913541837541</v>
      </c>
      <c r="AB617">
        <f t="shared" si="229"/>
        <v>-8931.4421606830092</v>
      </c>
      <c r="AC617">
        <f t="shared" si="230"/>
        <v>-18089.298065451781</v>
      </c>
      <c r="AW617">
        <v>610</v>
      </c>
      <c r="AX617">
        <f t="shared" si="220"/>
        <v>305</v>
      </c>
      <c r="AZ617">
        <f t="shared" si="221"/>
        <v>78717.510194366128</v>
      </c>
      <c r="BB617">
        <f t="shared" si="222"/>
        <v>50113.991286472068</v>
      </c>
      <c r="BD617">
        <f t="shared" si="223"/>
        <v>-3295.6011117659004</v>
      </c>
      <c r="BF617">
        <f t="shared" si="224"/>
        <v>-289.36620413101429</v>
      </c>
      <c r="BH617">
        <f t="shared" si="209"/>
        <v>-129.08325581606124</v>
      </c>
      <c r="BJ617">
        <f t="shared" si="210"/>
        <v>-90.918220961784641</v>
      </c>
      <c r="BN617" s="20">
        <f t="shared" si="211"/>
        <v>-78.265388836689553</v>
      </c>
      <c r="BP617">
        <f t="shared" si="212"/>
        <v>-56.800783733487485</v>
      </c>
      <c r="BR617">
        <f t="shared" si="213"/>
        <v>-14.559360637913498</v>
      </c>
      <c r="BT617">
        <f t="shared" si="214"/>
        <v>-5.916215518563571</v>
      </c>
      <c r="BV617">
        <f t="shared" si="215"/>
        <v>-36.258506341458194</v>
      </c>
      <c r="BX617">
        <f t="shared" si="216"/>
        <v>-28.201221709733584</v>
      </c>
      <c r="CB617">
        <f t="shared" si="217"/>
        <v>72551.349103852001</v>
      </c>
      <c r="CD617">
        <f t="shared" si="218"/>
        <v>106556.45975681595</v>
      </c>
      <c r="CF617">
        <f t="shared" si="219"/>
        <v>106058.72606437698</v>
      </c>
    </row>
    <row r="618" spans="12:84" x14ac:dyDescent="0.25">
      <c r="L618">
        <v>607</v>
      </c>
      <c r="M618">
        <f t="shared" si="231"/>
        <v>3.8138934814580367</v>
      </c>
      <c r="P618">
        <f t="shared" si="225"/>
        <v>16088.045947117145</v>
      </c>
      <c r="Q618">
        <f t="shared" si="226"/>
        <v>4386.061097559329</v>
      </c>
      <c r="V618">
        <f t="shared" si="227"/>
        <v>-22738.367837017999</v>
      </c>
      <c r="W618">
        <f t="shared" si="228"/>
        <v>7820.2427682915304</v>
      </c>
      <c r="AB618">
        <f t="shared" si="229"/>
        <v>-8911.9540528828547</v>
      </c>
      <c r="AC618">
        <f t="shared" si="230"/>
        <v>-18113.93890244067</v>
      </c>
      <c r="AW618">
        <v>611</v>
      </c>
      <c r="AX618">
        <f t="shared" si="220"/>
        <v>305.5</v>
      </c>
      <c r="AZ618">
        <f t="shared" si="221"/>
        <v>77053.57423150618</v>
      </c>
      <c r="BB618">
        <f t="shared" si="222"/>
        <v>49957.94340678634</v>
      </c>
      <c r="BD618">
        <f t="shared" si="223"/>
        <v>-3360.1427396739309</v>
      </c>
      <c r="BF618">
        <f t="shared" si="224"/>
        <v>-334.82531461190661</v>
      </c>
      <c r="BH618">
        <f t="shared" si="209"/>
        <v>-132.59758275980266</v>
      </c>
      <c r="BJ618">
        <f t="shared" si="210"/>
        <v>-95.45271366595334</v>
      </c>
      <c r="BN618" s="20">
        <f t="shared" si="211"/>
        <v>-80.646651065565408</v>
      </c>
      <c r="BP618">
        <f t="shared" si="212"/>
        <v>-60.015362630826495</v>
      </c>
      <c r="BR618">
        <f t="shared" si="213"/>
        <v>-14.975287743174428</v>
      </c>
      <c r="BT618">
        <f t="shared" si="214"/>
        <v>-6.1654782410667179</v>
      </c>
      <c r="BV618">
        <f t="shared" si="215"/>
        <v>-36.975643951062807</v>
      </c>
      <c r="BX618">
        <f t="shared" si="216"/>
        <v>-29.271872794060133</v>
      </c>
      <c r="CB618">
        <f t="shared" si="217"/>
        <v>71118.122099250191</v>
      </c>
      <c r="CD618">
        <f t="shared" si="218"/>
        <v>104957.29375517655</v>
      </c>
      <c r="CF618">
        <f t="shared" si="219"/>
        <v>104653.34899469081</v>
      </c>
    </row>
    <row r="619" spans="12:84" x14ac:dyDescent="0.25">
      <c r="L619">
        <v>608</v>
      </c>
      <c r="M619">
        <f t="shared" si="231"/>
        <v>3.8201766667652164</v>
      </c>
      <c r="P619">
        <f t="shared" si="225"/>
        <v>16107.688492164969</v>
      </c>
      <c r="Q619">
        <f t="shared" si="226"/>
        <v>4361.5431935463894</v>
      </c>
      <c r="V619">
        <f t="shared" si="227"/>
        <v>-22724.61805548452</v>
      </c>
      <c r="W619">
        <f t="shared" si="228"/>
        <v>7803.0802354824727</v>
      </c>
      <c r="AB619">
        <f t="shared" si="229"/>
        <v>-8892.3115078350311</v>
      </c>
      <c r="AC619">
        <f t="shared" si="230"/>
        <v>-18138.456806453611</v>
      </c>
      <c r="AW619">
        <v>612</v>
      </c>
      <c r="AX619">
        <f t="shared" si="220"/>
        <v>306</v>
      </c>
      <c r="AZ619">
        <f t="shared" si="221"/>
        <v>75356.928163824239</v>
      </c>
      <c r="BB619">
        <f t="shared" si="222"/>
        <v>49778.599160272141</v>
      </c>
      <c r="BD619">
        <f t="shared" si="223"/>
        <v>-3426.4415310538325</v>
      </c>
      <c r="BF619">
        <f t="shared" si="224"/>
        <v>-382.55167144488325</v>
      </c>
      <c r="BH619">
        <f t="shared" si="209"/>
        <v>-136.33078395287248</v>
      </c>
      <c r="BJ619">
        <f t="shared" si="210"/>
        <v>-100.37690748579887</v>
      </c>
      <c r="BN619" s="20">
        <f t="shared" si="211"/>
        <v>-83.179599696210673</v>
      </c>
      <c r="BP619">
        <f t="shared" si="212"/>
        <v>-63.528036517137522</v>
      </c>
      <c r="BR619">
        <f t="shared" si="213"/>
        <v>-15.420296891273754</v>
      </c>
      <c r="BT619">
        <f t="shared" si="214"/>
        <v>-6.4326506818313725</v>
      </c>
      <c r="BV619">
        <f t="shared" si="215"/>
        <v>-37.73088736538805</v>
      </c>
      <c r="BX619">
        <f t="shared" si="216"/>
        <v>-30.416220286829965</v>
      </c>
      <c r="CB619">
        <f t="shared" si="217"/>
        <v>69655.361909114814</v>
      </c>
      <c r="CD619">
        <f t="shared" si="218"/>
        <v>103321.24999241123</v>
      </c>
      <c r="CF619">
        <f t="shared" si="219"/>
        <v>103215.80699240412</v>
      </c>
    </row>
    <row r="620" spans="12:84" x14ac:dyDescent="0.25">
      <c r="L620">
        <v>609</v>
      </c>
      <c r="M620">
        <f t="shared" si="231"/>
        <v>3.826459852072396</v>
      </c>
      <c r="P620">
        <f t="shared" si="225"/>
        <v>16127.48469900642</v>
      </c>
      <c r="Q620">
        <f t="shared" si="226"/>
        <v>4337.1491904342693</v>
      </c>
      <c r="V620">
        <f t="shared" si="227"/>
        <v>-22710.760710695507</v>
      </c>
      <c r="W620">
        <f t="shared" si="228"/>
        <v>7786.0044333039887</v>
      </c>
      <c r="AB620">
        <f t="shared" si="229"/>
        <v>-8872.5153009935802</v>
      </c>
      <c r="AC620">
        <f t="shared" si="230"/>
        <v>-18162.850809565731</v>
      </c>
      <c r="AW620">
        <v>613</v>
      </c>
      <c r="AX620">
        <f t="shared" si="220"/>
        <v>306.5</v>
      </c>
      <c r="AZ620">
        <f t="shared" si="221"/>
        <v>73626.666050303218</v>
      </c>
      <c r="BB620">
        <f t="shared" si="222"/>
        <v>49574.776211113975</v>
      </c>
      <c r="BD620">
        <f t="shared" si="223"/>
        <v>-3494.6069230302687</v>
      </c>
      <c r="BF620">
        <f t="shared" si="224"/>
        <v>-432.74012518778267</v>
      </c>
      <c r="BH620">
        <f t="shared" si="209"/>
        <v>-140.30076352464192</v>
      </c>
      <c r="BJ620">
        <f t="shared" si="210"/>
        <v>-105.73867515730996</v>
      </c>
      <c r="BN620" s="20">
        <f t="shared" si="211"/>
        <v>-85.876286346795936</v>
      </c>
      <c r="BP620">
        <f t="shared" si="212"/>
        <v>-67.377403743385457</v>
      </c>
      <c r="BR620">
        <f t="shared" si="213"/>
        <v>-15.897406018124883</v>
      </c>
      <c r="BT620">
        <f t="shared" si="214"/>
        <v>-6.7196271323651526</v>
      </c>
      <c r="BV620">
        <f t="shared" si="215"/>
        <v>-38.527071159721103</v>
      </c>
      <c r="BX620">
        <f t="shared" si="216"/>
        <v>-31.641644281559351</v>
      </c>
      <c r="CB620">
        <f t="shared" si="217"/>
        <v>68162.351080974797</v>
      </c>
      <c r="CD620">
        <f t="shared" si="218"/>
        <v>101647.0142594201</v>
      </c>
      <c r="CF620">
        <f t="shared" si="219"/>
        <v>101745.04576096743</v>
      </c>
    </row>
    <row r="621" spans="12:84" x14ac:dyDescent="0.25">
      <c r="L621">
        <v>610</v>
      </c>
      <c r="M621">
        <f t="shared" si="231"/>
        <v>3.8327430373795757</v>
      </c>
      <c r="P621">
        <f t="shared" si="225"/>
        <v>16147.433786121142</v>
      </c>
      <c r="Q621">
        <f t="shared" si="226"/>
        <v>4312.8800512564439</v>
      </c>
      <c r="V621">
        <f t="shared" si="227"/>
        <v>-22696.796349715201</v>
      </c>
      <c r="W621">
        <f t="shared" si="228"/>
        <v>7769.016035879511</v>
      </c>
      <c r="AB621">
        <f t="shared" si="229"/>
        <v>-8852.5662138788575</v>
      </c>
      <c r="AC621">
        <f t="shared" si="230"/>
        <v>-18187.119948743555</v>
      </c>
      <c r="AW621">
        <v>614</v>
      </c>
      <c r="AX621">
        <f t="shared" si="220"/>
        <v>307</v>
      </c>
      <c r="AZ621">
        <f t="shared" si="221"/>
        <v>71861.824993347502</v>
      </c>
      <c r="BB621">
        <f t="shared" si="222"/>
        <v>49345.188814125417</v>
      </c>
      <c r="BD621">
        <f t="shared" si="223"/>
        <v>-3564.7573047925898</v>
      </c>
      <c r="BF621">
        <f t="shared" si="224"/>
        <v>-485.60946276643767</v>
      </c>
      <c r="BH621">
        <f t="shared" si="209"/>
        <v>-144.52704159879957</v>
      </c>
      <c r="BJ621">
        <f t="shared" si="210"/>
        <v>-111.59355407880332</v>
      </c>
      <c r="BN621" s="20">
        <f t="shared" si="211"/>
        <v>-88.749658664884763</v>
      </c>
      <c r="BP621">
        <f t="shared" si="212"/>
        <v>-71.60847549228474</v>
      </c>
      <c r="BR621">
        <f t="shared" si="213"/>
        <v>-16.410064208766062</v>
      </c>
      <c r="BT621">
        <f t="shared" si="214"/>
        <v>-7.0285679039424682</v>
      </c>
      <c r="BV621">
        <f t="shared" si="215"/>
        <v>-39.367318725148749</v>
      </c>
      <c r="BX621">
        <f t="shared" si="216"/>
        <v>-32.956510682576102</v>
      </c>
      <c r="CB621">
        <f t="shared" si="217"/>
        <v>66638.342705460571</v>
      </c>
      <c r="CD621">
        <f t="shared" si="218"/>
        <v>99933.171539422197</v>
      </c>
      <c r="CF621">
        <f t="shared" si="219"/>
        <v>100239.92949335823</v>
      </c>
    </row>
    <row r="622" spans="12:84" x14ac:dyDescent="0.25">
      <c r="L622">
        <v>611</v>
      </c>
      <c r="M622">
        <f t="shared" si="231"/>
        <v>3.8390262226867553</v>
      </c>
      <c r="P622">
        <f t="shared" si="225"/>
        <v>16167.53496595334</v>
      </c>
      <c r="Q622">
        <f t="shared" si="226"/>
        <v>4288.7367341169702</v>
      </c>
      <c r="V622">
        <f t="shared" si="227"/>
        <v>-22682.725523832662</v>
      </c>
      <c r="W622">
        <f t="shared" si="228"/>
        <v>7752.1157138818799</v>
      </c>
      <c r="AB622">
        <f t="shared" si="229"/>
        <v>-8832.4650340466596</v>
      </c>
      <c r="AC622">
        <f t="shared" si="230"/>
        <v>-18211.26326588303</v>
      </c>
      <c r="AW622">
        <v>615</v>
      </c>
      <c r="AX622">
        <f t="shared" si="220"/>
        <v>307.5</v>
      </c>
      <c r="AZ622">
        <f t="shared" si="221"/>
        <v>70061.380460751359</v>
      </c>
      <c r="BB622">
        <f t="shared" si="222"/>
        <v>49088.434888482348</v>
      </c>
      <c r="BD622">
        <f t="shared" si="223"/>
        <v>-3637.0208255919897</v>
      </c>
      <c r="BF622">
        <f t="shared" si="224"/>
        <v>-541.40623980583928</v>
      </c>
      <c r="BH622">
        <f t="shared" si="209"/>
        <v>-149.03083022827349</v>
      </c>
      <c r="BJ622">
        <f t="shared" si="210"/>
        <v>-118.00626192732065</v>
      </c>
      <c r="BN622" s="20">
        <f t="shared" si="211"/>
        <v>-91.813519899069959</v>
      </c>
      <c r="BP622">
        <f t="shared" si="212"/>
        <v>-76.273977246762101</v>
      </c>
      <c r="BR622">
        <f t="shared" si="213"/>
        <v>-16.962230922777778</v>
      </c>
      <c r="BT622">
        <f t="shared" si="214"/>
        <v>-7.3619464369341685</v>
      </c>
      <c r="BV622">
        <f t="shared" si="215"/>
        <v>-40.25507940642575</v>
      </c>
      <c r="BX622">
        <f t="shared" si="216"/>
        <v>-34.370338243624396</v>
      </c>
      <c r="CB622">
        <f t="shared" si="217"/>
        <v>65082.560875472882</v>
      </c>
      <c r="CD622">
        <f t="shared" si="218"/>
        <v>98178.195097115793</v>
      </c>
      <c r="CF622">
        <f t="shared" si="219"/>
        <v>98699.231623801956</v>
      </c>
    </row>
    <row r="623" spans="12:84" x14ac:dyDescent="0.25">
      <c r="L623">
        <v>612</v>
      </c>
      <c r="M623">
        <f t="shared" si="231"/>
        <v>3.8453094079939349</v>
      </c>
      <c r="P623">
        <f t="shared" si="225"/>
        <v>16187.787444942851</v>
      </c>
      <c r="Q623">
        <f t="shared" si="226"/>
        <v>4264.7201921526721</v>
      </c>
      <c r="V623">
        <f t="shared" si="227"/>
        <v>-22668.548788540003</v>
      </c>
      <c r="W623">
        <f t="shared" si="228"/>
        <v>7735.3041345068705</v>
      </c>
      <c r="AB623">
        <f t="shared" si="229"/>
        <v>-8812.2125550571491</v>
      </c>
      <c r="AC623">
        <f t="shared" si="230"/>
        <v>-18235.279807847328</v>
      </c>
      <c r="AW623">
        <v>616</v>
      </c>
      <c r="AX623">
        <f t="shared" si="220"/>
        <v>308</v>
      </c>
      <c r="AZ623">
        <f t="shared" si="221"/>
        <v>68224.241194176837</v>
      </c>
      <c r="BB623">
        <f t="shared" si="222"/>
        <v>48802.980985838512</v>
      </c>
      <c r="BD623">
        <f t="shared" si="223"/>
        <v>-3711.5362407061266</v>
      </c>
      <c r="BF623">
        <f t="shared" si="224"/>
        <v>-600.40937076949956</v>
      </c>
      <c r="BH623">
        <f t="shared" si="209"/>
        <v>-153.83506603179421</v>
      </c>
      <c r="BJ623">
        <f t="shared" si="210"/>
        <v>-125.05256821500269</v>
      </c>
      <c r="BN623" s="20">
        <f t="shared" si="211"/>
        <v>-95.08242135752235</v>
      </c>
      <c r="BP623">
        <f t="shared" si="212"/>
        <v>-81.43596133745794</v>
      </c>
      <c r="BR623">
        <f t="shared" si="213"/>
        <v>-17.558473228500358</v>
      </c>
      <c r="BT623">
        <f t="shared" si="214"/>
        <v>-7.7226065489903455</v>
      </c>
      <c r="BV623">
        <f t="shared" si="215"/>
        <v>-41.194171445771495</v>
      </c>
      <c r="BX623">
        <f t="shared" si="216"/>
        <v>-35.894000328554412</v>
      </c>
      <c r="CB623">
        <f t="shared" si="217"/>
        <v>63494.201916952064</v>
      </c>
      <c r="CD623">
        <f t="shared" si="218"/>
        <v>96380.434050047916</v>
      </c>
      <c r="CF623">
        <f t="shared" si="219"/>
        <v>97121.624168576658</v>
      </c>
    </row>
    <row r="624" spans="12:84" x14ac:dyDescent="0.25">
      <c r="L624">
        <v>613</v>
      </c>
      <c r="M624">
        <f t="shared" si="231"/>
        <v>3.8515925933011146</v>
      </c>
      <c r="P624">
        <f t="shared" si="225"/>
        <v>16208.190423556482</v>
      </c>
      <c r="Q624">
        <f t="shared" si="226"/>
        <v>4240.8313734955</v>
      </c>
      <c r="V624">
        <f t="shared" si="227"/>
        <v>-22654.266703510461</v>
      </c>
      <c r="W624">
        <f t="shared" si="228"/>
        <v>7718.5819614468501</v>
      </c>
      <c r="AB624">
        <f t="shared" si="229"/>
        <v>-8791.8095764435184</v>
      </c>
      <c r="AC624">
        <f t="shared" si="230"/>
        <v>-18259.168626504499</v>
      </c>
      <c r="AW624">
        <v>617</v>
      </c>
      <c r="AX624">
        <f t="shared" si="220"/>
        <v>308.5</v>
      </c>
      <c r="AZ624">
        <f t="shared" si="221"/>
        <v>66349.243690569798</v>
      </c>
      <c r="BB624">
        <f t="shared" si="222"/>
        <v>48487.144729426887</v>
      </c>
      <c r="BD624">
        <f t="shared" si="223"/>
        <v>-3788.4537737220235</v>
      </c>
      <c r="BF624">
        <f t="shared" si="224"/>
        <v>-662.93565487700096</v>
      </c>
      <c r="BH624">
        <f t="shared" si="209"/>
        <v>-158.96436856798692</v>
      </c>
      <c r="BJ624">
        <f t="shared" si="210"/>
        <v>-132.82161788619894</v>
      </c>
      <c r="BN624" s="20">
        <f t="shared" si="211"/>
        <v>-98.571450794825381</v>
      </c>
      <c r="BP624">
        <f t="shared" si="212"/>
        <v>-87.167815442457766</v>
      </c>
      <c r="BR624">
        <f t="shared" si="213"/>
        <v>-18.20408597154174</v>
      </c>
      <c r="BT624">
        <f t="shared" si="214"/>
        <v>-8.1138324032613589</v>
      </c>
      <c r="BV624">
        <f t="shared" si="215"/>
        <v>-42.188831801619806</v>
      </c>
      <c r="BX624">
        <f t="shared" si="216"/>
        <v>-37.539970040479822</v>
      </c>
      <c r="CB624">
        <f t="shared" si="217"/>
        <v>61872.436704552136</v>
      </c>
      <c r="CD624">
        <f t="shared" si="218"/>
        <v>94538.099173599112</v>
      </c>
      <c r="CF624">
        <f t="shared" si="219"/>
        <v>95505.665387512548</v>
      </c>
    </row>
    <row r="625" spans="12:84" x14ac:dyDescent="0.25">
      <c r="L625">
        <v>614</v>
      </c>
      <c r="M625">
        <f t="shared" si="231"/>
        <v>3.8578757786082942</v>
      </c>
      <c r="P625">
        <f t="shared" si="225"/>
        <v>16228.743096319573</v>
      </c>
      <c r="Q625">
        <f t="shared" si="226"/>
        <v>4217.0712212351118</v>
      </c>
      <c r="V625">
        <f t="shared" si="227"/>
        <v>-22639.879832576298</v>
      </c>
      <c r="W625">
        <f t="shared" si="228"/>
        <v>7701.9498548645788</v>
      </c>
      <c r="AB625">
        <f t="shared" si="229"/>
        <v>-8771.2569036804271</v>
      </c>
      <c r="AC625">
        <f t="shared" si="230"/>
        <v>-18282.928778764886</v>
      </c>
      <c r="AW625">
        <v>618</v>
      </c>
      <c r="AX625">
        <f t="shared" si="220"/>
        <v>309</v>
      </c>
      <c r="AZ625">
        <f t="shared" si="221"/>
        <v>64435.146257637789</v>
      </c>
      <c r="BB625">
        <f t="shared" si="222"/>
        <v>48139.074199752613</v>
      </c>
      <c r="BD625">
        <f t="shared" si="223"/>
        <v>-3867.9359580060168</v>
      </c>
      <c r="BF625">
        <f t="shared" si="224"/>
        <v>-729.34646382010044</v>
      </c>
      <c r="BH625">
        <f t="shared" si="209"/>
        <v>-164.44487665423574</v>
      </c>
      <c r="BJ625">
        <f t="shared" si="210"/>
        <v>-141.41883191491704</v>
      </c>
      <c r="BN625" s="20">
        <f t="shared" si="211"/>
        <v>-102.29586112567073</v>
      </c>
      <c r="BP625">
        <f t="shared" si="212"/>
        <v>-93.556777477674089</v>
      </c>
      <c r="BR625">
        <f t="shared" si="213"/>
        <v>-18.905241391418457</v>
      </c>
      <c r="BT625">
        <f t="shared" si="214"/>
        <v>-8.5394345382130545</v>
      </c>
      <c r="BV625">
        <f t="shared" si="215"/>
        <v>-43.243774137146552</v>
      </c>
      <c r="BX625">
        <f t="shared" si="216"/>
        <v>-39.322619899029895</v>
      </c>
      <c r="CB625">
        <f t="shared" si="217"/>
        <v>60216.414495971614</v>
      </c>
      <c r="CD625">
        <f t="shared" si="218"/>
        <v>92649.246647573571</v>
      </c>
      <c r="CF625">
        <f t="shared" si="219"/>
        <v>93849.785437268947</v>
      </c>
    </row>
    <row r="626" spans="12:84" x14ac:dyDescent="0.25">
      <c r="L626">
        <v>615</v>
      </c>
      <c r="M626">
        <f t="shared" si="231"/>
        <v>3.8641589639154739</v>
      </c>
      <c r="P626">
        <f t="shared" si="225"/>
        <v>16249.444651847796</v>
      </c>
      <c r="Q626">
        <f t="shared" si="226"/>
        <v>4193.440673381635</v>
      </c>
      <c r="V626">
        <f t="shared" si="227"/>
        <v>-22625.388743706542</v>
      </c>
      <c r="W626">
        <f t="shared" si="228"/>
        <v>7685.4084713671446</v>
      </c>
      <c r="AB626">
        <f t="shared" si="229"/>
        <v>-8750.5553481522038</v>
      </c>
      <c r="AC626">
        <f t="shared" si="230"/>
        <v>-18306.559326618364</v>
      </c>
      <c r="AW626">
        <v>619</v>
      </c>
      <c r="AX626">
        <f t="shared" si="220"/>
        <v>309.5</v>
      </c>
      <c r="AZ626">
        <f t="shared" si="221"/>
        <v>62480.622669053002</v>
      </c>
      <c r="BB626">
        <f t="shared" si="222"/>
        <v>47756.723613853203</v>
      </c>
      <c r="BD626">
        <f t="shared" si="223"/>
        <v>-3950.1583963331345</v>
      </c>
      <c r="BF626">
        <f t="shared" si="224"/>
        <v>-800.05587977755897</v>
      </c>
      <c r="BH626">
        <f t="shared" si="209"/>
        <v>-170.30388898102018</v>
      </c>
      <c r="BJ626">
        <f t="shared" si="210"/>
        <v>-150.96954794358038</v>
      </c>
      <c r="BN626" s="20">
        <f t="shared" si="211"/>
        <v>-106.27045554552205</v>
      </c>
      <c r="BP626">
        <f t="shared" si="212"/>
        <v>-100.7071009891514</v>
      </c>
      <c r="BR626">
        <f t="shared" si="213"/>
        <v>-19.66917688308131</v>
      </c>
      <c r="BT626">
        <f t="shared" si="214"/>
        <v>-9.0038563150316016</v>
      </c>
      <c r="BV626">
        <f t="shared" si="215"/>
        <v>-44.364256552416819</v>
      </c>
      <c r="BX626">
        <f t="shared" si="216"/>
        <v>-41.258590639397397</v>
      </c>
      <c r="CB626">
        <f t="shared" si="217"/>
        <v>58525.268888511957</v>
      </c>
      <c r="CD626">
        <f t="shared" si="218"/>
        <v>90711.759402668409</v>
      </c>
      <c r="CF626">
        <f t="shared" si="219"/>
        <v>92152.269611489595</v>
      </c>
    </row>
    <row r="627" spans="12:84" x14ac:dyDescent="0.25">
      <c r="L627">
        <v>616</v>
      </c>
      <c r="M627">
        <f t="shared" si="231"/>
        <v>3.8704421492226535</v>
      </c>
      <c r="P627">
        <f t="shared" si="225"/>
        <v>16270.294272879182</v>
      </c>
      <c r="Q627">
        <f t="shared" si="226"/>
        <v>4169.940662828637</v>
      </c>
      <c r="V627">
        <f t="shared" si="227"/>
        <v>-22610.794008984572</v>
      </c>
      <c r="W627">
        <f t="shared" si="228"/>
        <v>7668.9584639800451</v>
      </c>
      <c r="AB627">
        <f t="shared" si="229"/>
        <v>-8729.7057271208178</v>
      </c>
      <c r="AC627">
        <f t="shared" si="230"/>
        <v>-18330.059337171362</v>
      </c>
      <c r="AW627">
        <v>620</v>
      </c>
      <c r="AX627">
        <f t="shared" si="220"/>
        <v>310</v>
      </c>
      <c r="AZ627">
        <f t="shared" si="221"/>
        <v>60484.255484763809</v>
      </c>
      <c r="BB627">
        <f t="shared" si="222"/>
        <v>47337.824480471478</v>
      </c>
      <c r="BD627">
        <f t="shared" si="223"/>
        <v>-4035.3103408236448</v>
      </c>
      <c r="BF627">
        <f t="shared" si="224"/>
        <v>-875.54065374934919</v>
      </c>
      <c r="BH627">
        <f t="shared" si="209"/>
        <v>-176.56919542777217</v>
      </c>
      <c r="BJ627">
        <f t="shared" si="210"/>
        <v>-161.62361418625116</v>
      </c>
      <c r="BN627" s="20">
        <f t="shared" si="211"/>
        <v>-110.5086018154351</v>
      </c>
      <c r="BP627">
        <f t="shared" si="212"/>
        <v>-108.74405938778992</v>
      </c>
      <c r="BR627">
        <f t="shared" si="213"/>
        <v>-20.504432632684221</v>
      </c>
      <c r="BT627">
        <f t="shared" si="214"/>
        <v>-9.5123065014342636</v>
      </c>
      <c r="BV627">
        <f t="shared" si="215"/>
        <v>-45.556160979652844</v>
      </c>
      <c r="BX627">
        <f t="shared" si="216"/>
        <v>-43.367248297026968</v>
      </c>
      <c r="CB627">
        <f t="shared" si="217"/>
        <v>56798.126742811517</v>
      </c>
      <c r="CD627">
        <f t="shared" si="218"/>
        <v>88723.325669584927</v>
      </c>
      <c r="CF627">
        <f t="shared" si="219"/>
        <v>90411.238667280122</v>
      </c>
    </row>
    <row r="628" spans="12:84" x14ac:dyDescent="0.25">
      <c r="L628">
        <v>617</v>
      </c>
      <c r="M628">
        <f t="shared" si="231"/>
        <v>3.8767253345298331</v>
      </c>
      <c r="P628">
        <f t="shared" si="225"/>
        <v>16291.291136306399</v>
      </c>
      <c r="Q628">
        <f t="shared" si="226"/>
        <v>4146.5721173162947</v>
      </c>
      <c r="V628">
        <f t="shared" si="227"/>
        <v>-22596.096204585519</v>
      </c>
      <c r="W628">
        <f t="shared" si="228"/>
        <v>7652.6004821214065</v>
      </c>
      <c r="AB628">
        <f t="shared" si="229"/>
        <v>-8708.7088636936005</v>
      </c>
      <c r="AC628">
        <f t="shared" si="230"/>
        <v>-18353.427882683704</v>
      </c>
      <c r="AW628">
        <v>621</v>
      </c>
      <c r="AX628">
        <f t="shared" si="220"/>
        <v>310.5</v>
      </c>
      <c r="AZ628">
        <f t="shared" si="221"/>
        <v>58444.529164923515</v>
      </c>
      <c r="BB628">
        <f t="shared" si="222"/>
        <v>46879.85120182352</v>
      </c>
      <c r="BD628">
        <f t="shared" si="223"/>
        <v>-4123.5949385375307</v>
      </c>
      <c r="BF628">
        <f t="shared" si="224"/>
        <v>-956.35246084247478</v>
      </c>
      <c r="BH628">
        <f t="shared" si="209"/>
        <v>-183.26792338572838</v>
      </c>
      <c r="BJ628">
        <f t="shared" si="210"/>
        <v>-173.56121562602141</v>
      </c>
      <c r="BN628" s="20">
        <f t="shared" si="211"/>
        <v>-115.02068167690545</v>
      </c>
      <c r="BP628">
        <f t="shared" si="212"/>
        <v>-117.81903506056001</v>
      </c>
      <c r="BR628">
        <f t="shared" si="213"/>
        <v>-21.42115511856046</v>
      </c>
      <c r="BT628">
        <f t="shared" si="214"/>
        <v>-10.070925554065825</v>
      </c>
      <c r="BV628">
        <f t="shared" si="215"/>
        <v>-46.826086590262463</v>
      </c>
      <c r="BX628">
        <f t="shared" si="216"/>
        <v>-45.671255011395559</v>
      </c>
      <c r="CB628">
        <f t="shared" si="217"/>
        <v>55034.121264815483</v>
      </c>
      <c r="CD628">
        <f t="shared" si="218"/>
        <v>86681.41427419825</v>
      </c>
      <c r="CF628">
        <f t="shared" si="219"/>
        <v>88624.625616803882</v>
      </c>
    </row>
    <row r="629" spans="12:84" x14ac:dyDescent="0.25">
      <c r="L629">
        <v>618</v>
      </c>
      <c r="M629">
        <f t="shared" si="231"/>
        <v>3.8830085198370128</v>
      </c>
      <c r="P629">
        <f t="shared" si="225"/>
        <v>16312.434413209226</v>
      </c>
      <c r="Q629">
        <f t="shared" si="226"/>
        <v>4123.3359593947735</v>
      </c>
      <c r="V629">
        <f t="shared" si="227"/>
        <v>-22581.295910753543</v>
      </c>
      <c r="W629">
        <f t="shared" si="228"/>
        <v>7636.335171576342</v>
      </c>
      <c r="AB629">
        <f t="shared" si="229"/>
        <v>-8687.5655867907735</v>
      </c>
      <c r="AC629">
        <f t="shared" si="230"/>
        <v>-18376.664040605225</v>
      </c>
      <c r="AW629">
        <v>622</v>
      </c>
      <c r="AX629">
        <f t="shared" si="220"/>
        <v>311</v>
      </c>
      <c r="AZ629">
        <f t="shared" si="221"/>
        <v>56359.823205231536</v>
      </c>
      <c r="BB629">
        <f t="shared" si="222"/>
        <v>46379.979819449029</v>
      </c>
      <c r="BD629">
        <f t="shared" si="223"/>
        <v>-4215.2289002303951</v>
      </c>
      <c r="BF629">
        <f t="shared" si="224"/>
        <v>-1043.1330686554854</v>
      </c>
      <c r="BH629">
        <f t="shared" si="209"/>
        <v>-190.42462616817141</v>
      </c>
      <c r="BJ629">
        <f t="shared" si="210"/>
        <v>-187.00029692738747</v>
      </c>
      <c r="BN629" s="20">
        <f t="shared" si="211"/>
        <v>-119.81167754205494</v>
      </c>
      <c r="BP629">
        <f t="shared" si="212"/>
        <v>-128.11601361964784</v>
      </c>
      <c r="BR629">
        <f t="shared" si="213"/>
        <v>-22.431488530509831</v>
      </c>
      <c r="BT629">
        <f t="shared" si="214"/>
        <v>-10.686995671360336</v>
      </c>
      <c r="BV629">
        <f t="shared" si="215"/>
        <v>-48.181460095606653</v>
      </c>
      <c r="BX629">
        <f t="shared" si="216"/>
        <v>-48.197287636379293</v>
      </c>
      <c r="CB629">
        <f t="shared" si="217"/>
        <v>53232.410938040906</v>
      </c>
      <c r="CD629">
        <f t="shared" si="218"/>
        <v>84583.246163751232</v>
      </c>
      <c r="CF629">
        <f t="shared" si="219"/>
        <v>86790.148210573068</v>
      </c>
    </row>
    <row r="630" spans="12:84" x14ac:dyDescent="0.25">
      <c r="L630">
        <v>619</v>
      </c>
      <c r="M630">
        <f t="shared" si="231"/>
        <v>3.8892917051441924</v>
      </c>
      <c r="P630">
        <f t="shared" si="225"/>
        <v>16333.723268887297</v>
      </c>
      <c r="Q630">
        <f t="shared" si="226"/>
        <v>4100.2331063878</v>
      </c>
      <c r="V630">
        <f t="shared" si="227"/>
        <v>-22566.393711778892</v>
      </c>
      <c r="W630">
        <f t="shared" si="228"/>
        <v>7620.1631744714596</v>
      </c>
      <c r="AB630">
        <f t="shared" si="229"/>
        <v>-8666.2767311127027</v>
      </c>
      <c r="AC630">
        <f t="shared" si="230"/>
        <v>-18399.766893612199</v>
      </c>
      <c r="AW630">
        <v>623</v>
      </c>
      <c r="AX630">
        <f t="shared" si="220"/>
        <v>311.5</v>
      </c>
      <c r="AZ630">
        <f t="shared" si="221"/>
        <v>54228.405676845323</v>
      </c>
      <c r="BB630">
        <f t="shared" si="222"/>
        <v>45835.038248005359</v>
      </c>
      <c r="BD630">
        <f t="shared" si="223"/>
        <v>-4310.4412133144806</v>
      </c>
      <c r="BF630">
        <f t="shared" si="224"/>
        <v>-1136.6332171191791</v>
      </c>
      <c r="BH630">
        <f t="shared" si="209"/>
        <v>-198.05818723301081</v>
      </c>
      <c r="BJ630">
        <f t="shared" si="210"/>
        <v>-202.20605507628835</v>
      </c>
      <c r="BN630" s="20">
        <f t="shared" si="211"/>
        <v>-124.87743585068456</v>
      </c>
      <c r="BP630">
        <f t="shared" si="212"/>
        <v>-139.85989662636374</v>
      </c>
      <c r="BR630">
        <f t="shared" si="213"/>
        <v>-23.550084896262099</v>
      </c>
      <c r="BT630">
        <f t="shared" si="214"/>
        <v>-11.369208126001501</v>
      </c>
      <c r="BV630">
        <f t="shared" si="215"/>
        <v>-49.630666486064143</v>
      </c>
      <c r="BX630">
        <f t="shared" si="216"/>
        <v>-50.976950323923113</v>
      </c>
      <c r="CB630">
        <f t="shared" si="217"/>
        <v>51392.206730736238</v>
      </c>
      <c r="CD630">
        <f t="shared" si="218"/>
        <v>82425.761601348451</v>
      </c>
      <c r="CF630">
        <f t="shared" si="219"/>
        <v>84905.276147346915</v>
      </c>
    </row>
    <row r="631" spans="12:84" x14ac:dyDescent="0.25">
      <c r="L631">
        <v>620</v>
      </c>
      <c r="M631">
        <f t="shared" si="231"/>
        <v>3.8955748904513721</v>
      </c>
      <c r="P631">
        <f t="shared" si="225"/>
        <v>16355.15686289304</v>
      </c>
      <c r="Q631">
        <f t="shared" si="226"/>
        <v>4077.2644703564533</v>
      </c>
      <c r="V631">
        <f t="shared" si="227"/>
        <v>-22551.390195974873</v>
      </c>
      <c r="W631">
        <f t="shared" si="228"/>
        <v>7604.0851292495172</v>
      </c>
      <c r="AB631">
        <f t="shared" si="229"/>
        <v>-8644.8431371069601</v>
      </c>
      <c r="AC631">
        <f t="shared" si="230"/>
        <v>-18422.735529643545</v>
      </c>
      <c r="AW631">
        <v>624</v>
      </c>
      <c r="AX631">
        <f t="shared" si="220"/>
        <v>312</v>
      </c>
      <c r="AZ631">
        <f t="shared" si="221"/>
        <v>52048.427796783959</v>
      </c>
      <c r="BB631">
        <f t="shared" si="222"/>
        <v>45241.445882561238</v>
      </c>
      <c r="BD631">
        <f t="shared" si="223"/>
        <v>-4409.4703069309862</v>
      </c>
      <c r="BF631">
        <f t="shared" si="224"/>
        <v>-1237.7362446573234</v>
      </c>
      <c r="BH631">
        <f t="shared" si="209"/>
        <v>-206.17687020558367</v>
      </c>
      <c r="BJ631">
        <f t="shared" si="210"/>
        <v>-219.50310770531405</v>
      </c>
      <c r="BN631" s="20">
        <f t="shared" si="211"/>
        <v>-130.19888916479169</v>
      </c>
      <c r="BP631">
        <f t="shared" si="212"/>
        <v>-153.32715728026074</v>
      </c>
      <c r="BR631">
        <f t="shared" si="213"/>
        <v>-24.794776466985049</v>
      </c>
      <c r="BT631">
        <f t="shared" si="214"/>
        <v>-12.128006116886574</v>
      </c>
      <c r="BV631">
        <f t="shared" si="215"/>
        <v>-51.183204573806925</v>
      </c>
      <c r="BX631">
        <f t="shared" si="216"/>
        <v>-54.047944308166741</v>
      </c>
      <c r="CB631">
        <f t="shared" si="217"/>
        <v>49512.811085132031</v>
      </c>
      <c r="CD631">
        <f t="shared" si="218"/>
        <v>80205.582448367553</v>
      </c>
      <c r="CF631">
        <f t="shared" si="219"/>
        <v>82967.191805595226</v>
      </c>
    </row>
    <row r="632" spans="12:84" x14ac:dyDescent="0.25">
      <c r="L632">
        <v>621</v>
      </c>
      <c r="M632">
        <f t="shared" si="231"/>
        <v>3.9018580757585517</v>
      </c>
      <c r="P632">
        <f t="shared" si="225"/>
        <v>16376.734349064865</v>
      </c>
      <c r="Q632">
        <f t="shared" si="226"/>
        <v>4054.4309580631543</v>
      </c>
      <c r="V632">
        <f t="shared" si="227"/>
        <v>-22536.285955654595</v>
      </c>
      <c r="W632">
        <f t="shared" si="228"/>
        <v>7588.1016706442078</v>
      </c>
      <c r="AB632">
        <f t="shared" si="229"/>
        <v>-8623.2656509351345</v>
      </c>
      <c r="AC632">
        <f t="shared" si="230"/>
        <v>-18445.569041936847</v>
      </c>
      <c r="AW632">
        <v>625</v>
      </c>
      <c r="AX632">
        <f t="shared" si="220"/>
        <v>312.5</v>
      </c>
      <c r="AZ632">
        <f t="shared" si="221"/>
        <v>49817.920534542769</v>
      </c>
      <c r="BB632">
        <f t="shared" si="222"/>
        <v>44595.13987176941</v>
      </c>
      <c r="BD632">
        <f t="shared" si="223"/>
        <v>-4512.5587420337779</v>
      </c>
      <c r="BF632">
        <f t="shared" si="224"/>
        <v>-1347.4877985099804</v>
      </c>
      <c r="BH632">
        <f t="shared" si="209"/>
        <v>-214.77045445647295</v>
      </c>
      <c r="BJ632">
        <f t="shared" si="210"/>
        <v>-239.29109391545524</v>
      </c>
      <c r="BN632" s="20">
        <f t="shared" si="211"/>
        <v>-135.73310890680759</v>
      </c>
      <c r="BP632">
        <f t="shared" si="212"/>
        <v>-168.85948348729633</v>
      </c>
      <c r="BR632">
        <f t="shared" si="213"/>
        <v>-26.187472834993343</v>
      </c>
      <c r="BT632">
        <f t="shared" si="214"/>
        <v>-12.97602791201048</v>
      </c>
      <c r="BV632">
        <f t="shared" si="215"/>
        <v>-52.84987271467201</v>
      </c>
      <c r="BX632">
        <f t="shared" si="216"/>
        <v>-57.455582516148411</v>
      </c>
      <c r="CB632">
        <f t="shared" si="217"/>
        <v>47593.673813968635</v>
      </c>
      <c r="CD632">
        <f t="shared" si="218"/>
        <v>77918.969003157486</v>
      </c>
      <c r="CF632">
        <f t="shared" si="219"/>
        <v>80972.742994585569</v>
      </c>
    </row>
    <row r="633" spans="12:84" x14ac:dyDescent="0.25">
      <c r="L633">
        <v>622</v>
      </c>
      <c r="M633">
        <f t="shared" si="231"/>
        <v>3.9081412610657313</v>
      </c>
      <c r="P633">
        <f t="shared" si="225"/>
        <v>16398.454875560565</v>
      </c>
      <c r="Q633">
        <f t="shared" si="226"/>
        <v>4031.733470935872</v>
      </c>
      <c r="V633">
        <f t="shared" si="227"/>
        <v>-22521.081587107605</v>
      </c>
      <c r="W633">
        <f t="shared" si="228"/>
        <v>7572.2134296551103</v>
      </c>
      <c r="AB633">
        <f t="shared" si="229"/>
        <v>-8601.5451244394353</v>
      </c>
      <c r="AC633">
        <f t="shared" si="230"/>
        <v>-18468.266529064127</v>
      </c>
      <c r="AW633">
        <v>626</v>
      </c>
      <c r="AX633">
        <f t="shared" si="220"/>
        <v>313</v>
      </c>
      <c r="AZ633">
        <f t="shared" si="221"/>
        <v>47534.794856718821</v>
      </c>
      <c r="BB633">
        <f t="shared" si="222"/>
        <v>43891.48458577499</v>
      </c>
      <c r="BD633">
        <f t="shared" si="223"/>
        <v>-4619.9439692620144</v>
      </c>
      <c r="BF633">
        <f t="shared" si="224"/>
        <v>-1467.1333454677081</v>
      </c>
      <c r="BH633">
        <f t="shared" si="209"/>
        <v>-223.79776719310291</v>
      </c>
      <c r="BJ633">
        <f t="shared" si="210"/>
        <v>-262.06460735076399</v>
      </c>
      <c r="BN633" s="20">
        <f t="shared" si="211"/>
        <v>-141.399402137545</v>
      </c>
      <c r="BP633">
        <f t="shared" si="212"/>
        <v>-186.8811512888627</v>
      </c>
      <c r="BR633">
        <f t="shared" si="213"/>
        <v>-27.755373745642068</v>
      </c>
      <c r="BT633">
        <f t="shared" si="214"/>
        <v>-13.928684072685348</v>
      </c>
      <c r="BV633">
        <f t="shared" si="215"/>
        <v>-54.642991309915843</v>
      </c>
      <c r="BX633">
        <f t="shared" si="216"/>
        <v>-61.254771989215939</v>
      </c>
      <c r="CB633">
        <f t="shared" si="217"/>
        <v>45634.472475950548</v>
      </c>
      <c r="CD633">
        <f t="shared" si="218"/>
        <v>75561.771047050774</v>
      </c>
      <c r="CF633">
        <f t="shared" si="219"/>
        <v>78918.385863841031</v>
      </c>
    </row>
    <row r="634" spans="12:84" x14ac:dyDescent="0.25">
      <c r="L634">
        <v>623</v>
      </c>
      <c r="M634">
        <f t="shared" si="231"/>
        <v>3.914424446372911</v>
      </c>
      <c r="P634">
        <f t="shared" si="225"/>
        <v>16420.317584890945</v>
      </c>
      <c r="Q634">
        <f t="shared" si="226"/>
        <v>4009.1729050325343</v>
      </c>
      <c r="V634">
        <f t="shared" si="227"/>
        <v>-22505.777690576339</v>
      </c>
      <c r="W634">
        <f t="shared" si="228"/>
        <v>7556.4210335227745</v>
      </c>
      <c r="AB634">
        <f t="shared" si="229"/>
        <v>-8579.6824151090568</v>
      </c>
      <c r="AC634">
        <f t="shared" si="230"/>
        <v>-18490.827094967466</v>
      </c>
      <c r="AW634">
        <v>627</v>
      </c>
      <c r="AX634">
        <f t="shared" si="220"/>
        <v>313.5</v>
      </c>
      <c r="AZ634">
        <f t="shared" si="221"/>
        <v>45196.848151188671</v>
      </c>
      <c r="BB634">
        <f t="shared" si="222"/>
        <v>43125.159837122294</v>
      </c>
      <c r="BD634">
        <f t="shared" si="223"/>
        <v>-4731.8428528585655</v>
      </c>
      <c r="BF634">
        <f t="shared" si="224"/>
        <v>-1598.1656491430901</v>
      </c>
      <c r="BH634">
        <f t="shared" si="209"/>
        <v>-233.16690525453325</v>
      </c>
      <c r="BJ634">
        <f t="shared" si="210"/>
        <v>-288.43842485322182</v>
      </c>
      <c r="BN634" s="20">
        <f t="shared" si="211"/>
        <v>-147.05760295189322</v>
      </c>
      <c r="BP634">
        <f t="shared" si="212"/>
        <v>-207.92087085614767</v>
      </c>
      <c r="BR634">
        <f t="shared" si="213"/>
        <v>-29.532632167453492</v>
      </c>
      <c r="BT634">
        <f t="shared" si="214"/>
        <v>-15.00491494142881</v>
      </c>
      <c r="BV634">
        <f t="shared" si="215"/>
        <v>-56.576670135186539</v>
      </c>
      <c r="BX634">
        <f t="shared" si="216"/>
        <v>-65.512639055645323</v>
      </c>
      <c r="CB634">
        <f t="shared" si="217"/>
        <v>43635.228545002159</v>
      </c>
      <c r="CD634">
        <f t="shared" si="218"/>
        <v>73129.37318946507</v>
      </c>
      <c r="CF634">
        <f t="shared" si="219"/>
        <v>76800.11569265055</v>
      </c>
    </row>
    <row r="635" spans="12:84" x14ac:dyDescent="0.25">
      <c r="L635">
        <v>624</v>
      </c>
      <c r="M635">
        <f t="shared" si="231"/>
        <v>3.9207076316800906</v>
      </c>
      <c r="P635">
        <f t="shared" si="225"/>
        <v>16442.321613953674</v>
      </c>
      <c r="Q635">
        <f t="shared" si="226"/>
        <v>3986.7501510056518</v>
      </c>
      <c r="V635">
        <f t="shared" si="227"/>
        <v>-22490.37487023243</v>
      </c>
      <c r="W635">
        <f t="shared" si="228"/>
        <v>7540.7251057039557</v>
      </c>
      <c r="AB635">
        <f t="shared" si="229"/>
        <v>-8557.6783860463256</v>
      </c>
      <c r="AC635">
        <f t="shared" si="230"/>
        <v>-18513.249848994346</v>
      </c>
      <c r="AW635">
        <v>628</v>
      </c>
      <c r="AX635">
        <f t="shared" si="220"/>
        <v>314</v>
      </c>
      <c r="AZ635">
        <f t="shared" si="221"/>
        <v>42801.780861602572</v>
      </c>
      <c r="BB635">
        <f t="shared" si="222"/>
        <v>42290.022209444098</v>
      </c>
      <c r="BD635">
        <f t="shared" si="223"/>
        <v>-4848.426305485832</v>
      </c>
      <c r="BF635">
        <f t="shared" si="224"/>
        <v>-1742.3848615697011</v>
      </c>
      <c r="BH635">
        <f t="shared" si="209"/>
        <v>-242.70379088560452</v>
      </c>
      <c r="BJ635">
        <f t="shared" si="210"/>
        <v>-319.17880348001211</v>
      </c>
      <c r="BN635" s="20">
        <f t="shared" si="211"/>
        <v>-152.47399065150375</v>
      </c>
      <c r="BP635">
        <f t="shared" si="212"/>
        <v>-232.63856245812403</v>
      </c>
      <c r="BR635">
        <f t="shared" si="213"/>
        <v>-31.562670075558767</v>
      </c>
      <c r="BT635">
        <f t="shared" si="214"/>
        <v>-16.22819136252026</v>
      </c>
      <c r="BV635">
        <f t="shared" si="215"/>
        <v>-58.667130158542008</v>
      </c>
      <c r="BX635">
        <f t="shared" si="216"/>
        <v>-70.312049659367844</v>
      </c>
      <c r="CB635">
        <f t="shared" si="217"/>
        <v>41596.476482920509</v>
      </c>
      <c r="CD635">
        <f t="shared" si="218"/>
        <v>70616.635530695916</v>
      </c>
      <c r="CF635">
        <f t="shared" si="219"/>
        <v>74613.382836454155</v>
      </c>
    </row>
    <row r="636" spans="12:84" x14ac:dyDescent="0.25">
      <c r="L636">
        <v>625</v>
      </c>
      <c r="M636">
        <f t="shared" si="231"/>
        <v>3.9269908169872703</v>
      </c>
      <c r="P636">
        <f t="shared" si="225"/>
        <v>16464.466094067364</v>
      </c>
      <c r="Q636">
        <f t="shared" si="226"/>
        <v>3964.4660940671611</v>
      </c>
      <c r="V636">
        <f t="shared" si="227"/>
        <v>-22474.873734152847</v>
      </c>
      <c r="W636">
        <f t="shared" si="228"/>
        <v>7525.1262658470132</v>
      </c>
      <c r="AB636">
        <f t="shared" si="229"/>
        <v>-8535.5339059326361</v>
      </c>
      <c r="AC636">
        <f t="shared" si="230"/>
        <v>-18535.53390593284</v>
      </c>
      <c r="AW636">
        <v>629</v>
      </c>
      <c r="AX636">
        <f t="shared" si="220"/>
        <v>314.5</v>
      </c>
      <c r="AZ636">
        <f t="shared" si="221"/>
        <v>40347.229734998953</v>
      </c>
      <c r="BB636">
        <f t="shared" si="222"/>
        <v>41378.932428224245</v>
      </c>
      <c r="BD636">
        <f t="shared" si="223"/>
        <v>-4969.7782009286339</v>
      </c>
      <c r="BF636">
        <f t="shared" si="224"/>
        <v>-1901.9742633097071</v>
      </c>
      <c r="BH636">
        <f t="shared" si="209"/>
        <v>-252.10204898362483</v>
      </c>
      <c r="BJ636">
        <f t="shared" si="210"/>
        <v>-355.24077114961062</v>
      </c>
      <c r="BN636" s="20">
        <f t="shared" si="211"/>
        <v>-157.26750086572355</v>
      </c>
      <c r="BP636">
        <f t="shared" si="212"/>
        <v>-261.85653302084859</v>
      </c>
      <c r="BR636">
        <f t="shared" si="213"/>
        <v>-33.901457027714294</v>
      </c>
      <c r="BT636">
        <f t="shared" si="214"/>
        <v>-17.627843630310654</v>
      </c>
      <c r="BV636">
        <f t="shared" si="215"/>
        <v>-60.933091090186991</v>
      </c>
      <c r="BX636">
        <f t="shared" si="216"/>
        <v>-75.756394498451385</v>
      </c>
      <c r="CB636">
        <f t="shared" si="217"/>
        <v>39519.511894316332</v>
      </c>
      <c r="CD636">
        <f t="shared" si="218"/>
        <v>68017.832492838264</v>
      </c>
      <c r="CF636">
        <f t="shared" si="219"/>
        <v>72352.990721773545</v>
      </c>
    </row>
    <row r="637" spans="12:84" x14ac:dyDescent="0.25">
      <c r="L637">
        <v>626</v>
      </c>
      <c r="M637">
        <f t="shared" si="231"/>
        <v>3.9332740022944499</v>
      </c>
      <c r="P637">
        <f t="shared" si="225"/>
        <v>16486.750151005857</v>
      </c>
      <c r="Q637">
        <f t="shared" si="226"/>
        <v>3942.321613953472</v>
      </c>
      <c r="V637">
        <f t="shared" si="227"/>
        <v>-22459.274894295901</v>
      </c>
      <c r="W637">
        <f t="shared" si="228"/>
        <v>7509.6251297674307</v>
      </c>
      <c r="AB637">
        <f t="shared" si="229"/>
        <v>-8513.2498489941445</v>
      </c>
      <c r="AC637">
        <f t="shared" si="230"/>
        <v>-18557.678386046529</v>
      </c>
      <c r="AW637">
        <v>630</v>
      </c>
      <c r="AX637">
        <f t="shared" si="220"/>
        <v>315</v>
      </c>
      <c r="AZ637">
        <f t="shared" si="221"/>
        <v>37830.827878411685</v>
      </c>
      <c r="BB637">
        <f t="shared" si="222"/>
        <v>40383.540200175688</v>
      </c>
      <c r="BD637">
        <f t="shared" si="223"/>
        <v>-5095.8292254204462</v>
      </c>
      <c r="BF637">
        <f t="shared" si="224"/>
        <v>-2079.5946488845125</v>
      </c>
      <c r="BH637">
        <f t="shared" si="209"/>
        <v>-260.84298662123194</v>
      </c>
      <c r="BJ637">
        <f t="shared" si="210"/>
        <v>-397.80893417614095</v>
      </c>
      <c r="BN637" s="20">
        <f t="shared" si="211"/>
        <v>-160.8245143272799</v>
      </c>
      <c r="BP637">
        <f t="shared" si="212"/>
        <v>-296.59191475106769</v>
      </c>
      <c r="BR637">
        <f t="shared" si="213"/>
        <v>-36.622235399835155</v>
      </c>
      <c r="BT637">
        <f t="shared" si="214"/>
        <v>-19.240830579680594</v>
      </c>
      <c r="BV637">
        <f t="shared" si="215"/>
        <v>-63.39623689411691</v>
      </c>
      <c r="BX637">
        <f t="shared" si="216"/>
        <v>-81.97618884539267</v>
      </c>
      <c r="CB637">
        <f t="shared" si="217"/>
        <v>37406.759267893198</v>
      </c>
      <c r="CD637">
        <f t="shared" si="218"/>
        <v>65326.596177959327</v>
      </c>
      <c r="CF637">
        <f t="shared" si="219"/>
        <v>70012.972668317714</v>
      </c>
    </row>
    <row r="638" spans="12:84" x14ac:dyDescent="0.25">
      <c r="L638">
        <v>627</v>
      </c>
      <c r="M638">
        <f t="shared" si="231"/>
        <v>3.9395571876016295</v>
      </c>
      <c r="P638">
        <f t="shared" si="225"/>
        <v>16509.172905032741</v>
      </c>
      <c r="Q638">
        <f t="shared" si="226"/>
        <v>3920.3175848907435</v>
      </c>
      <c r="V638">
        <f t="shared" si="227"/>
        <v>-22443.578966477082</v>
      </c>
      <c r="W638">
        <f t="shared" si="228"/>
        <v>7494.2223094235205</v>
      </c>
      <c r="AB638">
        <f t="shared" si="229"/>
        <v>-8490.8270949672606</v>
      </c>
      <c r="AC638">
        <f t="shared" si="230"/>
        <v>-18579.682415109255</v>
      </c>
      <c r="AW638">
        <v>631</v>
      </c>
      <c r="AX638">
        <f t="shared" si="220"/>
        <v>315.5</v>
      </c>
      <c r="AZ638">
        <f t="shared" si="221"/>
        <v>35250.307892373807</v>
      </c>
      <c r="BB638">
        <f t="shared" si="222"/>
        <v>39294.016758961414</v>
      </c>
      <c r="BD638">
        <f t="shared" si="223"/>
        <v>-5226.2507187310621</v>
      </c>
      <c r="BF638">
        <f t="shared" si="224"/>
        <v>-2278.4991159725828</v>
      </c>
      <c r="BH638">
        <f t="shared" si="209"/>
        <v>-268.06806343899098</v>
      </c>
      <c r="BJ638">
        <f t="shared" si="210"/>
        <v>-448.33342052756234</v>
      </c>
      <c r="BN638" s="20">
        <f t="shared" si="211"/>
        <v>-162.16383094813335</v>
      </c>
      <c r="BP638">
        <f t="shared" si="212"/>
        <v>-338.08101418336668</v>
      </c>
      <c r="BR638">
        <f t="shared" si="213"/>
        <v>-39.822462022824183</v>
      </c>
      <c r="BT638">
        <f t="shared" si="214"/>
        <v>-21.11408812693216</v>
      </c>
      <c r="BV638">
        <f t="shared" si="215"/>
        <v>-66.08177046803344</v>
      </c>
      <c r="BX638">
        <f t="shared" si="216"/>
        <v>-89.138318217263503</v>
      </c>
      <c r="CB638">
        <f t="shared" si="217"/>
        <v>35262.322562209629</v>
      </c>
      <c r="CD638">
        <f t="shared" si="218"/>
        <v>62535.877223210162</v>
      </c>
      <c r="CF638">
        <f t="shared" si="219"/>
        <v>67586.444952026228</v>
      </c>
    </row>
    <row r="639" spans="12:84" x14ac:dyDescent="0.25">
      <c r="L639">
        <v>628</v>
      </c>
      <c r="M639">
        <f t="shared" si="231"/>
        <v>3.9458403729088092</v>
      </c>
      <c r="P639">
        <f t="shared" si="225"/>
        <v>16531.73347093608</v>
      </c>
      <c r="Q639">
        <f t="shared" si="226"/>
        <v>3898.4548755603655</v>
      </c>
      <c r="V639">
        <f t="shared" si="227"/>
        <v>-22427.786570344746</v>
      </c>
      <c r="W639">
        <f t="shared" si="228"/>
        <v>7478.9184128922552</v>
      </c>
      <c r="AB639">
        <f t="shared" si="229"/>
        <v>-8468.2665290639197</v>
      </c>
      <c r="AC639">
        <f t="shared" si="230"/>
        <v>-18601.545124439635</v>
      </c>
      <c r="AW639">
        <v>632</v>
      </c>
      <c r="AX639">
        <f t="shared" si="220"/>
        <v>316</v>
      </c>
      <c r="AZ639">
        <f t="shared" si="221"/>
        <v>32603.674025078402</v>
      </c>
      <c r="BB639">
        <f t="shared" si="222"/>
        <v>38098.725523409179</v>
      </c>
      <c r="BD639">
        <f t="shared" si="223"/>
        <v>-5360.2847504505571</v>
      </c>
      <c r="BF639">
        <f t="shared" si="224"/>
        <v>-2502.665826236364</v>
      </c>
      <c r="BH639">
        <f t="shared" si="209"/>
        <v>-272.37741506728867</v>
      </c>
      <c r="BJ639">
        <f t="shared" si="210"/>
        <v>-508.53906718314465</v>
      </c>
      <c r="BN639" s="20">
        <f t="shared" si="211"/>
        <v>-159.72413821989238</v>
      </c>
      <c r="BP639">
        <f t="shared" si="212"/>
        <v>-387.77225237092358</v>
      </c>
      <c r="BR639">
        <f t="shared" si="213"/>
        <v>-43.634214681585775</v>
      </c>
      <c r="BT639">
        <f t="shared" si="214"/>
        <v>-23.307608156473481</v>
      </c>
      <c r="BV639">
        <f t="shared" si="215"/>
        <v>-69.019062165810496</v>
      </c>
      <c r="BX639">
        <f t="shared" si="216"/>
        <v>-97.459206655747636</v>
      </c>
      <c r="CB639">
        <f t="shared" si="217"/>
        <v>33092.81799102894</v>
      </c>
      <c r="CD639">
        <f t="shared" si="218"/>
        <v>59637.948463848043</v>
      </c>
      <c r="CF639">
        <f t="shared" si="219"/>
        <v>65065.435927185659</v>
      </c>
    </row>
    <row r="640" spans="12:84" x14ac:dyDescent="0.25">
      <c r="L640">
        <v>629</v>
      </c>
      <c r="M640">
        <f t="shared" si="231"/>
        <v>3.9521235582159888</v>
      </c>
      <c r="P640">
        <f t="shared" si="225"/>
        <v>16554.430958063364</v>
      </c>
      <c r="Q640">
        <f t="shared" si="226"/>
        <v>3876.7343490646672</v>
      </c>
      <c r="V640">
        <f t="shared" si="227"/>
        <v>-22411.898329355645</v>
      </c>
      <c r="W640">
        <f t="shared" si="228"/>
        <v>7463.7140443452672</v>
      </c>
      <c r="AB640">
        <f t="shared" si="229"/>
        <v>-8445.5690419366365</v>
      </c>
      <c r="AC640">
        <f t="shared" si="230"/>
        <v>-18623.265650935333</v>
      </c>
      <c r="AW640">
        <v>633</v>
      </c>
      <c r="AX640">
        <f t="shared" si="220"/>
        <v>316.5</v>
      </c>
      <c r="AZ640">
        <f t="shared" si="221"/>
        <v>29889.484472969714</v>
      </c>
      <c r="BB640">
        <f t="shared" si="222"/>
        <v>36783.825226893103</v>
      </c>
      <c r="BD640">
        <f t="shared" si="223"/>
        <v>-5496.4734579842016</v>
      </c>
      <c r="BF640">
        <f t="shared" si="224"/>
        <v>-2756.9353598279363</v>
      </c>
      <c r="BH640">
        <f t="shared" si="209"/>
        <v>-271.51868763375847</v>
      </c>
      <c r="BJ640">
        <f t="shared" si="210"/>
        <v>-580.35660424843616</v>
      </c>
      <c r="BN640" s="20">
        <f t="shared" si="211"/>
        <v>-151.03618515953502</v>
      </c>
      <c r="BP640">
        <f t="shared" si="212"/>
        <v>-447.2343590039867</v>
      </c>
      <c r="BR640">
        <f t="shared" si="213"/>
        <v>-48.240126322491875</v>
      </c>
      <c r="BT640">
        <f t="shared" si="214"/>
        <v>-25.898345633234744</v>
      </c>
      <c r="BV640">
        <f t="shared" si="215"/>
        <v>-72.242376151731591</v>
      </c>
      <c r="BX640">
        <f t="shared" si="216"/>
        <v>-107.22389961121472</v>
      </c>
      <c r="CB640">
        <f t="shared" si="217"/>
        <v>30908.644794949036</v>
      </c>
      <c r="CD640">
        <f t="shared" si="218"/>
        <v>56624.499598349139</v>
      </c>
      <c r="CF640">
        <f t="shared" si="219"/>
        <v>62440.697320890045</v>
      </c>
    </row>
    <row r="641" spans="12:84" x14ac:dyDescent="0.25">
      <c r="L641">
        <v>630</v>
      </c>
      <c r="M641">
        <f t="shared" si="231"/>
        <v>3.9584067435231685</v>
      </c>
      <c r="P641">
        <f t="shared" si="225"/>
        <v>16577.264470356662</v>
      </c>
      <c r="Q641">
        <f t="shared" si="226"/>
        <v>3855.1568628928435</v>
      </c>
      <c r="V641">
        <f t="shared" si="227"/>
        <v>-22395.914870750337</v>
      </c>
      <c r="W641">
        <f t="shared" si="228"/>
        <v>7448.6098040249908</v>
      </c>
      <c r="AB641">
        <f t="shared" si="229"/>
        <v>-8422.7355296433379</v>
      </c>
      <c r="AC641">
        <f t="shared" si="230"/>
        <v>-18644.843137107157</v>
      </c>
      <c r="AW641">
        <v>634</v>
      </c>
      <c r="AX641">
        <f t="shared" si="220"/>
        <v>317</v>
      </c>
      <c r="AZ641">
        <f t="shared" si="221"/>
        <v>27107.307908023391</v>
      </c>
      <c r="BB641">
        <f t="shared" si="222"/>
        <v>35332.812971448075</v>
      </c>
      <c r="BD641">
        <f t="shared" si="223"/>
        <v>-5632.2328018010812</v>
      </c>
      <c r="BF641">
        <f t="shared" si="224"/>
        <v>-3047.1136619521544</v>
      </c>
      <c r="BH641">
        <f t="shared" si="209"/>
        <v>-261.93053662233575</v>
      </c>
      <c r="BJ641">
        <f t="shared" si="210"/>
        <v>-665.66436938678544</v>
      </c>
      <c r="BN641" s="20">
        <f t="shared" si="211"/>
        <v>-132.24062389671045</v>
      </c>
      <c r="BP641">
        <f t="shared" si="212"/>
        <v>-517.86535771015531</v>
      </c>
      <c r="BR641">
        <f t="shared" si="213"/>
        <v>-53.898310733347813</v>
      </c>
      <c r="BT641">
        <f t="shared" si="214"/>
        <v>-28.984798451034731</v>
      </c>
      <c r="BV641">
        <f t="shared" si="215"/>
        <v>-75.791601992277492</v>
      </c>
      <c r="BX641">
        <f t="shared" si="216"/>
        <v>-118.81421322559532</v>
      </c>
      <c r="CB641">
        <f t="shared" si="217"/>
        <v>28725.934338208393</v>
      </c>
      <c r="CD641">
        <f t="shared" si="218"/>
        <v>53486.913085236942</v>
      </c>
      <c r="CF641">
        <f t="shared" si="219"/>
        <v>59701.518261426092</v>
      </c>
    </row>
    <row r="642" spans="12:84" x14ac:dyDescent="0.25">
      <c r="L642">
        <v>631</v>
      </c>
      <c r="M642">
        <f t="shared" si="231"/>
        <v>3.9646899288303481</v>
      </c>
      <c r="P642">
        <f t="shared" si="225"/>
        <v>16600.233106388012</v>
      </c>
      <c r="Q642">
        <f t="shared" si="226"/>
        <v>3833.7232688871013</v>
      </c>
      <c r="V642">
        <f t="shared" si="227"/>
        <v>-22379.836825528393</v>
      </c>
      <c r="W642">
        <f t="shared" si="228"/>
        <v>7433.6062882209717</v>
      </c>
      <c r="AB642">
        <f t="shared" si="229"/>
        <v>-8399.7668936119899</v>
      </c>
      <c r="AC642">
        <f t="shared" si="230"/>
        <v>-18666.276731112899</v>
      </c>
      <c r="AW642">
        <v>635</v>
      </c>
      <c r="AX642">
        <f t="shared" si="220"/>
        <v>317.5</v>
      </c>
      <c r="AZ642">
        <f t="shared" si="221"/>
        <v>24258.45019004506</v>
      </c>
      <c r="BB642">
        <f t="shared" si="222"/>
        <v>33726.048094298647</v>
      </c>
      <c r="BD642">
        <f t="shared" si="223"/>
        <v>-5763.1980701122493</v>
      </c>
      <c r="BF642">
        <f t="shared" si="224"/>
        <v>-3379.9458466455471</v>
      </c>
      <c r="BH642">
        <f t="shared" si="209"/>
        <v>-238.14813339345199</v>
      </c>
      <c r="BJ642">
        <f t="shared" si="210"/>
        <v>-765.61660027621019</v>
      </c>
      <c r="BN642" s="20">
        <f t="shared" si="211"/>
        <v>-97.453205836134273</v>
      </c>
      <c r="BP642">
        <f t="shared" si="212"/>
        <v>-600.17432378961314</v>
      </c>
      <c r="BR642">
        <f t="shared" si="213"/>
        <v>-60.982157220687263</v>
      </c>
      <c r="BT642">
        <f t="shared" si="214"/>
        <v>-32.691284690252154</v>
      </c>
      <c r="BV642">
        <f t="shared" si="215"/>
        <v>-79.712770336630456</v>
      </c>
      <c r="BX642">
        <f t="shared" si="216"/>
        <v>-132.75099179634492</v>
      </c>
      <c r="CB642">
        <f t="shared" si="217"/>
        <v>26569.531359539644</v>
      </c>
      <c r="CD642">
        <f t="shared" si="218"/>
        <v>50216.887312911698</v>
      </c>
      <c r="CF642">
        <f t="shared" si="219"/>
        <v>56835.593340892046</v>
      </c>
    </row>
    <row r="643" spans="12:84" x14ac:dyDescent="0.25">
      <c r="L643">
        <v>632</v>
      </c>
      <c r="M643">
        <f t="shared" si="231"/>
        <v>3.9709731141375277</v>
      </c>
      <c r="P643">
        <f t="shared" si="225"/>
        <v>16623.335959394986</v>
      </c>
      <c r="Q643">
        <f t="shared" si="226"/>
        <v>3812.4344132090323</v>
      </c>
      <c r="V643">
        <f t="shared" si="227"/>
        <v>-22363.664828423509</v>
      </c>
      <c r="W643">
        <f t="shared" si="228"/>
        <v>7418.7040892463228</v>
      </c>
      <c r="AB643">
        <f t="shared" si="229"/>
        <v>-8376.6640406050137</v>
      </c>
      <c r="AC643">
        <f t="shared" si="230"/>
        <v>-18687.565586790966</v>
      </c>
      <c r="AW643">
        <v>636</v>
      </c>
      <c r="AX643">
        <f t="shared" si="220"/>
        <v>318</v>
      </c>
      <c r="AZ643">
        <f t="shared" si="221"/>
        <v>21347.082638314751</v>
      </c>
      <c r="BB643">
        <f t="shared" si="222"/>
        <v>31940.373095941348</v>
      </c>
      <c r="BD643">
        <f t="shared" si="223"/>
        <v>-5882.2721368089751</v>
      </c>
      <c r="BF643">
        <f t="shared" si="224"/>
        <v>-3762.7541467836522</v>
      </c>
      <c r="BH643">
        <f t="shared" si="209"/>
        <v>-192.25674543047086</v>
      </c>
      <c r="BJ643">
        <f t="shared" si="210"/>
        <v>-879.16319891201761</v>
      </c>
      <c r="BN643" s="20">
        <f t="shared" si="211"/>
        <v>-38.15404683678473</v>
      </c>
      <c r="BP643">
        <f t="shared" si="212"/>
        <v>-692.23603161987899</v>
      </c>
      <c r="BR643">
        <f t="shared" si="213"/>
        <v>-70.044955993924475</v>
      </c>
      <c r="BT643">
        <f t="shared" si="214"/>
        <v>-37.168582882589909</v>
      </c>
      <c r="BV643">
        <f t="shared" si="215"/>
        <v>-84.057742599761667</v>
      </c>
      <c r="BX643">
        <f t="shared" si="216"/>
        <v>-149.75858440954875</v>
      </c>
      <c r="CB643">
        <f t="shared" si="217"/>
        <v>24477.468592631525</v>
      </c>
      <c r="CD643">
        <f t="shared" si="218"/>
        <v>46807.70464665765</v>
      </c>
      <c r="CF643">
        <f t="shared" si="219"/>
        <v>53829.057115431264</v>
      </c>
    </row>
    <row r="644" spans="12:84" x14ac:dyDescent="0.25">
      <c r="L644">
        <v>633</v>
      </c>
      <c r="M644">
        <f t="shared" si="231"/>
        <v>3.9772562994447074</v>
      </c>
      <c r="P644">
        <f t="shared" si="225"/>
        <v>16646.572117316508</v>
      </c>
      <c r="Q644">
        <f t="shared" si="226"/>
        <v>3791.2911363062062</v>
      </c>
      <c r="V644">
        <f t="shared" si="227"/>
        <v>-22347.399517878446</v>
      </c>
      <c r="W644">
        <f t="shared" si="228"/>
        <v>7403.9037954143441</v>
      </c>
      <c r="AB644">
        <f t="shared" si="229"/>
        <v>-8353.4278826834925</v>
      </c>
      <c r="AC644">
        <f t="shared" si="230"/>
        <v>-18708.708863693795</v>
      </c>
      <c r="AW644">
        <v>637</v>
      </c>
      <c r="AX644">
        <f t="shared" si="220"/>
        <v>318.5</v>
      </c>
      <c r="AZ644">
        <f t="shared" si="221"/>
        <v>18381.914476731454</v>
      </c>
      <c r="BB644">
        <f t="shared" si="222"/>
        <v>29949.100622685521</v>
      </c>
      <c r="BD644">
        <f t="shared" si="223"/>
        <v>-5978.400509524211</v>
      </c>
      <c r="BF644">
        <f t="shared" si="224"/>
        <v>-4202.3357462396607</v>
      </c>
      <c r="BH644">
        <f t="shared" si="209"/>
        <v>-114.0961982988818</v>
      </c>
      <c r="BJ644">
        <f t="shared" si="210"/>
        <v>-1000.2470601506724</v>
      </c>
      <c r="BN644" s="20">
        <f t="shared" si="211"/>
        <v>56.711041259564958</v>
      </c>
      <c r="BP644">
        <f t="shared" si="212"/>
        <v>-786.80134847356362</v>
      </c>
      <c r="BR644">
        <f t="shared" si="213"/>
        <v>-81.925805604083649</v>
      </c>
      <c r="BT644">
        <f t="shared" si="214"/>
        <v>-42.581152135629907</v>
      </c>
      <c r="BV644">
        <f t="shared" si="215"/>
        <v>-88.881433954363118</v>
      </c>
      <c r="BX644">
        <f t="shared" si="216"/>
        <v>-170.86455954147877</v>
      </c>
      <c r="CB644">
        <f t="shared" si="217"/>
        <v>22507.339236970474</v>
      </c>
      <c r="CD644">
        <f t="shared" si="218"/>
        <v>43256.652373399855</v>
      </c>
      <c r="CF644">
        <f t="shared" si="219"/>
        <v>50666.908050378326</v>
      </c>
    </row>
    <row r="645" spans="12:84" x14ac:dyDescent="0.25">
      <c r="L645">
        <v>634</v>
      </c>
      <c r="M645">
        <f t="shared" si="231"/>
        <v>3.983539484751887</v>
      </c>
      <c r="P645">
        <f t="shared" si="225"/>
        <v>16669.940662828853</v>
      </c>
      <c r="Q645">
        <f t="shared" si="226"/>
        <v>3770.2942728789922</v>
      </c>
      <c r="V645">
        <f t="shared" si="227"/>
        <v>-22331.041536019806</v>
      </c>
      <c r="W645">
        <f t="shared" si="228"/>
        <v>7389.2059910152948</v>
      </c>
      <c r="AB645">
        <f t="shared" si="229"/>
        <v>-8330.0593371711493</v>
      </c>
      <c r="AC645">
        <f t="shared" si="230"/>
        <v>-18729.705727121007</v>
      </c>
      <c r="AW645">
        <v>638</v>
      </c>
      <c r="AX645">
        <f t="shared" si="220"/>
        <v>319</v>
      </c>
      <c r="AZ645">
        <f t="shared" si="221"/>
        <v>15378.452197181989</v>
      </c>
      <c r="BB645">
        <f t="shared" si="222"/>
        <v>27722.901867046858</v>
      </c>
      <c r="BD645">
        <f t="shared" si="223"/>
        <v>-6035.4486086736515</v>
      </c>
      <c r="BF645">
        <f t="shared" si="224"/>
        <v>-4702.4592763149967</v>
      </c>
      <c r="BH645">
        <f t="shared" si="209"/>
        <v>5.9867234809376271</v>
      </c>
      <c r="BJ645">
        <f t="shared" si="210"/>
        <v>-1113.6303724798408</v>
      </c>
      <c r="BN645" s="20">
        <f t="shared" si="211"/>
        <v>198.14064812607887</v>
      </c>
      <c r="BP645">
        <f t="shared" si="212"/>
        <v>-867.02097519871586</v>
      </c>
      <c r="BR645">
        <f t="shared" si="213"/>
        <v>-97.921763597126386</v>
      </c>
      <c r="BT645">
        <f t="shared" si="214"/>
        <v>-49.054090812324091</v>
      </c>
      <c r="BV645">
        <f t="shared" si="215"/>
        <v>-94.232161048014859</v>
      </c>
      <c r="BX645">
        <f t="shared" si="216"/>
        <v>-197.55530646880075</v>
      </c>
      <c r="CB645">
        <f t="shared" si="217"/>
        <v>20744.263400225598</v>
      </c>
      <c r="CD645">
        <f t="shared" si="218"/>
        <v>39569.383751295201</v>
      </c>
      <c r="CF645">
        <f t="shared" si="219"/>
        <v>47334.212340485261</v>
      </c>
    </row>
    <row r="646" spans="12:84" x14ac:dyDescent="0.25">
      <c r="L646">
        <v>635</v>
      </c>
      <c r="M646">
        <f t="shared" si="231"/>
        <v>3.9898226700590667</v>
      </c>
      <c r="P646">
        <f t="shared" si="225"/>
        <v>16693.440673381851</v>
      </c>
      <c r="Q646">
        <f t="shared" si="226"/>
        <v>3749.4446518476057</v>
      </c>
      <c r="V646">
        <f t="shared" si="227"/>
        <v>-22314.591528632704</v>
      </c>
      <c r="W646">
        <f t="shared" si="228"/>
        <v>7374.611256293324</v>
      </c>
      <c r="AB646">
        <f t="shared" si="229"/>
        <v>-8306.5593266181495</v>
      </c>
      <c r="AC646">
        <f t="shared" si="230"/>
        <v>-18750.555348152393</v>
      </c>
      <c r="AW646">
        <v>639</v>
      </c>
      <c r="AX646">
        <f t="shared" si="220"/>
        <v>319.5</v>
      </c>
      <c r="AZ646">
        <f t="shared" si="221"/>
        <v>12361.47623328028</v>
      </c>
      <c r="BB646">
        <f t="shared" si="222"/>
        <v>25232.468432329377</v>
      </c>
      <c r="BD646">
        <f t="shared" si="223"/>
        <v>-6032.4552469331829</v>
      </c>
      <c r="BF646">
        <f t="shared" si="224"/>
        <v>-5259.2744625549167</v>
      </c>
      <c r="BH646">
        <f t="shared" si="209"/>
        <v>168.8750985189219</v>
      </c>
      <c r="BJ646">
        <f t="shared" si="210"/>
        <v>-1191.6979756370717</v>
      </c>
      <c r="BN646" s="20">
        <f t="shared" si="211"/>
        <v>389.05329935755981</v>
      </c>
      <c r="BP646">
        <f t="shared" si="212"/>
        <v>-903.16866976433687</v>
      </c>
      <c r="BR646">
        <f t="shared" si="213"/>
        <v>-120.05496460311393</v>
      </c>
      <c r="BT646">
        <f t="shared" si="214"/>
        <v>-56.509580875692528</v>
      </c>
      <c r="BV646">
        <f t="shared" si="215"/>
        <v>-100.12323623552396</v>
      </c>
      <c r="BX646">
        <f t="shared" si="216"/>
        <v>-232.01972499704226</v>
      </c>
      <c r="CB646">
        <f t="shared" si="217"/>
        <v>19307.705250451174</v>
      </c>
      <c r="CD646">
        <f t="shared" si="218"/>
        <v>35767.208984474528</v>
      </c>
      <c r="CF646">
        <f t="shared" si="219"/>
        <v>43818.630434521066</v>
      </c>
    </row>
    <row r="647" spans="12:84" x14ac:dyDescent="0.25">
      <c r="L647">
        <v>636</v>
      </c>
      <c r="M647">
        <f t="shared" si="231"/>
        <v>3.9961058553662463</v>
      </c>
      <c r="P647">
        <f t="shared" si="225"/>
        <v>16717.071221235328</v>
      </c>
      <c r="Q647">
        <f t="shared" si="226"/>
        <v>3728.7430963193847</v>
      </c>
      <c r="V647">
        <f t="shared" si="227"/>
        <v>-22298.050145135268</v>
      </c>
      <c r="W647">
        <f t="shared" si="228"/>
        <v>7360.120167423569</v>
      </c>
      <c r="AB647">
        <f t="shared" si="229"/>
        <v>-8282.9287787646717</v>
      </c>
      <c r="AC647">
        <f t="shared" si="230"/>
        <v>-18771.256903680616</v>
      </c>
      <c r="AW647">
        <v>640</v>
      </c>
      <c r="AX647">
        <f t="shared" si="220"/>
        <v>320</v>
      </c>
      <c r="AZ647">
        <f t="shared" si="221"/>
        <v>9366.3579971285544</v>
      </c>
      <c r="BB647">
        <f t="shared" si="222"/>
        <v>22453.868954097285</v>
      </c>
      <c r="BD647">
        <f t="shared" si="223"/>
        <v>-5948.0176976737221</v>
      </c>
      <c r="BF647">
        <f t="shared" si="224"/>
        <v>-5855.1234503734522</v>
      </c>
      <c r="BH647">
        <f t="shared" si="209"/>
        <v>352.23821960749439</v>
      </c>
      <c r="BJ647">
        <f t="shared" si="210"/>
        <v>-1199.7531909679697</v>
      </c>
      <c r="BN647" s="20">
        <f t="shared" si="211"/>
        <v>610.12244155498581</v>
      </c>
      <c r="BP647">
        <f t="shared" si="212"/>
        <v>-858.00246373758205</v>
      </c>
      <c r="BR647">
        <f t="shared" si="213"/>
        <v>-151.43024948133248</v>
      </c>
      <c r="BT647">
        <f t="shared" si="214"/>
        <v>-64.219488263106228</v>
      </c>
      <c r="BV647">
        <f t="shared" si="215"/>
        <v>-106.45397246615897</v>
      </c>
      <c r="BX647">
        <f t="shared" si="216"/>
        <v>-277.53123896728141</v>
      </c>
      <c r="CB647">
        <f t="shared" si="217"/>
        <v>18349.183604224643</v>
      </c>
      <c r="CD647">
        <f t="shared" si="218"/>
        <v>31897.991064349873</v>
      </c>
      <c r="CF647">
        <f t="shared" si="219"/>
        <v>40114.642485411132</v>
      </c>
    </row>
    <row r="648" spans="12:84" x14ac:dyDescent="0.25">
      <c r="L648">
        <v>637</v>
      </c>
      <c r="M648">
        <f t="shared" si="231"/>
        <v>4.0023890406734255</v>
      </c>
      <c r="P648">
        <f t="shared" si="225"/>
        <v>16740.831373495716</v>
      </c>
      <c r="Q648">
        <f t="shared" si="226"/>
        <v>3708.190423556297</v>
      </c>
      <c r="V648">
        <f t="shared" si="227"/>
        <v>-22281.418038552998</v>
      </c>
      <c r="W648">
        <f t="shared" si="228"/>
        <v>7345.7332964894076</v>
      </c>
      <c r="AB648">
        <f t="shared" si="229"/>
        <v>-8259.1686265042845</v>
      </c>
      <c r="AC648">
        <f t="shared" si="230"/>
        <v>-18791.809576443702</v>
      </c>
      <c r="AW648">
        <v>641</v>
      </c>
      <c r="AX648">
        <f t="shared" si="220"/>
        <v>320.5</v>
      </c>
      <c r="AZ648">
        <f t="shared" si="221"/>
        <v>6436.3789257426306</v>
      </c>
      <c r="BB648">
        <f t="shared" si="222"/>
        <v>19376.338080039561</v>
      </c>
      <c r="BD648">
        <f t="shared" si="223"/>
        <v>-5771.898587869975</v>
      </c>
      <c r="BF648">
        <f t="shared" si="224"/>
        <v>-6455.0000458574368</v>
      </c>
      <c r="BH648">
        <f t="shared" ref="BH648:BH711" si="232">BN648+BR648+BV648</f>
        <v>501.22858490335761</v>
      </c>
      <c r="BJ648">
        <f t="shared" ref="BJ648:BJ711" si="233">SUM(BP648,BT648,BX648)</f>
        <v>-1118.4307760028355</v>
      </c>
      <c r="BN648" s="20">
        <f t="shared" ref="BN648:BN711" si="234">$F$36*($F$32-AZ648)/(CB648^2+$F$37^2)^(3/2)</f>
        <v>810.51566224244038</v>
      </c>
      <c r="BP648">
        <f t="shared" ref="BP648:BP711" si="235">$F$36*($G$32-BB648)/(CB648^2+($F$37)^2)^(3/2)</f>
        <v>-709.68939424499627</v>
      </c>
      <c r="BR648">
        <f t="shared" ref="BR648:BR711" si="236">$F$47*($F$43-AZ648)/(CD648^2+($F$48)^2)^(3/2)</f>
        <v>-196.49107959721954</v>
      </c>
      <c r="BT648">
        <f t="shared" ref="BT648:BT711" si="237">$F$47*($G$43-BB648)/(CD648^2+($F$48)^2)^(3/2)</f>
        <v>-69.690588003392349</v>
      </c>
      <c r="BV648">
        <f t="shared" ref="BV648:BV711" si="238">$F$58*($F$54-AZ648)/(CF648^2+($F$59)^2)^(3/2)</f>
        <v>-112.79599774186315</v>
      </c>
      <c r="BX648">
        <f t="shared" ref="BX648:BX711" si="239">$F$58*($G$54-BB648)/(CF648^2+($F$59)^2)^(3/2)</f>
        <v>-339.05079375444683</v>
      </c>
      <c r="CB648">
        <f t="shared" ref="CB648:CB711" si="240">SQRT(($F$32-AZ648)^2+($G$32-BB648)^2)</f>
        <v>18028.289515021563</v>
      </c>
      <c r="CD648">
        <f t="shared" ref="CD648:CD711" si="241">SQRT(($F$43-AZ648)^2+($G$43-BB648)^2)</f>
        <v>28049.91704972849</v>
      </c>
      <c r="CF648">
        <f t="shared" ref="CF648:CF711" si="242">SQRT(($F$54-AZ648)^2+($G$54-BB648)^2)</f>
        <v>36228.764576319023</v>
      </c>
    </row>
    <row r="649" spans="12:84" x14ac:dyDescent="0.25">
      <c r="L649">
        <v>638</v>
      </c>
      <c r="M649">
        <f t="shared" si="231"/>
        <v>4.0086722259806047</v>
      </c>
      <c r="P649">
        <f t="shared" si="225"/>
        <v>16764.720192152887</v>
      </c>
      <c r="Q649">
        <f t="shared" si="226"/>
        <v>3687.7874449426686</v>
      </c>
      <c r="V649">
        <f t="shared" si="227"/>
        <v>-22264.69586549298</v>
      </c>
      <c r="W649">
        <f t="shared" si="228"/>
        <v>7331.4512114598674</v>
      </c>
      <c r="AB649">
        <f t="shared" si="229"/>
        <v>-8235.2798078471133</v>
      </c>
      <c r="AC649">
        <f t="shared" si="230"/>
        <v>-18812.212555057333</v>
      </c>
      <c r="AW649">
        <v>642</v>
      </c>
      <c r="AX649">
        <f t="shared" ref="AX649:AX712" si="243">$F$17*AW649</f>
        <v>321</v>
      </c>
      <c r="AZ649">
        <f t="shared" ref="AZ649:AZ712" si="244">AZ648+BD648*$F$17+(BH648*0.5)*$F$17^2</f>
        <v>3613.0832049205628</v>
      </c>
      <c r="BB649">
        <f t="shared" ref="BB649:BB712" si="245">BB648+(BF648*$F$17)+(BJ648*0.5)*$F$17^2</f>
        <v>16009.034210110489</v>
      </c>
      <c r="BD649">
        <f t="shared" ref="BD649:BD712" si="246">BD648+BH648*$F$17</f>
        <v>-5521.2842954182961</v>
      </c>
      <c r="BF649">
        <f t="shared" ref="BF649:BF712" si="247">BF648+BJ648*$F$17</f>
        <v>-7014.2154338588543</v>
      </c>
      <c r="BH649">
        <f t="shared" si="232"/>
        <v>548.58167907072971</v>
      </c>
      <c r="BJ649">
        <f t="shared" si="233"/>
        <v>-971.62255010505828</v>
      </c>
      <c r="BN649" s="20">
        <f t="shared" si="234"/>
        <v>926.68993641667578</v>
      </c>
      <c r="BP649">
        <f t="shared" si="235"/>
        <v>-481.19096897485554</v>
      </c>
      <c r="BR649">
        <f t="shared" si="236"/>
        <v>-260.28370935298813</v>
      </c>
      <c r="BT649">
        <f t="shared" si="237"/>
        <v>-66.236742583054081</v>
      </c>
      <c r="BV649">
        <f t="shared" si="238"/>
        <v>-117.82454799295793</v>
      </c>
      <c r="BX649">
        <f t="shared" si="239"/>
        <v>-424.19483854714878</v>
      </c>
      <c r="CB649">
        <f t="shared" si="240"/>
        <v>18464.417273168605</v>
      </c>
      <c r="CD649">
        <f t="shared" si="241"/>
        <v>24365.676485186694</v>
      </c>
      <c r="CF649">
        <f t="shared" si="242"/>
        <v>32182.998694010592</v>
      </c>
    </row>
    <row r="650" spans="12:84" x14ac:dyDescent="0.25">
      <c r="L650">
        <v>639</v>
      </c>
      <c r="M650">
        <f t="shared" si="231"/>
        <v>4.0149554112877839</v>
      </c>
      <c r="P650">
        <f t="shared" si="225"/>
        <v>16788.736734117185</v>
      </c>
      <c r="Q650">
        <f t="shared" si="226"/>
        <v>3667.5349659531603</v>
      </c>
      <c r="V650">
        <f t="shared" si="227"/>
        <v>-22247.884286117969</v>
      </c>
      <c r="W650">
        <f t="shared" si="228"/>
        <v>7317.274476167212</v>
      </c>
      <c r="AB650">
        <f t="shared" si="229"/>
        <v>-8211.2632658828134</v>
      </c>
      <c r="AC650">
        <f t="shared" si="230"/>
        <v>-18832.46503404684</v>
      </c>
      <c r="AW650">
        <v>643</v>
      </c>
      <c r="AX650">
        <f t="shared" si="243"/>
        <v>321.5</v>
      </c>
      <c r="AZ650">
        <f t="shared" si="244"/>
        <v>921.01376709525596</v>
      </c>
      <c r="BB650">
        <f t="shared" si="245"/>
        <v>12380.473674417928</v>
      </c>
      <c r="BD650">
        <f t="shared" si="246"/>
        <v>-5246.9934558829309</v>
      </c>
      <c r="BF650">
        <f t="shared" si="247"/>
        <v>-7500.0267089113831</v>
      </c>
      <c r="BH650">
        <f t="shared" si="232"/>
        <v>465.43657957947164</v>
      </c>
      <c r="BJ650">
        <f t="shared" si="233"/>
        <v>-821.06943274802245</v>
      </c>
      <c r="BN650" s="20">
        <f t="shared" si="234"/>
        <v>927.16176785525397</v>
      </c>
      <c r="BP650">
        <f t="shared" si="235"/>
        <v>-237.17133314663707</v>
      </c>
      <c r="BR650">
        <f t="shared" si="236"/>
        <v>-343.91990660784688</v>
      </c>
      <c r="BT650">
        <f t="shared" si="237"/>
        <v>-39.132534058932549</v>
      </c>
      <c r="BV650">
        <f t="shared" si="238"/>
        <v>-117.80528166793547</v>
      </c>
      <c r="BX650">
        <f t="shared" si="239"/>
        <v>-544.7655655424528</v>
      </c>
      <c r="CB650">
        <f t="shared" si="240"/>
        <v>19693.317114240941</v>
      </c>
      <c r="CD650">
        <f t="shared" si="241"/>
        <v>21056.007977714726</v>
      </c>
      <c r="CF650">
        <f t="shared" si="242"/>
        <v>28013.367213985981</v>
      </c>
    </row>
    <row r="651" spans="12:84" x14ac:dyDescent="0.25">
      <c r="L651">
        <v>640</v>
      </c>
      <c r="M651">
        <f t="shared" si="231"/>
        <v>4.0212385965949631</v>
      </c>
      <c r="P651">
        <f t="shared" ref="P651:P714" si="248">COS(M651)*$F$33+$F$32</f>
        <v>16812.880051256659</v>
      </c>
      <c r="Q651">
        <f t="shared" ref="Q651:Q714" si="249">SIN(M651)*$F$33+$G$32</f>
        <v>3647.4337861209656</v>
      </c>
      <c r="V651">
        <f t="shared" si="227"/>
        <v>-22230.98396412034</v>
      </c>
      <c r="W651">
        <f t="shared" si="228"/>
        <v>7303.2036502846759</v>
      </c>
      <c r="AB651">
        <f t="shared" si="229"/>
        <v>-8187.1199487433414</v>
      </c>
      <c r="AC651">
        <f t="shared" si="230"/>
        <v>-18852.566213879036</v>
      </c>
      <c r="AW651">
        <v>644</v>
      </c>
      <c r="AX651">
        <f t="shared" si="243"/>
        <v>322</v>
      </c>
      <c r="AZ651">
        <f t="shared" si="244"/>
        <v>-1644.3033883987757</v>
      </c>
      <c r="BB651">
        <f t="shared" si="245"/>
        <v>8527.8266408687341</v>
      </c>
      <c r="BD651">
        <f t="shared" si="246"/>
        <v>-5014.2751660931954</v>
      </c>
      <c r="BF651">
        <f t="shared" si="247"/>
        <v>-7910.5614252853948</v>
      </c>
      <c r="BH651">
        <f t="shared" si="232"/>
        <v>300.1334610005793</v>
      </c>
      <c r="BJ651">
        <f t="shared" si="233"/>
        <v>-723.67650608211773</v>
      </c>
      <c r="BN651" s="20">
        <f t="shared" si="234"/>
        <v>833.80539302028853</v>
      </c>
      <c r="BP651">
        <f t="shared" si="235"/>
        <v>-39.595055607362667</v>
      </c>
      <c r="BR651">
        <f t="shared" si="236"/>
        <v>-431.17146174540289</v>
      </c>
      <c r="BT651">
        <f t="shared" si="237"/>
        <v>34.581043293017025</v>
      </c>
      <c r="BV651">
        <f t="shared" si="238"/>
        <v>-102.50047027430634</v>
      </c>
      <c r="BX651">
        <f t="shared" si="239"/>
        <v>-718.66249376777205</v>
      </c>
      <c r="CB651">
        <f t="shared" si="240"/>
        <v>21668.693933246883</v>
      </c>
      <c r="CD651">
        <f t="shared" si="241"/>
        <v>18414.637995260306</v>
      </c>
      <c r="CF651">
        <f t="shared" si="242"/>
        <v>23765.927842015433</v>
      </c>
    </row>
    <row r="652" spans="12:84" x14ac:dyDescent="0.25">
      <c r="L652">
        <v>641</v>
      </c>
      <c r="M652">
        <f t="shared" si="231"/>
        <v>4.0275217819021423</v>
      </c>
      <c r="P652">
        <f t="shared" si="248"/>
        <v>16837.149190434484</v>
      </c>
      <c r="Q652">
        <f t="shared" si="249"/>
        <v>3627.4846990062442</v>
      </c>
      <c r="V652">
        <f t="shared" ref="V652:V715" si="250">COS(M652)*$F$44+$F$43</f>
        <v>-22213.995566695863</v>
      </c>
      <c r="W652">
        <f t="shared" ref="W652:W715" si="251">SIN(M652)*$F$44+$G$43</f>
        <v>7289.2392893043707</v>
      </c>
      <c r="AB652">
        <f t="shared" ref="AB652:AB715" si="252">COS(M652)*$F$55+$F$54</f>
        <v>-8162.8508095655161</v>
      </c>
      <c r="AC652">
        <f t="shared" ref="AC652:AC715" si="253">SIN(M652)*$F$55+$G$54</f>
        <v>-18872.515300993757</v>
      </c>
      <c r="AW652">
        <v>645</v>
      </c>
      <c r="AX652">
        <f t="shared" si="243"/>
        <v>322.5</v>
      </c>
      <c r="AZ652">
        <f t="shared" si="244"/>
        <v>-4113.9242888203007</v>
      </c>
      <c r="BB652">
        <f t="shared" si="245"/>
        <v>4482.0863649657713</v>
      </c>
      <c r="BD652">
        <f t="shared" si="246"/>
        <v>-4864.2084355929055</v>
      </c>
      <c r="BF652">
        <f t="shared" si="247"/>
        <v>-8272.3996783264538</v>
      </c>
      <c r="BH652">
        <f t="shared" si="232"/>
        <v>179.62721718067402</v>
      </c>
      <c r="BJ652">
        <f t="shared" si="233"/>
        <v>-717.95478910511815</v>
      </c>
      <c r="BN652" s="20">
        <f t="shared" si="234"/>
        <v>695.72385016909936</v>
      </c>
      <c r="BP652">
        <f t="shared" si="235"/>
        <v>87.071455831735705</v>
      </c>
      <c r="BR652">
        <f t="shared" si="236"/>
        <v>-472.02586310236285</v>
      </c>
      <c r="BT652">
        <f t="shared" si="237"/>
        <v>163.95477356741813</v>
      </c>
      <c r="BV652">
        <f t="shared" si="238"/>
        <v>-44.070769886062493</v>
      </c>
      <c r="BX652">
        <f t="shared" si="239"/>
        <v>-968.98101850427201</v>
      </c>
      <c r="CB652">
        <f t="shared" si="240"/>
        <v>24302.03998259165</v>
      </c>
      <c r="CD652">
        <f t="shared" si="241"/>
        <v>16817.097620726065</v>
      </c>
      <c r="CF652">
        <f t="shared" si="242"/>
        <v>19502.226008790065</v>
      </c>
    </row>
    <row r="653" spans="12:84" x14ac:dyDescent="0.25">
      <c r="L653">
        <v>642</v>
      </c>
      <c r="M653">
        <f t="shared" ref="M653:M716" si="254">M652+$O$5</f>
        <v>4.0338049672093215</v>
      </c>
      <c r="P653">
        <f t="shared" si="248"/>
        <v>16861.543193546604</v>
      </c>
      <c r="Q653">
        <f t="shared" si="249"/>
        <v>3607.6884921647984</v>
      </c>
      <c r="V653">
        <f t="shared" si="250"/>
        <v>-22196.919764517377</v>
      </c>
      <c r="W653">
        <f t="shared" si="251"/>
        <v>7275.3819445153586</v>
      </c>
      <c r="AB653">
        <f t="shared" si="252"/>
        <v>-8138.4568064533978</v>
      </c>
      <c r="AC653">
        <f t="shared" si="253"/>
        <v>-18892.311507835202</v>
      </c>
      <c r="AW653">
        <v>646</v>
      </c>
      <c r="AX653">
        <f t="shared" si="243"/>
        <v>323</v>
      </c>
      <c r="AZ653">
        <f t="shared" si="244"/>
        <v>-6523.5751044691697</v>
      </c>
      <c r="BB653">
        <f t="shared" si="245"/>
        <v>256.14217716440464</v>
      </c>
      <c r="BD653">
        <f t="shared" si="246"/>
        <v>-4774.3948270025685</v>
      </c>
      <c r="BF653">
        <f t="shared" si="247"/>
        <v>-8631.3770728790132</v>
      </c>
      <c r="BH653">
        <f t="shared" si="232"/>
        <v>272.58475382423995</v>
      </c>
      <c r="BJ653">
        <f t="shared" si="233"/>
        <v>-853.01819997725784</v>
      </c>
      <c r="BN653" s="20">
        <f t="shared" si="234"/>
        <v>554.54934351304473</v>
      </c>
      <c r="BP653">
        <f t="shared" si="235"/>
        <v>151.45305956429846</v>
      </c>
      <c r="BR653">
        <f t="shared" si="236"/>
        <v>-412.02853554620594</v>
      </c>
      <c r="BT653">
        <f t="shared" si="237"/>
        <v>297.90894101630755</v>
      </c>
      <c r="BV653">
        <f t="shared" si="238"/>
        <v>130.06394585740117</v>
      </c>
      <c r="BX653">
        <f t="shared" si="239"/>
        <v>-1302.3802005578639</v>
      </c>
      <c r="CB653">
        <f t="shared" si="240"/>
        <v>27494.972494619324</v>
      </c>
      <c r="CD653">
        <f t="shared" si="241"/>
        <v>16629.996790033292</v>
      </c>
      <c r="CF653">
        <f t="shared" si="242"/>
        <v>15332.030368767631</v>
      </c>
    </row>
    <row r="654" spans="12:84" x14ac:dyDescent="0.25">
      <c r="L654">
        <v>643</v>
      </c>
      <c r="M654">
        <f t="shared" si="254"/>
        <v>4.0400881525165007</v>
      </c>
      <c r="P654">
        <f t="shared" si="248"/>
        <v>16886.061097559541</v>
      </c>
      <c r="Q654">
        <f t="shared" si="249"/>
        <v>3588.0459471169765</v>
      </c>
      <c r="V654">
        <f t="shared" si="250"/>
        <v>-22179.757231708321</v>
      </c>
      <c r="W654">
        <f t="shared" si="251"/>
        <v>7261.6321629818831</v>
      </c>
      <c r="AB654">
        <f t="shared" si="252"/>
        <v>-8113.9389024404591</v>
      </c>
      <c r="AC654">
        <f t="shared" si="253"/>
        <v>-18911.954052883022</v>
      </c>
      <c r="AW654">
        <v>647</v>
      </c>
      <c r="AX654">
        <f t="shared" si="243"/>
        <v>323.5</v>
      </c>
      <c r="AZ654">
        <f t="shared" si="244"/>
        <v>-8876.6994237424242</v>
      </c>
      <c r="BB654">
        <f t="shared" si="245"/>
        <v>-4166.1736342722597</v>
      </c>
      <c r="BD654">
        <f t="shared" si="246"/>
        <v>-4638.1024500904487</v>
      </c>
      <c r="BF654">
        <f t="shared" si="247"/>
        <v>-9057.886172867642</v>
      </c>
      <c r="BH654">
        <f t="shared" si="232"/>
        <v>728.08962671920494</v>
      </c>
      <c r="BJ654">
        <f t="shared" si="233"/>
        <v>-1074.0018803394873</v>
      </c>
      <c r="BN654" s="20">
        <f t="shared" si="234"/>
        <v>432.00901095684213</v>
      </c>
      <c r="BP654">
        <f t="shared" si="235"/>
        <v>174.53144694400038</v>
      </c>
      <c r="BR654">
        <f t="shared" si="236"/>
        <v>-276.85379445157844</v>
      </c>
      <c r="BT654">
        <f t="shared" si="237"/>
        <v>352.58949415423621</v>
      </c>
      <c r="BV654">
        <f t="shared" si="238"/>
        <v>572.93441021394119</v>
      </c>
      <c r="BX654">
        <f t="shared" si="239"/>
        <v>-1601.1228214377238</v>
      </c>
      <c r="CB654">
        <f t="shared" si="240"/>
        <v>31144.235050393439</v>
      </c>
      <c r="CD654">
        <f t="shared" si="241"/>
        <v>18011.337849980013</v>
      </c>
      <c r="CF654">
        <f t="shared" si="242"/>
        <v>11506.545621722549</v>
      </c>
    </row>
    <row r="655" spans="12:84" x14ac:dyDescent="0.25">
      <c r="L655">
        <v>644</v>
      </c>
      <c r="M655">
        <f t="shared" si="254"/>
        <v>4.0463713378236799</v>
      </c>
      <c r="P655">
        <f t="shared" si="248"/>
        <v>16910.70193454843</v>
      </c>
      <c r="Q655">
        <f t="shared" si="249"/>
        <v>3568.5578393168248</v>
      </c>
      <c r="V655">
        <f t="shared" si="250"/>
        <v>-22162.508645816099</v>
      </c>
      <c r="W655">
        <f t="shared" si="251"/>
        <v>7247.990487521778</v>
      </c>
      <c r="AB655">
        <f t="shared" si="252"/>
        <v>-8089.2980654515686</v>
      </c>
      <c r="AC655">
        <f t="shared" si="253"/>
        <v>-18931.442160683175</v>
      </c>
      <c r="AW655">
        <v>648</v>
      </c>
      <c r="AX655">
        <f t="shared" si="243"/>
        <v>324</v>
      </c>
      <c r="AZ655">
        <f t="shared" si="244"/>
        <v>-11104.739445447749</v>
      </c>
      <c r="BB655">
        <f t="shared" si="245"/>
        <v>-8829.3669557485173</v>
      </c>
      <c r="BD655">
        <f t="shared" si="246"/>
        <v>-4274.0576367308458</v>
      </c>
      <c r="BF655">
        <f t="shared" si="247"/>
        <v>-9594.8871130373864</v>
      </c>
      <c r="BH655">
        <f t="shared" si="232"/>
        <v>1560.2178756951387</v>
      </c>
      <c r="BJ655">
        <f t="shared" si="233"/>
        <v>-897.17083011928617</v>
      </c>
      <c r="BN655" s="20">
        <f t="shared" si="234"/>
        <v>334.20790213709654</v>
      </c>
      <c r="BP655">
        <f t="shared" si="235"/>
        <v>175.45247350741732</v>
      </c>
      <c r="BR655">
        <f t="shared" si="236"/>
        <v>-150.65202869492495</v>
      </c>
      <c r="BT655">
        <f t="shared" si="237"/>
        <v>318.89817206905684</v>
      </c>
      <c r="BV655">
        <f t="shared" si="238"/>
        <v>1376.6620022529671</v>
      </c>
      <c r="BX655">
        <f t="shared" si="239"/>
        <v>-1391.5214756957603</v>
      </c>
      <c r="CB655">
        <f t="shared" si="240"/>
        <v>35130.514387704097</v>
      </c>
      <c r="CD655">
        <f t="shared" si="241"/>
        <v>20824.762190421465</v>
      </c>
      <c r="CF655">
        <f t="shared" si="242"/>
        <v>8680.1241848036952</v>
      </c>
    </row>
    <row r="656" spans="12:84" x14ac:dyDescent="0.25">
      <c r="L656">
        <v>645</v>
      </c>
      <c r="M656">
        <f t="shared" si="254"/>
        <v>4.0526545231308591</v>
      </c>
      <c r="P656">
        <f t="shared" si="248"/>
        <v>16935.464731735221</v>
      </c>
      <c r="Q656">
        <f t="shared" si="249"/>
        <v>3549.2249381214692</v>
      </c>
      <c r="V656">
        <f t="shared" si="250"/>
        <v>-22145.174687785347</v>
      </c>
      <c r="W656">
        <f t="shared" si="251"/>
        <v>7234.4574566850279</v>
      </c>
      <c r="AB656">
        <f t="shared" si="252"/>
        <v>-8064.5352682647808</v>
      </c>
      <c r="AC656">
        <f t="shared" si="253"/>
        <v>-18950.775061878532</v>
      </c>
      <c r="AW656">
        <v>649</v>
      </c>
      <c r="AX656">
        <f t="shared" si="243"/>
        <v>324.5</v>
      </c>
      <c r="AZ656">
        <f t="shared" si="244"/>
        <v>-13046.74102935128</v>
      </c>
      <c r="BB656">
        <f t="shared" si="245"/>
        <v>-13738.95686603212</v>
      </c>
      <c r="BD656">
        <f t="shared" si="246"/>
        <v>-3493.9486988832764</v>
      </c>
      <c r="BF656">
        <f t="shared" si="247"/>
        <v>-10043.472528097029</v>
      </c>
      <c r="BH656">
        <f t="shared" si="232"/>
        <v>2150.1898635417333</v>
      </c>
      <c r="BJ656">
        <f t="shared" si="233"/>
        <v>110.11933710339798</v>
      </c>
      <c r="BN656" s="20">
        <f t="shared" si="234"/>
        <v>259.77622282287001</v>
      </c>
      <c r="BP656">
        <f t="shared" si="235"/>
        <v>166.95673520288403</v>
      </c>
      <c r="BR656">
        <f t="shared" si="236"/>
        <v>-73.500693033224564</v>
      </c>
      <c r="BT656">
        <f t="shared" si="237"/>
        <v>250.93697630197681</v>
      </c>
      <c r="BV656">
        <f t="shared" si="238"/>
        <v>1963.9143337520877</v>
      </c>
      <c r="BX656">
        <f t="shared" si="239"/>
        <v>-307.77437440146286</v>
      </c>
      <c r="CB656">
        <f t="shared" si="240"/>
        <v>39283.334652472957</v>
      </c>
      <c r="CD656">
        <f t="shared" si="241"/>
        <v>24736.327201107291</v>
      </c>
      <c r="CF656">
        <f t="shared" si="242"/>
        <v>8144.9537125248808</v>
      </c>
    </row>
    <row r="657" spans="12:84" x14ac:dyDescent="0.25">
      <c r="L657">
        <v>646</v>
      </c>
      <c r="M657">
        <f t="shared" si="254"/>
        <v>4.0589377084380382</v>
      </c>
      <c r="P657">
        <f t="shared" si="248"/>
        <v>16960.348511527074</v>
      </c>
      <c r="Q657">
        <f t="shared" si="249"/>
        <v>3530.0480067607459</v>
      </c>
      <c r="V657">
        <f t="shared" si="250"/>
        <v>-22127.756041931047</v>
      </c>
      <c r="W657">
        <f t="shared" si="251"/>
        <v>7221.0336047325218</v>
      </c>
      <c r="AB657">
        <f t="shared" si="252"/>
        <v>-8039.6514884729258</v>
      </c>
      <c r="AC657">
        <f t="shared" si="253"/>
        <v>-18969.951993239254</v>
      </c>
      <c r="AW657">
        <v>650</v>
      </c>
      <c r="AX657">
        <f t="shared" si="243"/>
        <v>325</v>
      </c>
      <c r="AZ657">
        <f t="shared" si="244"/>
        <v>-14524.941645850202</v>
      </c>
      <c r="BB657">
        <f t="shared" si="245"/>
        <v>-18746.928212942712</v>
      </c>
      <c r="BD657">
        <f t="shared" si="246"/>
        <v>-2418.8537671124095</v>
      </c>
      <c r="BF657">
        <f t="shared" si="247"/>
        <v>-9988.4128595453294</v>
      </c>
      <c r="BH657">
        <f t="shared" si="232"/>
        <v>1871.0311686645264</v>
      </c>
      <c r="BJ657">
        <f t="shared" si="233"/>
        <v>1014.9651264285148</v>
      </c>
      <c r="BN657" s="20">
        <f t="shared" si="234"/>
        <v>205.04381833136446</v>
      </c>
      <c r="BP657">
        <f t="shared" si="235"/>
        <v>155.88065102197976</v>
      </c>
      <c r="BR657">
        <f t="shared" si="236"/>
        <v>-36.095078983279393</v>
      </c>
      <c r="BT657">
        <f t="shared" si="237"/>
        <v>189.51809775440441</v>
      </c>
      <c r="BV657">
        <f t="shared" si="238"/>
        <v>1702.0824293164412</v>
      </c>
      <c r="BX657">
        <f t="shared" si="239"/>
        <v>669.56637765213065</v>
      </c>
      <c r="CB657">
        <f t="shared" si="240"/>
        <v>43369.030843042019</v>
      </c>
      <c r="CD657">
        <f t="shared" si="241"/>
        <v>29263.6659641513</v>
      </c>
      <c r="CF657">
        <f t="shared" si="242"/>
        <v>10235.4279045772</v>
      </c>
    </row>
    <row r="658" spans="12:84" x14ac:dyDescent="0.25">
      <c r="L658">
        <v>647</v>
      </c>
      <c r="M658">
        <f t="shared" si="254"/>
        <v>4.0652208937452174</v>
      </c>
      <c r="P658">
        <f t="shared" si="248"/>
        <v>16985.352291554977</v>
      </c>
      <c r="Q658">
        <f t="shared" si="249"/>
        <v>3511.0278023070696</v>
      </c>
      <c r="V658">
        <f t="shared" si="250"/>
        <v>-22110.253395911517</v>
      </c>
      <c r="W658">
        <f t="shared" si="251"/>
        <v>7207.7194616149482</v>
      </c>
      <c r="AB658">
        <f t="shared" si="252"/>
        <v>-8014.6477084450235</v>
      </c>
      <c r="AC658">
        <f t="shared" si="253"/>
        <v>-18988.972197692929</v>
      </c>
      <c r="AW658">
        <v>651</v>
      </c>
      <c r="AX658">
        <f t="shared" si="243"/>
        <v>325.5</v>
      </c>
      <c r="AZ658">
        <f t="shared" si="244"/>
        <v>-15500.489633323341</v>
      </c>
      <c r="BB658">
        <f t="shared" si="245"/>
        <v>-23614.264001911812</v>
      </c>
      <c r="BD658">
        <f t="shared" si="246"/>
        <v>-1483.3381827801463</v>
      </c>
      <c r="BF658">
        <f t="shared" si="247"/>
        <v>-9480.9302963310729</v>
      </c>
      <c r="BH658">
        <f t="shared" si="232"/>
        <v>1291.9273471543347</v>
      </c>
      <c r="BJ658">
        <f t="shared" si="233"/>
        <v>1230.4755815397259</v>
      </c>
      <c r="BN658" s="20">
        <f t="shared" si="234"/>
        <v>165.4442061242666</v>
      </c>
      <c r="BP658">
        <f t="shared" si="235"/>
        <v>145.00292137112288</v>
      </c>
      <c r="BR658">
        <f t="shared" si="236"/>
        <v>-19.459870343687562</v>
      </c>
      <c r="BT658">
        <f t="shared" si="237"/>
        <v>145.37786689417683</v>
      </c>
      <c r="BV658">
        <f t="shared" si="238"/>
        <v>1145.9430113737558</v>
      </c>
      <c r="BX658">
        <f t="shared" si="239"/>
        <v>940.09479327442614</v>
      </c>
      <c r="CB658">
        <f t="shared" si="240"/>
        <v>47205.743173753377</v>
      </c>
      <c r="CD658">
        <f t="shared" si="241"/>
        <v>33914.072859655986</v>
      </c>
      <c r="CF658">
        <f t="shared" si="242"/>
        <v>13581.819717334074</v>
      </c>
    </row>
    <row r="659" spans="12:84" x14ac:dyDescent="0.25">
      <c r="L659">
        <v>648</v>
      </c>
      <c r="M659">
        <f t="shared" si="254"/>
        <v>4.0715040790523966</v>
      </c>
      <c r="P659">
        <f t="shared" si="248"/>
        <v>17010.475084712503</v>
      </c>
      <c r="Q659">
        <f t="shared" si="249"/>
        <v>3492.1650756455438</v>
      </c>
      <c r="V659">
        <f t="shared" si="250"/>
        <v>-22092.667440701247</v>
      </c>
      <c r="W659">
        <f t="shared" si="251"/>
        <v>7194.5155529518806</v>
      </c>
      <c r="AB659">
        <f t="shared" si="252"/>
        <v>-7989.5249152874958</v>
      </c>
      <c r="AC659">
        <f t="shared" si="253"/>
        <v>-19007.834924354458</v>
      </c>
      <c r="AW659">
        <v>652</v>
      </c>
      <c r="AX659">
        <f t="shared" si="243"/>
        <v>326</v>
      </c>
      <c r="AZ659">
        <f t="shared" si="244"/>
        <v>-16080.667806319121</v>
      </c>
      <c r="BB659">
        <f t="shared" si="245"/>
        <v>-28200.919702384883</v>
      </c>
      <c r="BD659">
        <f t="shared" si="246"/>
        <v>-837.37450920297897</v>
      </c>
      <c r="BF659">
        <f t="shared" si="247"/>
        <v>-8865.6925055612101</v>
      </c>
      <c r="BH659">
        <f t="shared" si="232"/>
        <v>857.94681183287935</v>
      </c>
      <c r="BJ659">
        <f t="shared" si="233"/>
        <v>1124.0208910712661</v>
      </c>
      <c r="BN659" s="20">
        <f t="shared" si="234"/>
        <v>136.44382862232746</v>
      </c>
      <c r="BP659">
        <f t="shared" si="235"/>
        <v>135.0077608230562</v>
      </c>
      <c r="BR659">
        <f t="shared" si="236"/>
        <v>-11.834988230886388</v>
      </c>
      <c r="BT659">
        <f t="shared" si="237"/>
        <v>115.353180783117</v>
      </c>
      <c r="BV659">
        <f t="shared" si="238"/>
        <v>733.3379714414383</v>
      </c>
      <c r="BX659">
        <f t="shared" si="239"/>
        <v>873.65994946509284</v>
      </c>
      <c r="CB659">
        <f t="shared" si="240"/>
        <v>50757.957572641615</v>
      </c>
      <c r="CD659">
        <f t="shared" si="241"/>
        <v>38401.450896450267</v>
      </c>
      <c r="CF659">
        <f t="shared" si="242"/>
        <v>17235.00739839732</v>
      </c>
    </row>
    <row r="660" spans="12:84" x14ac:dyDescent="0.25">
      <c r="L660">
        <v>649</v>
      </c>
      <c r="M660">
        <f t="shared" si="254"/>
        <v>4.0777872643595758</v>
      </c>
      <c r="P660">
        <f t="shared" si="248"/>
        <v>17035.715899194802</v>
      </c>
      <c r="Q660">
        <f t="shared" si="249"/>
        <v>3473.4605714443182</v>
      </c>
      <c r="V660">
        <f t="shared" si="250"/>
        <v>-22074.998870563639</v>
      </c>
      <c r="W660">
        <f t="shared" si="251"/>
        <v>7181.4224000110225</v>
      </c>
      <c r="AB660">
        <f t="shared" si="252"/>
        <v>-7964.2841008051992</v>
      </c>
      <c r="AC660">
        <f t="shared" si="253"/>
        <v>-19026.539428555683</v>
      </c>
      <c r="AW660">
        <v>653</v>
      </c>
      <c r="AX660">
        <f t="shared" si="243"/>
        <v>326.5</v>
      </c>
      <c r="AZ660">
        <f t="shared" si="244"/>
        <v>-16392.111709441502</v>
      </c>
      <c r="BB660">
        <f t="shared" si="245"/>
        <v>-32493.263343781578</v>
      </c>
      <c r="BD660">
        <f t="shared" si="246"/>
        <v>-408.4011032865393</v>
      </c>
      <c r="BF660">
        <f t="shared" si="247"/>
        <v>-8303.6820600255778</v>
      </c>
      <c r="BH660">
        <f t="shared" si="232"/>
        <v>587.52369460617172</v>
      </c>
      <c r="BJ660">
        <f t="shared" si="233"/>
        <v>959.01994865489576</v>
      </c>
      <c r="BN660" s="20">
        <f t="shared" si="234"/>
        <v>114.59513474515254</v>
      </c>
      <c r="BP660">
        <f t="shared" si="235"/>
        <v>125.9348025300221</v>
      </c>
      <c r="BR660">
        <f t="shared" si="236"/>
        <v>-8.0276261474129029</v>
      </c>
      <c r="BT660">
        <f t="shared" si="237"/>
        <v>94.548390758140187</v>
      </c>
      <c r="BV660">
        <f t="shared" si="238"/>
        <v>480.95618600843204</v>
      </c>
      <c r="BX660">
        <f t="shared" si="239"/>
        <v>738.53675536673347</v>
      </c>
      <c r="CB660">
        <f t="shared" si="240"/>
        <v>54072.607737721817</v>
      </c>
      <c r="CD660">
        <f t="shared" si="241"/>
        <v>42646.152083407484</v>
      </c>
      <c r="CF660">
        <f t="shared" si="242"/>
        <v>20875.690925458886</v>
      </c>
    </row>
    <row r="661" spans="12:84" x14ac:dyDescent="0.25">
      <c r="L661">
        <v>650</v>
      </c>
      <c r="M661">
        <f t="shared" si="254"/>
        <v>4.084070449666755</v>
      </c>
      <c r="P661">
        <f t="shared" si="248"/>
        <v>17061.073738537732</v>
      </c>
      <c r="Q661">
        <f t="shared" si="249"/>
        <v>3454.9150281251927</v>
      </c>
      <c r="V661">
        <f t="shared" si="250"/>
        <v>-22057.248383023587</v>
      </c>
      <c r="W661">
        <f t="shared" si="251"/>
        <v>7168.4405196876351</v>
      </c>
      <c r="AB661">
        <f t="shared" si="252"/>
        <v>-7938.9262614622694</v>
      </c>
      <c r="AC661">
        <f t="shared" si="253"/>
        <v>-19045.084971874807</v>
      </c>
      <c r="AW661">
        <v>654</v>
      </c>
      <c r="AX661">
        <f t="shared" si="243"/>
        <v>327</v>
      </c>
      <c r="AZ661">
        <f t="shared" si="244"/>
        <v>-16522.871799258999</v>
      </c>
      <c r="BB661">
        <f t="shared" si="245"/>
        <v>-36525.226880212504</v>
      </c>
      <c r="BD661">
        <f t="shared" si="246"/>
        <v>-114.63925598345344</v>
      </c>
      <c r="BF661">
        <f t="shared" si="247"/>
        <v>-7824.1720856981301</v>
      </c>
      <c r="BH661">
        <f t="shared" si="232"/>
        <v>420.21413023880609</v>
      </c>
      <c r="BJ661">
        <f t="shared" si="233"/>
        <v>810.95406973699824</v>
      </c>
      <c r="BN661" s="20">
        <f t="shared" si="234"/>
        <v>97.657364102860171</v>
      </c>
      <c r="BP661">
        <f t="shared" si="235"/>
        <v>117.71767660502448</v>
      </c>
      <c r="BR661">
        <f t="shared" si="236"/>
        <v>-5.9472646671751956</v>
      </c>
      <c r="BT661">
        <f t="shared" si="237"/>
        <v>79.576541899729548</v>
      </c>
      <c r="BV661">
        <f t="shared" si="238"/>
        <v>328.50403080312111</v>
      </c>
      <c r="BX661">
        <f t="shared" si="239"/>
        <v>613.65985123224414</v>
      </c>
      <c r="CB661">
        <f t="shared" si="240"/>
        <v>57202.629015800434</v>
      </c>
      <c r="CD661">
        <f t="shared" si="241"/>
        <v>46654.979978343537</v>
      </c>
      <c r="CF661">
        <f t="shared" si="242"/>
        <v>24415.404292101764</v>
      </c>
    </row>
    <row r="662" spans="12:84" x14ac:dyDescent="0.25">
      <c r="L662">
        <v>651</v>
      </c>
      <c r="M662">
        <f t="shared" si="254"/>
        <v>4.0903536349739342</v>
      </c>
      <c r="P662">
        <f t="shared" si="248"/>
        <v>17086.547601657214</v>
      </c>
      <c r="Q662">
        <f t="shared" si="249"/>
        <v>3436.5291778344622</v>
      </c>
      <c r="V662">
        <f t="shared" si="250"/>
        <v>-22039.416678839949</v>
      </c>
      <c r="W662">
        <f t="shared" si="251"/>
        <v>7155.5704244841236</v>
      </c>
      <c r="AB662">
        <f t="shared" si="252"/>
        <v>-7913.4523983427853</v>
      </c>
      <c r="AC662">
        <f t="shared" si="253"/>
        <v>-19063.470822165538</v>
      </c>
      <c r="AW662">
        <v>655</v>
      </c>
      <c r="AX662">
        <f t="shared" si="243"/>
        <v>327.5</v>
      </c>
      <c r="AZ662">
        <f t="shared" si="244"/>
        <v>-16527.664660970877</v>
      </c>
      <c r="BB662">
        <f t="shared" si="245"/>
        <v>-40335.943664344442</v>
      </c>
      <c r="BD662">
        <f t="shared" si="246"/>
        <v>95.467809135949608</v>
      </c>
      <c r="BF662">
        <f t="shared" si="247"/>
        <v>-7418.6950508296313</v>
      </c>
      <c r="BH662">
        <f t="shared" si="232"/>
        <v>312.77198564097085</v>
      </c>
      <c r="BJ662">
        <f t="shared" si="233"/>
        <v>691.38733564097311</v>
      </c>
      <c r="BN662" s="20">
        <f t="shared" si="234"/>
        <v>84.209309504835119</v>
      </c>
      <c r="BP662">
        <f t="shared" si="235"/>
        <v>110.27893030869636</v>
      </c>
      <c r="BR662">
        <f t="shared" si="236"/>
        <v>-4.7181041356526094</v>
      </c>
      <c r="BT662">
        <f t="shared" si="237"/>
        <v>68.394956358426867</v>
      </c>
      <c r="BV662">
        <f t="shared" si="238"/>
        <v>233.28078027178833</v>
      </c>
      <c r="BX662">
        <f t="shared" si="239"/>
        <v>512.71344897384984</v>
      </c>
      <c r="CB662">
        <f t="shared" si="240"/>
        <v>60187.604968487285</v>
      </c>
      <c r="CD662">
        <f t="shared" si="241"/>
        <v>50455.567951284902</v>
      </c>
      <c r="CF662">
        <f t="shared" si="242"/>
        <v>27835.17727442439</v>
      </c>
    </row>
    <row r="663" spans="12:84" x14ac:dyDescent="0.25">
      <c r="L663">
        <v>652</v>
      </c>
      <c r="M663">
        <f t="shared" si="254"/>
        <v>4.0966368202811134</v>
      </c>
      <c r="P663">
        <f t="shared" si="248"/>
        <v>17112.136482888756</v>
      </c>
      <c r="Q663">
        <f t="shared" si="249"/>
        <v>3418.3037464140139</v>
      </c>
      <c r="V663">
        <f t="shared" si="250"/>
        <v>-22021.504461977871</v>
      </c>
      <c r="W663">
        <f t="shared" si="251"/>
        <v>7142.8126224898097</v>
      </c>
      <c r="AB663">
        <f t="shared" si="252"/>
        <v>-7887.8635171112437</v>
      </c>
      <c r="AC663">
        <f t="shared" si="253"/>
        <v>-19081.696253585986</v>
      </c>
      <c r="AW663">
        <v>656</v>
      </c>
      <c r="AX663">
        <f t="shared" si="243"/>
        <v>328</v>
      </c>
      <c r="AZ663">
        <f t="shared" si="244"/>
        <v>-16440.834258197778</v>
      </c>
      <c r="BB663">
        <f t="shared" si="245"/>
        <v>-43958.867772804137</v>
      </c>
      <c r="BD663">
        <f t="shared" si="246"/>
        <v>251.85380195643503</v>
      </c>
      <c r="BF663">
        <f t="shared" si="247"/>
        <v>-7073.0013830091448</v>
      </c>
      <c r="BH663">
        <f t="shared" si="232"/>
        <v>240.65026791628776</v>
      </c>
      <c r="BJ663">
        <f t="shared" si="233"/>
        <v>596.83052671079929</v>
      </c>
      <c r="BN663" s="20">
        <f t="shared" si="234"/>
        <v>73.323594261799528</v>
      </c>
      <c r="BP663">
        <f t="shared" si="235"/>
        <v>103.54178817670369</v>
      </c>
      <c r="BR663">
        <f t="shared" si="236"/>
        <v>-3.9427463384414572</v>
      </c>
      <c r="BT663">
        <f t="shared" si="237"/>
        <v>59.774156016107284</v>
      </c>
      <c r="BV663">
        <f t="shared" si="238"/>
        <v>171.2694199929297</v>
      </c>
      <c r="BX663">
        <f t="shared" si="239"/>
        <v>433.51458251798829</v>
      </c>
      <c r="CB663">
        <f t="shared" si="240"/>
        <v>63055.130432760037</v>
      </c>
      <c r="CD663">
        <f t="shared" si="241"/>
        <v>54076.122938877372</v>
      </c>
      <c r="CF663">
        <f t="shared" si="242"/>
        <v>31136.934839613001</v>
      </c>
    </row>
    <row r="664" spans="12:84" x14ac:dyDescent="0.25">
      <c r="L664">
        <v>653</v>
      </c>
      <c r="M664">
        <f t="shared" si="254"/>
        <v>4.1029200055882926</v>
      </c>
      <c r="P664">
        <f t="shared" si="248"/>
        <v>17137.839372027138</v>
      </c>
      <c r="Q664">
        <f t="shared" si="249"/>
        <v>3400.2394533726738</v>
      </c>
      <c r="V664">
        <f t="shared" si="250"/>
        <v>-22003.512439581002</v>
      </c>
      <c r="W664">
        <f t="shared" si="251"/>
        <v>7130.1676173608721</v>
      </c>
      <c r="AB664">
        <f t="shared" si="252"/>
        <v>-7862.1606279728621</v>
      </c>
      <c r="AC664">
        <f t="shared" si="253"/>
        <v>-19099.760546627327</v>
      </c>
      <c r="AW664">
        <v>657</v>
      </c>
      <c r="AX664">
        <f t="shared" si="243"/>
        <v>328.5</v>
      </c>
      <c r="AZ664">
        <f t="shared" si="244"/>
        <v>-16284.826073730022</v>
      </c>
      <c r="BB664">
        <f t="shared" si="245"/>
        <v>-47420.764648469863</v>
      </c>
      <c r="BD664">
        <f t="shared" si="246"/>
        <v>372.17893591457891</v>
      </c>
      <c r="BF664">
        <f t="shared" si="247"/>
        <v>-6774.5861196537453</v>
      </c>
      <c r="BH664">
        <f t="shared" si="232"/>
        <v>190.20640193325846</v>
      </c>
      <c r="BJ664">
        <f t="shared" si="233"/>
        <v>521.74226150049674</v>
      </c>
      <c r="BN664" s="20">
        <f t="shared" si="234"/>
        <v>64.37168147683704</v>
      </c>
      <c r="BP664">
        <f t="shared" si="235"/>
        <v>97.433069163178345</v>
      </c>
      <c r="BR664">
        <f t="shared" si="236"/>
        <v>-3.4258891336645685</v>
      </c>
      <c r="BT664">
        <f t="shared" si="237"/>
        <v>52.949653921965073</v>
      </c>
      <c r="BV664">
        <f t="shared" si="238"/>
        <v>129.26060959008601</v>
      </c>
      <c r="BX664">
        <f t="shared" si="239"/>
        <v>371.35953841535331</v>
      </c>
      <c r="CB664">
        <f t="shared" si="240"/>
        <v>65824.607805694177</v>
      </c>
      <c r="CD664">
        <f t="shared" si="241"/>
        <v>57540.826637418082</v>
      </c>
      <c r="CF664">
        <f t="shared" si="242"/>
        <v>34328.607310897569</v>
      </c>
    </row>
    <row r="665" spans="12:84" x14ac:dyDescent="0.25">
      <c r="L665">
        <v>654</v>
      </c>
      <c r="M665">
        <f t="shared" si="254"/>
        <v>4.1092031908954718</v>
      </c>
      <c r="P665">
        <f t="shared" si="248"/>
        <v>17163.655254366309</v>
      </c>
      <c r="Q665">
        <f t="shared" si="249"/>
        <v>3382.3370118577996</v>
      </c>
      <c r="V665">
        <f t="shared" si="250"/>
        <v>-21985.441321943585</v>
      </c>
      <c r="W665">
        <f t="shared" si="251"/>
        <v>7117.63590830046</v>
      </c>
      <c r="AB665">
        <f t="shared" si="252"/>
        <v>-7836.3447456336908</v>
      </c>
      <c r="AC665">
        <f t="shared" si="253"/>
        <v>-19117.662988142201</v>
      </c>
      <c r="AW665">
        <v>658</v>
      </c>
      <c r="AX665">
        <f t="shared" si="243"/>
        <v>329</v>
      </c>
      <c r="AZ665">
        <f t="shared" si="244"/>
        <v>-16074.960805531075</v>
      </c>
      <c r="BB665">
        <f t="shared" si="245"/>
        <v>-50742.839925609172</v>
      </c>
      <c r="BD665">
        <f t="shared" si="246"/>
        <v>467.28213688120815</v>
      </c>
      <c r="BF665">
        <f t="shared" si="247"/>
        <v>-6513.7149889034972</v>
      </c>
      <c r="BH665">
        <f t="shared" si="232"/>
        <v>153.64422669527949</v>
      </c>
      <c r="BJ665">
        <f t="shared" si="233"/>
        <v>461.39072696438473</v>
      </c>
      <c r="BN665" s="20">
        <f t="shared" si="234"/>
        <v>56.912486818487984</v>
      </c>
      <c r="BP665">
        <f t="shared" si="235"/>
        <v>91.8849192215703</v>
      </c>
      <c r="BR665">
        <f t="shared" si="236"/>
        <v>-3.0646313432808396</v>
      </c>
      <c r="BT665">
        <f t="shared" si="237"/>
        <v>47.427401840531211</v>
      </c>
      <c r="BV665">
        <f t="shared" si="238"/>
        <v>99.796371220072331</v>
      </c>
      <c r="BX665">
        <f t="shared" si="239"/>
        <v>322.07840590228324</v>
      </c>
      <c r="CB665">
        <f t="shared" si="240"/>
        <v>68510.081007985515</v>
      </c>
      <c r="CD665">
        <f t="shared" si="241"/>
        <v>60869.520573981004</v>
      </c>
      <c r="CF665">
        <f t="shared" si="242"/>
        <v>37419.318042847473</v>
      </c>
    </row>
    <row r="666" spans="12:84" x14ac:dyDescent="0.25">
      <c r="L666">
        <v>655</v>
      </c>
      <c r="M666">
        <f t="shared" si="254"/>
        <v>4.115486376202651</v>
      </c>
      <c r="P666">
        <f t="shared" si="248"/>
        <v>17189.583110739437</v>
      </c>
      <c r="Q666">
        <f t="shared" si="249"/>
        <v>3364.5971286271297</v>
      </c>
      <c r="V666">
        <f t="shared" si="250"/>
        <v>-21967.291822482395</v>
      </c>
      <c r="W666">
        <f t="shared" si="251"/>
        <v>7105.217990038991</v>
      </c>
      <c r="AB666">
        <f t="shared" si="252"/>
        <v>-7810.416889260563</v>
      </c>
      <c r="AC666">
        <f t="shared" si="253"/>
        <v>-19135.402871372869</v>
      </c>
      <c r="AW666">
        <v>659</v>
      </c>
      <c r="AX666">
        <f t="shared" si="243"/>
        <v>329.5</v>
      </c>
      <c r="AZ666">
        <f t="shared" si="244"/>
        <v>-15822.114208753561</v>
      </c>
      <c r="BB666">
        <f t="shared" si="245"/>
        <v>-53942.023579190369</v>
      </c>
      <c r="BD666">
        <f t="shared" si="246"/>
        <v>544.10425022884783</v>
      </c>
      <c r="BF666">
        <f t="shared" si="247"/>
        <v>-6283.0196254213051</v>
      </c>
      <c r="BH666">
        <f t="shared" si="232"/>
        <v>126.32899662144726</v>
      </c>
      <c r="BJ666">
        <f t="shared" si="233"/>
        <v>412.19608272940286</v>
      </c>
      <c r="BN666" s="20">
        <f t="shared" si="234"/>
        <v>50.62722417288186</v>
      </c>
      <c r="BP666">
        <f t="shared" si="235"/>
        <v>86.835720618048896</v>
      </c>
      <c r="BR666">
        <f t="shared" si="236"/>
        <v>-2.8014762548744603</v>
      </c>
      <c r="BT666">
        <f t="shared" si="237"/>
        <v>42.876246430920752</v>
      </c>
      <c r="BV666">
        <f t="shared" si="238"/>
        <v>78.503248703439851</v>
      </c>
      <c r="BX666">
        <f t="shared" si="239"/>
        <v>282.48411568043321</v>
      </c>
      <c r="CB666">
        <f t="shared" si="240"/>
        <v>71122.050925790725</v>
      </c>
      <c r="CD666">
        <f t="shared" si="241"/>
        <v>64078.366935233578</v>
      </c>
      <c r="CF666">
        <f t="shared" si="242"/>
        <v>40417.809891055753</v>
      </c>
    </row>
    <row r="667" spans="12:84" x14ac:dyDescent="0.25">
      <c r="L667">
        <v>656</v>
      </c>
      <c r="M667">
        <f t="shared" si="254"/>
        <v>4.1217695615098302</v>
      </c>
      <c r="P667">
        <f t="shared" si="248"/>
        <v>17215.62191755915</v>
      </c>
      <c r="Q667">
        <f t="shared" si="249"/>
        <v>3347.0205040208775</v>
      </c>
      <c r="V667">
        <f t="shared" si="250"/>
        <v>-21949.064657708597</v>
      </c>
      <c r="W667">
        <f t="shared" si="251"/>
        <v>7092.9143528146142</v>
      </c>
      <c r="AB667">
        <f t="shared" si="252"/>
        <v>-7784.3780824408514</v>
      </c>
      <c r="AC667">
        <f t="shared" si="253"/>
        <v>-19152.979495979122</v>
      </c>
      <c r="AW667">
        <v>660</v>
      </c>
      <c r="AX667">
        <f t="shared" si="243"/>
        <v>330</v>
      </c>
      <c r="AZ667">
        <f t="shared" si="244"/>
        <v>-15534.270959061456</v>
      </c>
      <c r="BB667">
        <f t="shared" si="245"/>
        <v>-57032.00888155985</v>
      </c>
      <c r="BD667">
        <f t="shared" si="246"/>
        <v>607.26874853957145</v>
      </c>
      <c r="BF667">
        <f t="shared" si="247"/>
        <v>-6076.9215840566039</v>
      </c>
      <c r="BH667">
        <f t="shared" si="232"/>
        <v>105.39268373797982</v>
      </c>
      <c r="BJ667">
        <f t="shared" si="233"/>
        <v>371.53397346726956</v>
      </c>
      <c r="BN667" s="20">
        <f t="shared" si="234"/>
        <v>45.279771133047191</v>
      </c>
      <c r="BP667">
        <f t="shared" si="235"/>
        <v>82.23032340467006</v>
      </c>
      <c r="BR667">
        <f t="shared" si="236"/>
        <v>-2.6026689184435532</v>
      </c>
      <c r="BT667">
        <f t="shared" si="237"/>
        <v>39.066885710603266</v>
      </c>
      <c r="BV667">
        <f t="shared" si="238"/>
        <v>62.715581523376187</v>
      </c>
      <c r="BX667">
        <f t="shared" si="239"/>
        <v>250.23676435199624</v>
      </c>
      <c r="CB667">
        <f t="shared" si="240"/>
        <v>73668.613281924336</v>
      </c>
      <c r="CD667">
        <f t="shared" si="241"/>
        <v>67180.599510309534</v>
      </c>
      <c r="CF667">
        <f t="shared" si="242"/>
        <v>43331.981667798806</v>
      </c>
    </row>
    <row r="668" spans="12:84" x14ac:dyDescent="0.25">
      <c r="L668">
        <v>657</v>
      </c>
      <c r="M668">
        <f t="shared" si="254"/>
        <v>4.1280527468170094</v>
      </c>
      <c r="P668">
        <f t="shared" si="248"/>
        <v>17241.770646857938</v>
      </c>
      <c r="Q668">
        <f t="shared" si="249"/>
        <v>3329.6078319340859</v>
      </c>
      <c r="V668">
        <f t="shared" si="250"/>
        <v>-21930.760547199443</v>
      </c>
      <c r="W668">
        <f t="shared" si="251"/>
        <v>7080.7254823538606</v>
      </c>
      <c r="AB668">
        <f t="shared" si="252"/>
        <v>-7758.2293531420637</v>
      </c>
      <c r="AC668">
        <f t="shared" si="253"/>
        <v>-19170.392168065915</v>
      </c>
      <c r="AW668">
        <v>661</v>
      </c>
      <c r="AX668">
        <f t="shared" si="243"/>
        <v>330.5</v>
      </c>
      <c r="AZ668">
        <f t="shared" si="244"/>
        <v>-15217.462499324422</v>
      </c>
      <c r="BB668">
        <f t="shared" si="245"/>
        <v>-60024.027926904746</v>
      </c>
      <c r="BD668">
        <f t="shared" si="246"/>
        <v>659.96509040856131</v>
      </c>
      <c r="BF668">
        <f t="shared" si="247"/>
        <v>-5891.1545973229695</v>
      </c>
      <c r="BH668">
        <f t="shared" si="232"/>
        <v>88.993220619332959</v>
      </c>
      <c r="BJ668">
        <f t="shared" si="233"/>
        <v>337.48588132117897</v>
      </c>
      <c r="BN668" s="20">
        <f t="shared" si="234"/>
        <v>40.69159585682597</v>
      </c>
      <c r="BP668">
        <f t="shared" si="235"/>
        <v>78.019830505373477</v>
      </c>
      <c r="BR668">
        <f t="shared" si="236"/>
        <v>-2.4475436516997662</v>
      </c>
      <c r="BT668">
        <f t="shared" si="237"/>
        <v>35.835968875253528</v>
      </c>
      <c r="BV668">
        <f t="shared" si="238"/>
        <v>50.749168414206757</v>
      </c>
      <c r="BX668">
        <f t="shared" si="239"/>
        <v>223.63008194055197</v>
      </c>
      <c r="CB668">
        <f t="shared" si="240"/>
        <v>76156.18170814983</v>
      </c>
      <c r="CD668">
        <f t="shared" si="241"/>
        <v>70187.15802804174</v>
      </c>
      <c r="CF668">
        <f t="shared" si="242"/>
        <v>46168.816648120832</v>
      </c>
    </row>
    <row r="669" spans="12:84" x14ac:dyDescent="0.25">
      <c r="L669">
        <v>658</v>
      </c>
      <c r="M669">
        <f t="shared" si="254"/>
        <v>4.1343359321241886</v>
      </c>
      <c r="P669">
        <f t="shared" si="248"/>
        <v>17268.02826632874</v>
      </c>
      <c r="Q669">
        <f t="shared" si="249"/>
        <v>3312.3597997892348</v>
      </c>
      <c r="V669">
        <f t="shared" si="250"/>
        <v>-21912.380213569882</v>
      </c>
      <c r="W669">
        <f t="shared" si="251"/>
        <v>7068.6518598524644</v>
      </c>
      <c r="AB669">
        <f t="shared" si="252"/>
        <v>-7731.9717336712583</v>
      </c>
      <c r="AC669">
        <f t="shared" si="253"/>
        <v>-19187.640200210764</v>
      </c>
      <c r="AW669">
        <v>662</v>
      </c>
      <c r="AX669">
        <f t="shared" si="243"/>
        <v>331</v>
      </c>
      <c r="AZ669">
        <f t="shared" si="244"/>
        <v>-14876.355801542724</v>
      </c>
      <c r="BB669">
        <f t="shared" si="245"/>
        <v>-62927.41949040108</v>
      </c>
      <c r="BD669">
        <f t="shared" si="246"/>
        <v>704.4617007182278</v>
      </c>
      <c r="BF669">
        <f t="shared" si="247"/>
        <v>-5722.4116566623798</v>
      </c>
      <c r="BH669">
        <f t="shared" si="232"/>
        <v>75.907230250610013</v>
      </c>
      <c r="BJ669">
        <f t="shared" si="233"/>
        <v>308.63790333122415</v>
      </c>
      <c r="BN669" s="20">
        <f t="shared" si="234"/>
        <v>36.725330267152067</v>
      </c>
      <c r="BP669">
        <f t="shared" si="235"/>
        <v>74.161138146601672</v>
      </c>
      <c r="BR669">
        <f t="shared" si="236"/>
        <v>-2.3229845790560644</v>
      </c>
      <c r="BT669">
        <f t="shared" si="237"/>
        <v>33.064214513092722</v>
      </c>
      <c r="BV669">
        <f t="shared" si="238"/>
        <v>41.504884562514015</v>
      </c>
      <c r="BX669">
        <f t="shared" si="239"/>
        <v>201.41255067152974</v>
      </c>
      <c r="CB669">
        <f t="shared" si="240"/>
        <v>78589.958710211373</v>
      </c>
      <c r="CD669">
        <f t="shared" si="241"/>
        <v>73107.183254460819</v>
      </c>
      <c r="CF669">
        <f t="shared" si="242"/>
        <v>48934.44536241873</v>
      </c>
    </row>
    <row r="670" spans="12:84" x14ac:dyDescent="0.25">
      <c r="L670">
        <v>659</v>
      </c>
      <c r="M670">
        <f t="shared" si="254"/>
        <v>4.1406191174313678</v>
      </c>
      <c r="P670">
        <f t="shared" si="248"/>
        <v>17294.393739365707</v>
      </c>
      <c r="Q670">
        <f t="shared" si="249"/>
        <v>3295.2770885090995</v>
      </c>
      <c r="V670">
        <f t="shared" si="250"/>
        <v>-21893.924382444005</v>
      </c>
      <c r="W670">
        <f t="shared" si="251"/>
        <v>7056.69396195637</v>
      </c>
      <c r="AB670">
        <f t="shared" si="252"/>
        <v>-7705.6062606342939</v>
      </c>
      <c r="AC670">
        <f t="shared" si="253"/>
        <v>-19204.722911490899</v>
      </c>
      <c r="AW670">
        <v>663</v>
      </c>
      <c r="AX670">
        <f t="shared" si="243"/>
        <v>331.5</v>
      </c>
      <c r="AZ670">
        <f t="shared" si="244"/>
        <v>-14514.636547402284</v>
      </c>
      <c r="BB670">
        <f t="shared" si="245"/>
        <v>-65750.045580815873</v>
      </c>
      <c r="BD670">
        <f t="shared" si="246"/>
        <v>742.41531584353277</v>
      </c>
      <c r="BF670">
        <f t="shared" si="247"/>
        <v>-5568.0927049967677</v>
      </c>
      <c r="BH670">
        <f t="shared" si="232"/>
        <v>65.297715269555724</v>
      </c>
      <c r="BJ670">
        <f t="shared" si="233"/>
        <v>283.93514979375709</v>
      </c>
      <c r="BN670" s="20">
        <f t="shared" si="234"/>
        <v>33.273676860116971</v>
      </c>
      <c r="BP670">
        <f t="shared" si="235"/>
        <v>70.616370052094538</v>
      </c>
      <c r="BR670">
        <f t="shared" si="236"/>
        <v>-2.2204029314451543</v>
      </c>
      <c r="BT670">
        <f t="shared" si="237"/>
        <v>30.662621486839647</v>
      </c>
      <c r="BV670">
        <f t="shared" si="238"/>
        <v>34.244441340883903</v>
      </c>
      <c r="BX670">
        <f t="shared" si="239"/>
        <v>182.65615825482294</v>
      </c>
      <c r="CB670">
        <f t="shared" si="240"/>
        <v>80974.250929483009</v>
      </c>
      <c r="CD670">
        <f t="shared" si="241"/>
        <v>75948.394437952258</v>
      </c>
      <c r="CF670">
        <f t="shared" si="242"/>
        <v>51634.246727187296</v>
      </c>
    </row>
    <row r="671" spans="12:84" x14ac:dyDescent="0.25">
      <c r="L671">
        <v>660</v>
      </c>
      <c r="M671">
        <f t="shared" si="254"/>
        <v>4.146902302738547</v>
      </c>
      <c r="P671">
        <f t="shared" si="248"/>
        <v>17320.866025105101</v>
      </c>
      <c r="Q671">
        <f t="shared" si="249"/>
        <v>3278.3603724898712</v>
      </c>
      <c r="V671">
        <f t="shared" si="250"/>
        <v>-21875.393782426429</v>
      </c>
      <c r="W671">
        <f t="shared" si="251"/>
        <v>7044.8522607429095</v>
      </c>
      <c r="AB671">
        <f t="shared" si="252"/>
        <v>-7679.1339748948994</v>
      </c>
      <c r="AC671">
        <f t="shared" si="253"/>
        <v>-19221.639627510129</v>
      </c>
      <c r="AW671">
        <v>664</v>
      </c>
      <c r="AX671">
        <f t="shared" si="243"/>
        <v>332</v>
      </c>
      <c r="AZ671">
        <f t="shared" si="244"/>
        <v>-14135.266675071824</v>
      </c>
      <c r="BB671">
        <f t="shared" si="245"/>
        <v>-68498.600039590034</v>
      </c>
      <c r="BD671">
        <f t="shared" si="246"/>
        <v>775.06417347831064</v>
      </c>
      <c r="BF671">
        <f t="shared" si="247"/>
        <v>-5426.1251300998892</v>
      </c>
      <c r="BH671">
        <f t="shared" si="232"/>
        <v>56.576761829011247</v>
      </c>
      <c r="BJ671">
        <f t="shared" si="233"/>
        <v>262.5797763404957</v>
      </c>
      <c r="BN671" s="20">
        <f t="shared" si="234"/>
        <v>30.251719800686601</v>
      </c>
      <c r="BP671">
        <f t="shared" si="235"/>
        <v>67.352289218267558</v>
      </c>
      <c r="BR671">
        <f t="shared" si="236"/>
        <v>-2.1340175346068864</v>
      </c>
      <c r="BT671">
        <f t="shared" si="237"/>
        <v>28.563513402142544</v>
      </c>
      <c r="BV671">
        <f t="shared" si="238"/>
        <v>28.459059562931536</v>
      </c>
      <c r="BX671">
        <f t="shared" si="239"/>
        <v>166.66397372008561</v>
      </c>
      <c r="CB671">
        <f t="shared" si="240"/>
        <v>83312.685942513242</v>
      </c>
      <c r="CD671">
        <f t="shared" si="241"/>
        <v>78717.37613226223</v>
      </c>
      <c r="CF671">
        <f t="shared" si="242"/>
        <v>54272.951858367727</v>
      </c>
    </row>
    <row r="672" spans="12:84" x14ac:dyDescent="0.25">
      <c r="L672">
        <v>661</v>
      </c>
      <c r="M672">
        <f t="shared" si="254"/>
        <v>4.1531854880457262</v>
      </c>
      <c r="P672">
        <f t="shared" si="248"/>
        <v>17347.444078466411</v>
      </c>
      <c r="Q672">
        <f t="shared" si="249"/>
        <v>3261.6103195745318</v>
      </c>
      <c r="V672">
        <f t="shared" si="250"/>
        <v>-21856.789145073511</v>
      </c>
      <c r="W672">
        <f t="shared" si="251"/>
        <v>7033.1272237021731</v>
      </c>
      <c r="AB672">
        <f t="shared" si="252"/>
        <v>-7652.555921533587</v>
      </c>
      <c r="AC672">
        <f t="shared" si="253"/>
        <v>-19238.389680425469</v>
      </c>
      <c r="AW672">
        <v>665</v>
      </c>
      <c r="AX672">
        <f t="shared" si="243"/>
        <v>332.5</v>
      </c>
      <c r="AZ672">
        <f t="shared" si="244"/>
        <v>-13740.662493104042</v>
      </c>
      <c r="BB672">
        <f t="shared" si="245"/>
        <v>-71178.840132597412</v>
      </c>
      <c r="BD672">
        <f t="shared" si="246"/>
        <v>803.35255439281627</v>
      </c>
      <c r="BF672">
        <f t="shared" si="247"/>
        <v>-5294.8352419296416</v>
      </c>
      <c r="BH672">
        <f t="shared" si="232"/>
        <v>49.321681682836299</v>
      </c>
      <c r="BJ672">
        <f t="shared" si="233"/>
        <v>243.96001437882742</v>
      </c>
      <c r="BN672" s="20">
        <f t="shared" si="234"/>
        <v>27.591474713341103</v>
      </c>
      <c r="BP672">
        <f t="shared" si="235"/>
        <v>64.339733353998398</v>
      </c>
      <c r="BR672">
        <f t="shared" si="236"/>
        <v>-2.0598405347874555</v>
      </c>
      <c r="BT672">
        <f t="shared" si="237"/>
        <v>26.714562889112834</v>
      </c>
      <c r="BV672">
        <f t="shared" si="238"/>
        <v>23.790047504282654</v>
      </c>
      <c r="BX672">
        <f t="shared" si="239"/>
        <v>152.9057181357162</v>
      </c>
      <c r="CB672">
        <f t="shared" si="240"/>
        <v>85608.36518754682</v>
      </c>
      <c r="CD672">
        <f t="shared" si="241"/>
        <v>81419.797293404277</v>
      </c>
      <c r="CF672">
        <f t="shared" si="242"/>
        <v>56854.738232290656</v>
      </c>
    </row>
    <row r="673" spans="12:84" x14ac:dyDescent="0.25">
      <c r="L673">
        <v>662</v>
      </c>
      <c r="M673">
        <f t="shared" si="254"/>
        <v>4.1594686733529054</v>
      </c>
      <c r="P673">
        <f t="shared" si="248"/>
        <v>17374.126850193603</v>
      </c>
      <c r="Q673">
        <f t="shared" si="249"/>
        <v>3245.02759102649</v>
      </c>
      <c r="V673">
        <f t="shared" si="250"/>
        <v>-21838.111204864479</v>
      </c>
      <c r="W673">
        <f t="shared" si="251"/>
        <v>7021.5193137185433</v>
      </c>
      <c r="AB673">
        <f t="shared" si="252"/>
        <v>-7625.8731498063971</v>
      </c>
      <c r="AC673">
        <f t="shared" si="253"/>
        <v>-19254.97240897351</v>
      </c>
      <c r="AW673">
        <v>666</v>
      </c>
      <c r="AX673">
        <f t="shared" si="243"/>
        <v>333</v>
      </c>
      <c r="AZ673">
        <f t="shared" si="244"/>
        <v>-13332.82100569728</v>
      </c>
      <c r="BB673">
        <f t="shared" si="245"/>
        <v>-73795.762751764865</v>
      </c>
      <c r="BD673">
        <f t="shared" si="246"/>
        <v>828.01339523423439</v>
      </c>
      <c r="BF673">
        <f t="shared" si="247"/>
        <v>-5172.8552347402283</v>
      </c>
      <c r="BH673">
        <f t="shared" si="232"/>
        <v>43.222229535435531</v>
      </c>
      <c r="BJ673">
        <f t="shared" si="233"/>
        <v>227.60053361309775</v>
      </c>
      <c r="BN673" s="20">
        <f t="shared" si="234"/>
        <v>25.237949405908619</v>
      </c>
      <c r="BP673">
        <f t="shared" si="235"/>
        <v>61.553096477886072</v>
      </c>
      <c r="BR673">
        <f t="shared" si="236"/>
        <v>-1.9950597946209281</v>
      </c>
      <c r="BT673">
        <f t="shared" si="237"/>
        <v>25.074706614071356</v>
      </c>
      <c r="BV673">
        <f t="shared" si="238"/>
        <v>19.979339924147837</v>
      </c>
      <c r="BX673">
        <f t="shared" si="239"/>
        <v>140.97273052114031</v>
      </c>
      <c r="CB673">
        <f t="shared" si="240"/>
        <v>87863.974401281754</v>
      </c>
      <c r="CD673">
        <f t="shared" si="241"/>
        <v>84060.580124646629</v>
      </c>
      <c r="CF673">
        <f t="shared" si="242"/>
        <v>59383.310984440825</v>
      </c>
    </row>
    <row r="674" spans="12:84" x14ac:dyDescent="0.25">
      <c r="L674">
        <v>663</v>
      </c>
      <c r="M674">
        <f t="shared" si="254"/>
        <v>4.1657518586600846</v>
      </c>
      <c r="P674">
        <f t="shared" si="248"/>
        <v>17400.913286896532</v>
      </c>
      <c r="Q674">
        <f t="shared" si="249"/>
        <v>3228.6128415034755</v>
      </c>
      <c r="V674">
        <f t="shared" si="250"/>
        <v>-21819.360699172426</v>
      </c>
      <c r="W674">
        <f t="shared" si="251"/>
        <v>7010.0289890524327</v>
      </c>
      <c r="AB674">
        <f t="shared" si="252"/>
        <v>-7599.0867131034674</v>
      </c>
      <c r="AC674">
        <f t="shared" si="253"/>
        <v>-19271.387158496524</v>
      </c>
      <c r="AW674">
        <v>667</v>
      </c>
      <c r="AX674">
        <f t="shared" si="243"/>
        <v>333.5</v>
      </c>
      <c r="AZ674">
        <f t="shared" si="244"/>
        <v>-12913.411529388235</v>
      </c>
      <c r="BB674">
        <f t="shared" si="245"/>
        <v>-76353.740302433333</v>
      </c>
      <c r="BD674">
        <f t="shared" si="246"/>
        <v>849.6245100019521</v>
      </c>
      <c r="BF674">
        <f t="shared" si="247"/>
        <v>-5059.0549679336791</v>
      </c>
      <c r="BH674">
        <f t="shared" si="232"/>
        <v>38.046460672133392</v>
      </c>
      <c r="BJ674">
        <f t="shared" si="233"/>
        <v>213.12738183061904</v>
      </c>
      <c r="BN674" s="20">
        <f t="shared" si="234"/>
        <v>23.146247714533441</v>
      </c>
      <c r="BP674">
        <f t="shared" si="235"/>
        <v>58.969865311508585</v>
      </c>
      <c r="BR674">
        <f t="shared" si="236"/>
        <v>-1.9376521130512194</v>
      </c>
      <c r="BT674">
        <f t="shared" si="237"/>
        <v>23.611291675928463</v>
      </c>
      <c r="BV674">
        <f t="shared" si="238"/>
        <v>16.837865070651173</v>
      </c>
      <c r="BX674">
        <f t="shared" si="239"/>
        <v>130.54622484318199</v>
      </c>
      <c r="CB674">
        <f t="shared" si="240"/>
        <v>90081.865107305581</v>
      </c>
      <c r="CD674">
        <f t="shared" si="241"/>
        <v>86644.031533464018</v>
      </c>
      <c r="CF674">
        <f t="shared" si="242"/>
        <v>61861.971607215091</v>
      </c>
    </row>
    <row r="675" spans="12:84" x14ac:dyDescent="0.25">
      <c r="L675">
        <v>664</v>
      </c>
      <c r="M675">
        <f t="shared" si="254"/>
        <v>4.1720350439672638</v>
      </c>
      <c r="P675">
        <f t="shared" si="248"/>
        <v>17427.802331092546</v>
      </c>
      <c r="Q675">
        <f t="shared" si="249"/>
        <v>3212.3667190316919</v>
      </c>
      <c r="V675">
        <f t="shared" si="250"/>
        <v>-21800.538368235219</v>
      </c>
      <c r="W675">
        <f t="shared" si="251"/>
        <v>6998.6567033221836</v>
      </c>
      <c r="AB675">
        <f t="shared" si="252"/>
        <v>-7572.1976689074545</v>
      </c>
      <c r="AC675">
        <f t="shared" si="253"/>
        <v>-19287.633280968308</v>
      </c>
      <c r="AW675">
        <v>668</v>
      </c>
      <c r="AX675">
        <f t="shared" si="243"/>
        <v>334</v>
      </c>
      <c r="AZ675">
        <f t="shared" si="244"/>
        <v>-12483.843466803242</v>
      </c>
      <c r="BB675">
        <f t="shared" si="245"/>
        <v>-78856.62686367135</v>
      </c>
      <c r="BD675">
        <f t="shared" si="246"/>
        <v>868.64774033801882</v>
      </c>
      <c r="BF675">
        <f t="shared" si="247"/>
        <v>-4952.4912770183691</v>
      </c>
      <c r="BH675">
        <f t="shared" si="232"/>
        <v>33.618093115615913</v>
      </c>
      <c r="BJ675">
        <f t="shared" si="233"/>
        <v>200.24292365688854</v>
      </c>
      <c r="BN675" s="20">
        <f t="shared" si="234"/>
        <v>21.27940795175601</v>
      </c>
      <c r="BP675">
        <f t="shared" si="235"/>
        <v>56.57021141133076</v>
      </c>
      <c r="BR675">
        <f t="shared" si="236"/>
        <v>-1.8861348672486662</v>
      </c>
      <c r="BT675">
        <f t="shared" si="237"/>
        <v>22.298043072074446</v>
      </c>
      <c r="BV675">
        <f t="shared" si="238"/>
        <v>14.224820031108573</v>
      </c>
      <c r="BX675">
        <f t="shared" si="239"/>
        <v>121.37466917348333</v>
      </c>
      <c r="CB675">
        <f t="shared" si="240"/>
        <v>92264.11593705941</v>
      </c>
      <c r="CD675">
        <f t="shared" si="241"/>
        <v>89173.946568609579</v>
      </c>
      <c r="CF675">
        <f t="shared" si="242"/>
        <v>64293.675485554311</v>
      </c>
    </row>
    <row r="676" spans="12:84" x14ac:dyDescent="0.25">
      <c r="L676">
        <v>665</v>
      </c>
      <c r="M676">
        <f t="shared" si="254"/>
        <v>4.178318229274443</v>
      </c>
      <c r="P676">
        <f t="shared" si="248"/>
        <v>17454.792921248219</v>
      </c>
      <c r="Q676">
        <f t="shared" si="249"/>
        <v>3196.2898649802364</v>
      </c>
      <c r="V676">
        <f t="shared" si="250"/>
        <v>-21781.644955126245</v>
      </c>
      <c r="W676">
        <f t="shared" si="251"/>
        <v>6987.4029054861658</v>
      </c>
      <c r="AB676">
        <f t="shared" si="252"/>
        <v>-7545.2070787517796</v>
      </c>
      <c r="AC676">
        <f t="shared" si="253"/>
        <v>-19303.710135019763</v>
      </c>
      <c r="AW676">
        <v>669</v>
      </c>
      <c r="AX676">
        <f t="shared" si="243"/>
        <v>334.5</v>
      </c>
      <c r="AZ676">
        <f t="shared" si="244"/>
        <v>-12045.317334994781</v>
      </c>
      <c r="BB676">
        <f t="shared" si="245"/>
        <v>-81307.842136723411</v>
      </c>
      <c r="BD676">
        <f t="shared" si="246"/>
        <v>885.45678689582678</v>
      </c>
      <c r="BF676">
        <f t="shared" si="247"/>
        <v>-4852.3698151899252</v>
      </c>
      <c r="BH676">
        <f t="shared" si="232"/>
        <v>29.801157681821408</v>
      </c>
      <c r="BJ676">
        <f t="shared" si="233"/>
        <v>188.70769837932221</v>
      </c>
      <c r="BN676" s="20">
        <f t="shared" si="234"/>
        <v>19.606767844594831</v>
      </c>
      <c r="BP676">
        <f t="shared" si="235"/>
        <v>54.336636000563615</v>
      </c>
      <c r="BR676">
        <f t="shared" si="236"/>
        <v>-1.8394029219774484</v>
      </c>
      <c r="BT676">
        <f t="shared" si="237"/>
        <v>21.1135904094088</v>
      </c>
      <c r="BV676">
        <f t="shared" si="238"/>
        <v>12.033792759204024</v>
      </c>
      <c r="BX676">
        <f t="shared" si="239"/>
        <v>113.25747196934979</v>
      </c>
      <c r="CB676">
        <f t="shared" si="240"/>
        <v>94412.57960717789</v>
      </c>
      <c r="CD676">
        <f t="shared" si="241"/>
        <v>91653.690662000838</v>
      </c>
      <c r="CF676">
        <f t="shared" si="242"/>
        <v>66681.079964105331</v>
      </c>
    </row>
    <row r="677" spans="12:84" x14ac:dyDescent="0.25">
      <c r="L677">
        <v>666</v>
      </c>
      <c r="M677">
        <f t="shared" si="254"/>
        <v>4.1846014145816222</v>
      </c>
      <c r="P677">
        <f t="shared" si="248"/>
        <v>17481.883991821273</v>
      </c>
      <c r="Q677">
        <f t="shared" si="249"/>
        <v>3180.3829140357793</v>
      </c>
      <c r="V677">
        <f t="shared" si="250"/>
        <v>-21762.681205725108</v>
      </c>
      <c r="W677">
        <f t="shared" si="251"/>
        <v>6976.268039825045</v>
      </c>
      <c r="AB677">
        <f t="shared" si="252"/>
        <v>-7518.1160081787284</v>
      </c>
      <c r="AC677">
        <f t="shared" si="253"/>
        <v>-19319.617085964222</v>
      </c>
      <c r="AW677">
        <v>670</v>
      </c>
      <c r="AX677">
        <f t="shared" si="243"/>
        <v>335</v>
      </c>
      <c r="AZ677">
        <f t="shared" si="244"/>
        <v>-11598.86379683664</v>
      </c>
      <c r="BB677">
        <f t="shared" si="245"/>
        <v>-83710.438582020957</v>
      </c>
      <c r="BD677">
        <f t="shared" si="246"/>
        <v>900.35736573673751</v>
      </c>
      <c r="BF677">
        <f t="shared" si="247"/>
        <v>-4758.0159660002646</v>
      </c>
      <c r="BH677">
        <f t="shared" si="232"/>
        <v>26.489375935782093</v>
      </c>
      <c r="BJ677">
        <f t="shared" si="233"/>
        <v>178.32711896862017</v>
      </c>
      <c r="BN677" s="20">
        <f t="shared" si="234"/>
        <v>18.102712742690091</v>
      </c>
      <c r="BP677">
        <f t="shared" si="235"/>
        <v>52.253662644363814</v>
      </c>
      <c r="BR677">
        <f t="shared" si="236"/>
        <v>-1.7966193429897204</v>
      </c>
      <c r="BT677">
        <f t="shared" si="237"/>
        <v>20.040382934526654</v>
      </c>
      <c r="BV677">
        <f t="shared" si="238"/>
        <v>10.183282536081723</v>
      </c>
      <c r="BX677">
        <f t="shared" si="239"/>
        <v>106.03307338972971</v>
      </c>
      <c r="CB677">
        <f t="shared" si="240"/>
        <v>96528.91949864378</v>
      </c>
      <c r="CD677">
        <f t="shared" si="241"/>
        <v>94086.265675383387</v>
      </c>
      <c r="CF677">
        <f t="shared" si="242"/>
        <v>69026.584542065204</v>
      </c>
    </row>
    <row r="678" spans="12:84" x14ac:dyDescent="0.25">
      <c r="L678">
        <v>667</v>
      </c>
      <c r="M678">
        <f t="shared" si="254"/>
        <v>4.1908845998888014</v>
      </c>
      <c r="P678">
        <f t="shared" si="248"/>
        <v>17509.074473302622</v>
      </c>
      <c r="Q678">
        <f t="shared" si="249"/>
        <v>3164.6464941775075</v>
      </c>
      <c r="V678">
        <f t="shared" si="250"/>
        <v>-21743.647868688167</v>
      </c>
      <c r="W678">
        <f t="shared" si="251"/>
        <v>6965.2525459242552</v>
      </c>
      <c r="AB678">
        <f t="shared" si="252"/>
        <v>-7490.9255266973796</v>
      </c>
      <c r="AC678">
        <f t="shared" si="253"/>
        <v>-19335.353505822492</v>
      </c>
      <c r="AW678">
        <v>671</v>
      </c>
      <c r="AX678">
        <f t="shared" si="243"/>
        <v>335.5</v>
      </c>
      <c r="AZ678">
        <f t="shared" si="244"/>
        <v>-11145.373941976299</v>
      </c>
      <c r="BB678">
        <f t="shared" si="245"/>
        <v>-86067.155675150017</v>
      </c>
      <c r="BD678">
        <f t="shared" si="246"/>
        <v>913.60205370462859</v>
      </c>
      <c r="BF678">
        <f t="shared" si="247"/>
        <v>-4668.8524065159545</v>
      </c>
      <c r="BH678">
        <f t="shared" si="232"/>
        <v>23.598672662691225</v>
      </c>
      <c r="BJ678">
        <f t="shared" si="233"/>
        <v>168.94159936838537</v>
      </c>
      <c r="BN678" s="20">
        <f t="shared" si="234"/>
        <v>16.745706764551215</v>
      </c>
      <c r="BP678">
        <f t="shared" si="235"/>
        <v>50.307572310681124</v>
      </c>
      <c r="BR678">
        <f t="shared" si="236"/>
        <v>-1.7571408062353013</v>
      </c>
      <c r="BT678">
        <f t="shared" si="237"/>
        <v>19.063878956559936</v>
      </c>
      <c r="BV678">
        <f t="shared" si="238"/>
        <v>8.6101067043753119</v>
      </c>
      <c r="BX678">
        <f t="shared" si="239"/>
        <v>99.570148101144326</v>
      </c>
      <c r="CB678">
        <f t="shared" si="240"/>
        <v>98614.638564075751</v>
      </c>
      <c r="CD678">
        <f t="shared" si="241"/>
        <v>96474.363445119132</v>
      </c>
      <c r="CF678">
        <f t="shared" si="242"/>
        <v>71332.364580481473</v>
      </c>
    </row>
    <row r="679" spans="12:84" x14ac:dyDescent="0.25">
      <c r="L679">
        <v>668</v>
      </c>
      <c r="M679">
        <f t="shared" si="254"/>
        <v>4.1971677851959805</v>
      </c>
      <c r="P679">
        <f t="shared" si="248"/>
        <v>17536.363292258615</v>
      </c>
      <c r="Q679">
        <f t="shared" si="249"/>
        <v>3149.0812266523308</v>
      </c>
      <c r="V679">
        <f t="shared" si="250"/>
        <v>-21724.545695418969</v>
      </c>
      <c r="W679">
        <f t="shared" si="251"/>
        <v>6954.3568586566307</v>
      </c>
      <c r="AB679">
        <f t="shared" si="252"/>
        <v>-7463.6367077413852</v>
      </c>
      <c r="AC679">
        <f t="shared" si="253"/>
        <v>-19350.918773347668</v>
      </c>
      <c r="AW679">
        <v>672</v>
      </c>
      <c r="AX679">
        <f t="shared" si="243"/>
        <v>336</v>
      </c>
      <c r="AZ679">
        <f t="shared" si="244"/>
        <v>-10685.623081041149</v>
      </c>
      <c r="BB679">
        <f t="shared" si="245"/>
        <v>-88380.464178486945</v>
      </c>
      <c r="BD679">
        <f t="shared" si="246"/>
        <v>925.40139003597415</v>
      </c>
      <c r="BF679">
        <f t="shared" si="247"/>
        <v>-4584.3816068317619</v>
      </c>
      <c r="BH679">
        <f t="shared" si="232"/>
        <v>21.061808171819351</v>
      </c>
      <c r="BJ679">
        <f t="shared" si="233"/>
        <v>160.41913933717734</v>
      </c>
      <c r="BN679" s="20">
        <f t="shared" si="234"/>
        <v>15.517535465242039</v>
      </c>
      <c r="BP679">
        <f t="shared" si="235"/>
        <v>48.486175411337243</v>
      </c>
      <c r="BR679">
        <f t="shared" si="236"/>
        <v>-1.7204658259573047</v>
      </c>
      <c r="BT679">
        <f t="shared" si="237"/>
        <v>18.171932275618413</v>
      </c>
      <c r="BV679">
        <f t="shared" si="238"/>
        <v>7.264738532534615</v>
      </c>
      <c r="BX679">
        <f t="shared" si="239"/>
        <v>93.761031650221682</v>
      </c>
      <c r="CB679">
        <f t="shared" si="240"/>
        <v>100671.10248206207</v>
      </c>
      <c r="CD679">
        <f t="shared" si="241"/>
        <v>98820.409579008454</v>
      </c>
      <c r="CF679">
        <f t="shared" si="242"/>
        <v>73600.399678737303</v>
      </c>
    </row>
    <row r="680" spans="12:84" x14ac:dyDescent="0.25">
      <c r="L680">
        <v>669</v>
      </c>
      <c r="M680">
        <f t="shared" si="254"/>
        <v>4.2034509705031597</v>
      </c>
      <c r="P680">
        <f t="shared" si="248"/>
        <v>17563.749371373411</v>
      </c>
      <c r="Q680">
        <f t="shared" si="249"/>
        <v>3133.687725950359</v>
      </c>
      <c r="V680">
        <f t="shared" si="250"/>
        <v>-21705.375440038613</v>
      </c>
      <c r="W680">
        <f t="shared" si="251"/>
        <v>6943.5814081652516</v>
      </c>
      <c r="AB680">
        <f t="shared" si="252"/>
        <v>-7436.2506286265907</v>
      </c>
      <c r="AC680">
        <f t="shared" si="253"/>
        <v>-19366.31227404964</v>
      </c>
      <c r="AW680">
        <v>673</v>
      </c>
      <c r="AX680">
        <f t="shared" si="243"/>
        <v>336.5</v>
      </c>
      <c r="AZ680">
        <f t="shared" si="244"/>
        <v>-10220.289660001685</v>
      </c>
      <c r="BB680">
        <f t="shared" si="245"/>
        <v>-90652.602589485687</v>
      </c>
      <c r="BD680">
        <f t="shared" si="246"/>
        <v>935.93229412188384</v>
      </c>
      <c r="BF680">
        <f t="shared" si="247"/>
        <v>-4504.1720371631736</v>
      </c>
      <c r="BH680">
        <f t="shared" si="232"/>
        <v>18.824470551766467</v>
      </c>
      <c r="BJ680">
        <f t="shared" si="233"/>
        <v>152.64969231276149</v>
      </c>
      <c r="BN680" s="20">
        <f t="shared" si="234"/>
        <v>14.402708455351993</v>
      </c>
      <c r="BP680">
        <f t="shared" si="235"/>
        <v>46.778615795382507</v>
      </c>
      <c r="BR680">
        <f t="shared" si="236"/>
        <v>-1.6861982624011069</v>
      </c>
      <c r="BT680">
        <f t="shared" si="237"/>
        <v>17.354322131443531</v>
      </c>
      <c r="BV680">
        <f t="shared" si="238"/>
        <v>6.107960358815582</v>
      </c>
      <c r="BX680">
        <f t="shared" si="239"/>
        <v>88.516754385935442</v>
      </c>
      <c r="CB680">
        <f t="shared" si="240"/>
        <v>102699.55843246804</v>
      </c>
      <c r="CD680">
        <f t="shared" si="241"/>
        <v>101126.59957880128</v>
      </c>
      <c r="CF680">
        <f t="shared" si="242"/>
        <v>75832.497668855518</v>
      </c>
    </row>
    <row r="681" spans="12:84" x14ac:dyDescent="0.25">
      <c r="L681">
        <v>670</v>
      </c>
      <c r="M681">
        <f t="shared" si="254"/>
        <v>4.2097341558103389</v>
      </c>
      <c r="P681">
        <f t="shared" si="248"/>
        <v>17591.231629491493</v>
      </c>
      <c r="Q681">
        <f t="shared" si="249"/>
        <v>3118.4665997806442</v>
      </c>
      <c r="V681">
        <f t="shared" si="250"/>
        <v>-21686.137859355953</v>
      </c>
      <c r="W681">
        <f t="shared" si="251"/>
        <v>6932.9266198464502</v>
      </c>
      <c r="AB681">
        <f t="shared" si="252"/>
        <v>-7408.7683705085065</v>
      </c>
      <c r="AC681">
        <f t="shared" si="253"/>
        <v>-19381.533400219356</v>
      </c>
      <c r="AW681">
        <v>674</v>
      </c>
      <c r="AX681">
        <f t="shared" si="243"/>
        <v>337</v>
      </c>
      <c r="AZ681">
        <f t="shared" si="244"/>
        <v>-9749.9704541217707</v>
      </c>
      <c r="BB681">
        <f t="shared" si="245"/>
        <v>-92885.607396528168</v>
      </c>
      <c r="BD681">
        <f t="shared" si="246"/>
        <v>945.34452939776702</v>
      </c>
      <c r="BF681">
        <f t="shared" si="247"/>
        <v>-4427.8471910067929</v>
      </c>
      <c r="BH681">
        <f t="shared" si="232"/>
        <v>16.842390354150453</v>
      </c>
      <c r="BJ681">
        <f t="shared" si="233"/>
        <v>145.54084205563117</v>
      </c>
      <c r="BN681" s="20">
        <f t="shared" si="234"/>
        <v>13.387984244369564</v>
      </c>
      <c r="BP681">
        <f t="shared" si="235"/>
        <v>45.175202182427242</v>
      </c>
      <c r="BR681">
        <f t="shared" si="236"/>
        <v>-1.6540212305829936</v>
      </c>
      <c r="BT681">
        <f t="shared" si="237"/>
        <v>16.602389114450457</v>
      </c>
      <c r="BV681">
        <f t="shared" si="238"/>
        <v>5.1084273403638827</v>
      </c>
      <c r="BX681">
        <f t="shared" si="239"/>
        <v>83.763250758753458</v>
      </c>
      <c r="CB681">
        <f t="shared" si="240"/>
        <v>104701.15049220332</v>
      </c>
      <c r="CD681">
        <f t="shared" si="241"/>
        <v>103394.92886522002</v>
      </c>
      <c r="CF681">
        <f t="shared" si="242"/>
        <v>78030.314998987116</v>
      </c>
    </row>
    <row r="682" spans="12:84" x14ac:dyDescent="0.25">
      <c r="L682">
        <v>671</v>
      </c>
      <c r="M682">
        <f t="shared" si="254"/>
        <v>4.2160173411175181</v>
      </c>
      <c r="P682">
        <f t="shared" si="248"/>
        <v>17618.808981660372</v>
      </c>
      <c r="Q682">
        <f t="shared" si="249"/>
        <v>3103.4184490471816</v>
      </c>
      <c r="V682">
        <f t="shared" si="250"/>
        <v>-21666.833712837739</v>
      </c>
      <c r="W682">
        <f t="shared" si="251"/>
        <v>6922.392914333027</v>
      </c>
      <c r="AB682">
        <f t="shared" si="252"/>
        <v>-7381.1910183396267</v>
      </c>
      <c r="AC682">
        <f t="shared" si="253"/>
        <v>-19396.581550952818</v>
      </c>
      <c r="AW682">
        <v>675</v>
      </c>
      <c r="AX682">
        <f t="shared" si="243"/>
        <v>337.5</v>
      </c>
      <c r="AZ682">
        <f t="shared" si="244"/>
        <v>-9275.1928906286175</v>
      </c>
      <c r="BB682">
        <f t="shared" si="245"/>
        <v>-95081.338386774616</v>
      </c>
      <c r="BD682">
        <f t="shared" si="246"/>
        <v>953.76572457484224</v>
      </c>
      <c r="BF682">
        <f t="shared" si="247"/>
        <v>-4355.0767699789776</v>
      </c>
      <c r="BH682">
        <f t="shared" si="232"/>
        <v>15.079182396067241</v>
      </c>
      <c r="BJ682">
        <f t="shared" si="233"/>
        <v>139.01445073261527</v>
      </c>
      <c r="BN682" s="20">
        <f t="shared" si="234"/>
        <v>12.461989379496199</v>
      </c>
      <c r="BP682">
        <f t="shared" si="235"/>
        <v>43.667263074454873</v>
      </c>
      <c r="BR682">
        <f t="shared" si="236"/>
        <v>-1.6236781972833398</v>
      </c>
      <c r="BT682">
        <f t="shared" si="237"/>
        <v>15.908750277743627</v>
      </c>
      <c r="BV682">
        <f t="shared" si="238"/>
        <v>4.2408712138543816</v>
      </c>
      <c r="BX682">
        <f t="shared" si="239"/>
        <v>79.438437380416758</v>
      </c>
      <c r="CB682">
        <f t="shared" si="240"/>
        <v>106676.9323893665</v>
      </c>
      <c r="CD682">
        <f t="shared" si="241"/>
        <v>105627.21791607054</v>
      </c>
      <c r="CF682">
        <f t="shared" si="242"/>
        <v>80195.374131362361</v>
      </c>
    </row>
    <row r="683" spans="12:84" x14ac:dyDescent="0.25">
      <c r="L683">
        <v>672</v>
      </c>
      <c r="M683">
        <f t="shared" si="254"/>
        <v>4.2223005264246973</v>
      </c>
      <c r="P683">
        <f t="shared" si="248"/>
        <v>17646.480339173406</v>
      </c>
      <c r="Q683">
        <f t="shared" si="249"/>
        <v>3088.5438678251976</v>
      </c>
      <c r="V683">
        <f t="shared" si="250"/>
        <v>-21647.463762578616</v>
      </c>
      <c r="W683">
        <f t="shared" si="251"/>
        <v>6911.9807074776381</v>
      </c>
      <c r="AB683">
        <f t="shared" si="252"/>
        <v>-7353.519660826596</v>
      </c>
      <c r="AC683">
        <f t="shared" si="253"/>
        <v>-19411.456132174804</v>
      </c>
      <c r="AW683">
        <v>676</v>
      </c>
      <c r="AX683">
        <f t="shared" si="243"/>
        <v>338</v>
      </c>
      <c r="AZ683">
        <f t="shared" si="244"/>
        <v>-8796.4251305416892</v>
      </c>
      <c r="BB683">
        <f t="shared" si="245"/>
        <v>-97241.499965422525</v>
      </c>
      <c r="BD683">
        <f t="shared" si="246"/>
        <v>961.30531577287582</v>
      </c>
      <c r="BF683">
        <f t="shared" si="247"/>
        <v>-4285.5695446126701</v>
      </c>
      <c r="BH683">
        <f t="shared" si="232"/>
        <v>13.504712051082171</v>
      </c>
      <c r="BJ683">
        <f t="shared" si="233"/>
        <v>133.00403573594119</v>
      </c>
      <c r="BN683" s="20">
        <f t="shared" si="234"/>
        <v>11.614910978450407</v>
      </c>
      <c r="BP683">
        <f t="shared" si="235"/>
        <v>42.247021716506524</v>
      </c>
      <c r="BR683">
        <f t="shared" si="236"/>
        <v>-1.5949591159162719</v>
      </c>
      <c r="BT683">
        <f t="shared" si="237"/>
        <v>15.267074122980821</v>
      </c>
      <c r="BV683">
        <f t="shared" si="238"/>
        <v>3.4847601885480359</v>
      </c>
      <c r="BX683">
        <f t="shared" si="239"/>
        <v>75.489939896453848</v>
      </c>
      <c r="CB683">
        <f t="shared" si="240"/>
        <v>108627.87816810886</v>
      </c>
      <c r="CD683">
        <f t="shared" si="241"/>
        <v>107825.13345546705</v>
      </c>
      <c r="CF683">
        <f t="shared" si="242"/>
        <v>82329.078461588535</v>
      </c>
    </row>
    <row r="684" spans="12:84" x14ac:dyDescent="0.25">
      <c r="L684">
        <v>673</v>
      </c>
      <c r="M684">
        <f t="shared" si="254"/>
        <v>4.2285837117318765</v>
      </c>
      <c r="P684">
        <f t="shared" si="248"/>
        <v>17674.244609612775</v>
      </c>
      <c r="Q684">
        <f t="shared" si="249"/>
        <v>3073.8434433376897</v>
      </c>
      <c r="V684">
        <f t="shared" si="250"/>
        <v>-21628.028773271057</v>
      </c>
      <c r="W684">
        <f t="shared" si="251"/>
        <v>6901.6904103363831</v>
      </c>
      <c r="AB684">
        <f t="shared" si="252"/>
        <v>-7325.7553903872267</v>
      </c>
      <c r="AC684">
        <f t="shared" si="253"/>
        <v>-19426.15655666231</v>
      </c>
      <c r="AW684">
        <v>677</v>
      </c>
      <c r="AX684">
        <f t="shared" si="243"/>
        <v>338.5</v>
      </c>
      <c r="AZ684">
        <f t="shared" si="244"/>
        <v>-8314.0843836488657</v>
      </c>
      <c r="BB684">
        <f t="shared" si="245"/>
        <v>-99367.65923326186</v>
      </c>
      <c r="BD684">
        <f t="shared" si="246"/>
        <v>968.05767179841689</v>
      </c>
      <c r="BF684">
        <f t="shared" si="247"/>
        <v>-4219.0675267446995</v>
      </c>
      <c r="BH684">
        <f t="shared" si="232"/>
        <v>12.093844857427127</v>
      </c>
      <c r="BJ684">
        <f t="shared" si="233"/>
        <v>127.4526986907604</v>
      </c>
      <c r="BN684" s="20">
        <f t="shared" si="234"/>
        <v>10.83824685692152</v>
      </c>
      <c r="BP684">
        <f t="shared" si="235"/>
        <v>40.907488163747388</v>
      </c>
      <c r="BR684">
        <f t="shared" si="236"/>
        <v>-1.5676901384009725</v>
      </c>
      <c r="BT684">
        <f t="shared" si="237"/>
        <v>14.671901327105294</v>
      </c>
      <c r="BV684">
        <f t="shared" si="238"/>
        <v>2.8232881389065807</v>
      </c>
      <c r="BX684">
        <f t="shared" si="239"/>
        <v>71.873309199907709</v>
      </c>
      <c r="CB684">
        <f t="shared" si="240"/>
        <v>110554.89118298188</v>
      </c>
      <c r="CD684">
        <f t="shared" si="241"/>
        <v>109990.20642746046</v>
      </c>
      <c r="CF684">
        <f t="shared" si="242"/>
        <v>84432.725171000726</v>
      </c>
    </row>
    <row r="685" spans="12:84" x14ac:dyDescent="0.25">
      <c r="L685">
        <v>674</v>
      </c>
      <c r="M685">
        <f t="shared" si="254"/>
        <v>4.2348668970390557</v>
      </c>
      <c r="P685">
        <f t="shared" si="248"/>
        <v>17702.100696892623</v>
      </c>
      <c r="Q685">
        <f t="shared" si="249"/>
        <v>3059.3177559322439</v>
      </c>
      <c r="V685">
        <f t="shared" si="250"/>
        <v>-21608.529512175162</v>
      </c>
      <c r="W685">
        <f t="shared" si="251"/>
        <v>6891.522429152571</v>
      </c>
      <c r="AB685">
        <f t="shared" si="252"/>
        <v>-7297.8993031073751</v>
      </c>
      <c r="AC685">
        <f t="shared" si="253"/>
        <v>-19440.682244067757</v>
      </c>
      <c r="AW685">
        <v>678</v>
      </c>
      <c r="AX685">
        <f t="shared" si="243"/>
        <v>339</v>
      </c>
      <c r="AZ685">
        <f t="shared" si="244"/>
        <v>-7828.5438171424785</v>
      </c>
      <c r="BB685">
        <f t="shared" si="245"/>
        <v>-101461.26140929786</v>
      </c>
      <c r="BD685">
        <f t="shared" si="246"/>
        <v>974.10459422713041</v>
      </c>
      <c r="BF685">
        <f t="shared" si="247"/>
        <v>-4155.3411773993193</v>
      </c>
      <c r="BH685">
        <f t="shared" si="232"/>
        <v>10.825479691254429</v>
      </c>
      <c r="BJ685">
        <f t="shared" si="233"/>
        <v>122.31147686983343</v>
      </c>
      <c r="BN685" s="20">
        <f t="shared" si="234"/>
        <v>10.12460119719235</v>
      </c>
      <c r="BP685">
        <f t="shared" si="235"/>
        <v>39.642365944875536</v>
      </c>
      <c r="BR685">
        <f t="shared" si="236"/>
        <v>-1.5417258977381434</v>
      </c>
      <c r="BT685">
        <f t="shared" si="237"/>
        <v>14.118500755176832</v>
      </c>
      <c r="BV685">
        <f t="shared" si="238"/>
        <v>2.242604391800223</v>
      </c>
      <c r="BX685">
        <f t="shared" si="239"/>
        <v>68.550610169781066</v>
      </c>
      <c r="CB685">
        <f t="shared" si="240"/>
        <v>112458.81174406905</v>
      </c>
      <c r="CD685">
        <f t="shared" si="241"/>
        <v>112123.84733214899</v>
      </c>
      <c r="CF685">
        <f t="shared" si="242"/>
        <v>86507.516347496843</v>
      </c>
    </row>
    <row r="686" spans="12:84" x14ac:dyDescent="0.25">
      <c r="L686">
        <v>675</v>
      </c>
      <c r="M686">
        <f t="shared" si="254"/>
        <v>4.2411500823462349</v>
      </c>
      <c r="P686">
        <f t="shared" si="248"/>
        <v>17730.047501302328</v>
      </c>
      <c r="Q686">
        <f t="shared" si="249"/>
        <v>3044.9673790581292</v>
      </c>
      <c r="V686">
        <f t="shared" si="250"/>
        <v>-21588.966749088369</v>
      </c>
      <c r="W686">
        <f t="shared" si="251"/>
        <v>6881.4771653406897</v>
      </c>
      <c r="AB686">
        <f t="shared" si="252"/>
        <v>-7269.9524986976712</v>
      </c>
      <c r="AC686">
        <f t="shared" si="253"/>
        <v>-19455.032620941871</v>
      </c>
      <c r="AW686">
        <v>679</v>
      </c>
      <c r="AX686">
        <f t="shared" si="243"/>
        <v>339.5</v>
      </c>
      <c r="AZ686">
        <f t="shared" si="244"/>
        <v>-7340.1383350675069</v>
      </c>
      <c r="BB686">
        <f t="shared" si="245"/>
        <v>-103523.64306338879</v>
      </c>
      <c r="BD686">
        <f t="shared" si="246"/>
        <v>979.51733407275765</v>
      </c>
      <c r="BF686">
        <f t="shared" si="247"/>
        <v>-4094.1854389644027</v>
      </c>
      <c r="BH686">
        <f t="shared" si="232"/>
        <v>9.6817940888763196</v>
      </c>
      <c r="BJ686">
        <f t="shared" si="233"/>
        <v>117.53802064980817</v>
      </c>
      <c r="BN686" s="20">
        <f t="shared" si="234"/>
        <v>9.4675164830765599</v>
      </c>
      <c r="BP686">
        <f t="shared" si="235"/>
        <v>38.445971188289043</v>
      </c>
      <c r="BR686">
        <f t="shared" si="236"/>
        <v>-1.5169436591468051</v>
      </c>
      <c r="BT686">
        <f t="shared" si="237"/>
        <v>13.602752942022063</v>
      </c>
      <c r="BV686">
        <f t="shared" si="238"/>
        <v>1.731221264946565</v>
      </c>
      <c r="BX686">
        <f t="shared" si="239"/>
        <v>65.48929651949706</v>
      </c>
      <c r="CB686">
        <f t="shared" si="240"/>
        <v>114340.42366218251</v>
      </c>
      <c r="CD686">
        <f t="shared" si="241"/>
        <v>114227.3593836386</v>
      </c>
      <c r="CF686">
        <f t="shared" si="242"/>
        <v>88554.568649175388</v>
      </c>
    </row>
    <row r="687" spans="12:84" x14ac:dyDescent="0.25">
      <c r="L687">
        <v>676</v>
      </c>
      <c r="M687">
        <f t="shared" si="254"/>
        <v>4.2474332676534141</v>
      </c>
      <c r="P687">
        <f t="shared" si="248"/>
        <v>17758.083919549899</v>
      </c>
      <c r="Q687">
        <f t="shared" si="249"/>
        <v>3030.7928792436505</v>
      </c>
      <c r="V687">
        <f t="shared" si="250"/>
        <v>-21569.34125631507</v>
      </c>
      <c r="W687">
        <f t="shared" si="251"/>
        <v>6871.5550154705552</v>
      </c>
      <c r="AB687">
        <f t="shared" si="252"/>
        <v>-7241.9160804501007</v>
      </c>
      <c r="AC687">
        <f t="shared" si="253"/>
        <v>-19469.207120756349</v>
      </c>
      <c r="AW687">
        <v>680</v>
      </c>
      <c r="AX687">
        <f t="shared" si="243"/>
        <v>340</v>
      </c>
      <c r="AZ687">
        <f t="shared" si="244"/>
        <v>-6849.169443770018</v>
      </c>
      <c r="BB687">
        <f t="shared" si="245"/>
        <v>-105556.04353028977</v>
      </c>
      <c r="BD687">
        <f t="shared" si="246"/>
        <v>984.35823111719583</v>
      </c>
      <c r="BF687">
        <f t="shared" si="247"/>
        <v>-4035.4164286394985</v>
      </c>
      <c r="BH687">
        <f t="shared" si="232"/>
        <v>8.6476499605174002</v>
      </c>
      <c r="BJ687">
        <f t="shared" si="233"/>
        <v>113.095524769477</v>
      </c>
      <c r="BN687" s="20">
        <f t="shared" si="234"/>
        <v>8.861334507251506</v>
      </c>
      <c r="BP687">
        <f t="shared" si="235"/>
        <v>37.313162401034553</v>
      </c>
      <c r="BR687">
        <f t="shared" si="236"/>
        <v>-1.4932388439240156</v>
      </c>
      <c r="BT687">
        <f t="shared" si="237"/>
        <v>13.121055138822328</v>
      </c>
      <c r="BV687">
        <f t="shared" si="238"/>
        <v>1.2795542971899101</v>
      </c>
      <c r="BX687">
        <f t="shared" si="239"/>
        <v>62.661307229620114</v>
      </c>
      <c r="CB687">
        <f t="shared" si="240"/>
        <v>116200.45988955056</v>
      </c>
      <c r="CD687">
        <f t="shared" si="241"/>
        <v>116301.94985765671</v>
      </c>
      <c r="CF687">
        <f t="shared" si="242"/>
        <v>90574.921736049597</v>
      </c>
    </row>
    <row r="688" spans="12:84" x14ac:dyDescent="0.25">
      <c r="L688">
        <v>677</v>
      </c>
      <c r="M688">
        <f t="shared" si="254"/>
        <v>4.2537164529605933</v>
      </c>
      <c r="P688">
        <f t="shared" si="248"/>
        <v>17786.208844805551</v>
      </c>
      <c r="Q688">
        <f t="shared" si="249"/>
        <v>3016.7948160737915</v>
      </c>
      <c r="V688">
        <f t="shared" si="250"/>
        <v>-21549.653808636114</v>
      </c>
      <c r="W688">
        <f t="shared" si="251"/>
        <v>6861.7563712516539</v>
      </c>
      <c r="AB688">
        <f t="shared" si="252"/>
        <v>-7213.791155194448</v>
      </c>
      <c r="AC688">
        <f t="shared" si="253"/>
        <v>-19483.205183926209</v>
      </c>
      <c r="AW688">
        <v>681</v>
      </c>
      <c r="AX688">
        <f t="shared" si="243"/>
        <v>340.5</v>
      </c>
      <c r="AZ688">
        <f t="shared" si="244"/>
        <v>-6355.9093719663551</v>
      </c>
      <c r="BB688">
        <f t="shared" si="245"/>
        <v>-107559.61480401333</v>
      </c>
      <c r="BD688">
        <f t="shared" si="246"/>
        <v>988.68205609745451</v>
      </c>
      <c r="BF688">
        <f t="shared" si="247"/>
        <v>-3978.8686662547598</v>
      </c>
      <c r="BH688">
        <f t="shared" si="232"/>
        <v>7.7101217557106008</v>
      </c>
      <c r="BJ688">
        <f t="shared" si="233"/>
        <v>108.95185874330068</v>
      </c>
      <c r="BN688" s="20">
        <f t="shared" si="234"/>
        <v>8.3010808293916707</v>
      </c>
      <c r="BP688">
        <f t="shared" si="235"/>
        <v>36.239279366421869</v>
      </c>
      <c r="BR688">
        <f t="shared" si="236"/>
        <v>-1.4705215719223901</v>
      </c>
      <c r="BT688">
        <f t="shared" si="237"/>
        <v>12.670243423991574</v>
      </c>
      <c r="BV688">
        <f t="shared" si="238"/>
        <v>0.87956249824131993</v>
      </c>
      <c r="BX688">
        <f t="shared" si="239"/>
        <v>60.042335952887228</v>
      </c>
      <c r="CB688">
        <f t="shared" si="240"/>
        <v>118039.60741069596</v>
      </c>
      <c r="CD688">
        <f t="shared" si="241"/>
        <v>118348.73992541697</v>
      </c>
      <c r="CF688">
        <f t="shared" si="242"/>
        <v>92569.545655643728</v>
      </c>
    </row>
    <row r="689" spans="12:84" x14ac:dyDescent="0.25">
      <c r="L689">
        <v>678</v>
      </c>
      <c r="M689">
        <f t="shared" si="254"/>
        <v>4.2599996382677725</v>
      </c>
      <c r="P689">
        <f t="shared" si="248"/>
        <v>17814.421166745393</v>
      </c>
      <c r="Q689">
        <f t="shared" si="249"/>
        <v>3002.9737421681166</v>
      </c>
      <c r="V689">
        <f t="shared" si="250"/>
        <v>-21529.905183278224</v>
      </c>
      <c r="W689">
        <f t="shared" si="251"/>
        <v>6852.0816195176812</v>
      </c>
      <c r="AB689">
        <f t="shared" si="252"/>
        <v>-7185.5788332546072</v>
      </c>
      <c r="AC689">
        <f t="shared" si="253"/>
        <v>-19497.026257831883</v>
      </c>
      <c r="AW689">
        <v>682</v>
      </c>
      <c r="AX689">
        <f t="shared" si="243"/>
        <v>341</v>
      </c>
      <c r="AZ689">
        <f t="shared" si="244"/>
        <v>-5860.604578698164</v>
      </c>
      <c r="BB689">
        <f t="shared" si="245"/>
        <v>-109535.4301547978</v>
      </c>
      <c r="BD689">
        <f t="shared" si="246"/>
        <v>992.5371169753098</v>
      </c>
      <c r="BF689">
        <f t="shared" si="247"/>
        <v>-3924.3927368831096</v>
      </c>
      <c r="BH689">
        <f t="shared" si="232"/>
        <v>6.85811897175242</v>
      </c>
      <c r="BJ689">
        <f t="shared" si="233"/>
        <v>105.07885473510353</v>
      </c>
      <c r="BN689" s="20">
        <f t="shared" si="234"/>
        <v>7.7823682614222793</v>
      </c>
      <c r="BP689">
        <f t="shared" si="235"/>
        <v>35.220089860113127</v>
      </c>
      <c r="BR689">
        <f t="shared" si="236"/>
        <v>-1.4487139670796625</v>
      </c>
      <c r="BT689">
        <f t="shared" si="237"/>
        <v>12.247528417320884</v>
      </c>
      <c r="BV689">
        <f t="shared" si="238"/>
        <v>0.52446467740980296</v>
      </c>
      <c r="BX689">
        <f t="shared" si="239"/>
        <v>57.611236457669527</v>
      </c>
      <c r="CB689">
        <f t="shared" si="240"/>
        <v>119858.5115070863</v>
      </c>
      <c r="CD689">
        <f t="shared" si="241"/>
        <v>120368.7732145363</v>
      </c>
      <c r="CF689">
        <f t="shared" si="242"/>
        <v>94539.347336405539</v>
      </c>
    </row>
    <row r="690" spans="12:84" x14ac:dyDescent="0.25">
      <c r="L690">
        <v>679</v>
      </c>
      <c r="M690">
        <f t="shared" si="254"/>
        <v>4.2662828235749517</v>
      </c>
      <c r="P690">
        <f t="shared" si="248"/>
        <v>17842.719771595261</v>
      </c>
      <c r="Q690">
        <f t="shared" si="249"/>
        <v>2989.3302031589592</v>
      </c>
      <c r="V690">
        <f t="shared" si="250"/>
        <v>-21510.096159883316</v>
      </c>
      <c r="W690">
        <f t="shared" si="251"/>
        <v>6842.5311422112718</v>
      </c>
      <c r="AB690">
        <f t="shared" si="252"/>
        <v>-7157.2802284047384</v>
      </c>
      <c r="AC690">
        <f t="shared" si="253"/>
        <v>-19510.669796841041</v>
      </c>
      <c r="AW690">
        <v>683</v>
      </c>
      <c r="AX690">
        <f t="shared" si="243"/>
        <v>341.5</v>
      </c>
      <c r="AZ690">
        <f t="shared" si="244"/>
        <v>-5363.4787553390397</v>
      </c>
      <c r="BB690">
        <f t="shared" si="245"/>
        <v>-111484.49166639746</v>
      </c>
      <c r="BD690">
        <f t="shared" si="246"/>
        <v>995.96617646118602</v>
      </c>
      <c r="BF690">
        <f t="shared" si="247"/>
        <v>-3871.8533095155576</v>
      </c>
      <c r="BH690">
        <f t="shared" si="232"/>
        <v>6.0820819719644845</v>
      </c>
      <c r="BJ690">
        <f t="shared" si="233"/>
        <v>101.45172081841449</v>
      </c>
      <c r="BN690" s="20">
        <f t="shared" si="234"/>
        <v>7.3013158759652512</v>
      </c>
      <c r="BP690">
        <f t="shared" si="235"/>
        <v>34.251743082153169</v>
      </c>
      <c r="BR690">
        <f t="shared" si="236"/>
        <v>-1.4277480397113143</v>
      </c>
      <c r="BT690">
        <f t="shared" si="237"/>
        <v>11.850441913941431</v>
      </c>
      <c r="BV690">
        <f t="shared" si="238"/>
        <v>0.20851413571054786</v>
      </c>
      <c r="BX690">
        <f t="shared" si="239"/>
        <v>55.349535822319886</v>
      </c>
      <c r="CB690">
        <f t="shared" si="240"/>
        <v>121657.77949512123</v>
      </c>
      <c r="CD690">
        <f t="shared" si="241"/>
        <v>122363.02329375655</v>
      </c>
      <c r="CF690">
        <f t="shared" si="242"/>
        <v>96485.176317031743</v>
      </c>
    </row>
    <row r="691" spans="12:84" x14ac:dyDescent="0.25">
      <c r="L691">
        <v>680</v>
      </c>
      <c r="M691">
        <f t="shared" si="254"/>
        <v>4.2725660088821309</v>
      </c>
      <c r="P691">
        <f t="shared" si="248"/>
        <v>17871.103542174693</v>
      </c>
      <c r="Q691">
        <f t="shared" si="249"/>
        <v>2975.8647376698764</v>
      </c>
      <c r="V691">
        <f t="shared" si="250"/>
        <v>-21490.227520477718</v>
      </c>
      <c r="W691">
        <f t="shared" si="251"/>
        <v>6833.1053163689139</v>
      </c>
      <c r="AB691">
        <f t="shared" si="252"/>
        <v>-7128.896457825309</v>
      </c>
      <c r="AC691">
        <f t="shared" si="253"/>
        <v>-19524.135262330125</v>
      </c>
      <c r="AW691">
        <v>684</v>
      </c>
      <c r="AX691">
        <f t="shared" si="243"/>
        <v>342</v>
      </c>
      <c r="AZ691">
        <f t="shared" si="244"/>
        <v>-4864.7354068619507</v>
      </c>
      <c r="BB691">
        <f t="shared" si="245"/>
        <v>-113407.73685605293</v>
      </c>
      <c r="BD691">
        <f t="shared" si="246"/>
        <v>999.00721744716827</v>
      </c>
      <c r="BF691">
        <f t="shared" si="247"/>
        <v>-3821.1274491063505</v>
      </c>
      <c r="BH691">
        <f t="shared" si="232"/>
        <v>5.3737352272781589</v>
      </c>
      <c r="BJ691">
        <f t="shared" si="233"/>
        <v>98.048554759784096</v>
      </c>
      <c r="BN691" s="20">
        <f t="shared" si="234"/>
        <v>6.8544807453941425</v>
      </c>
      <c r="BP691">
        <f t="shared" si="235"/>
        <v>33.330728869139016</v>
      </c>
      <c r="BR691">
        <f t="shared" si="236"/>
        <v>-1.4075640084973626</v>
      </c>
      <c r="BT691">
        <f t="shared" si="237"/>
        <v>11.476792341472956</v>
      </c>
      <c r="BV691">
        <f t="shared" si="238"/>
        <v>-7.318150961862141E-2</v>
      </c>
      <c r="BX691">
        <f t="shared" si="239"/>
        <v>53.241033549172123</v>
      </c>
      <c r="CB691">
        <f t="shared" si="240"/>
        <v>123437.98401831502</v>
      </c>
      <c r="CD691">
        <f t="shared" si="241"/>
        <v>124332.40024320733</v>
      </c>
      <c r="CF691">
        <f t="shared" si="242"/>
        <v>98407.829818771599</v>
      </c>
    </row>
    <row r="692" spans="12:84" x14ac:dyDescent="0.25">
      <c r="L692">
        <v>681</v>
      </c>
      <c r="M692">
        <f t="shared" si="254"/>
        <v>4.2788491941893101</v>
      </c>
      <c r="P692">
        <f t="shared" si="248"/>
        <v>17899.571357941022</v>
      </c>
      <c r="Q692">
        <f t="shared" si="249"/>
        <v>2962.5778772943904</v>
      </c>
      <c r="V692">
        <f t="shared" si="250"/>
        <v>-21470.300049441285</v>
      </c>
      <c r="W692">
        <f t="shared" si="251"/>
        <v>6823.8045141060738</v>
      </c>
      <c r="AB692">
        <f t="shared" si="252"/>
        <v>-7100.4286420589779</v>
      </c>
      <c r="AC692">
        <f t="shared" si="253"/>
        <v>-19537.422122705611</v>
      </c>
      <c r="AW692">
        <v>685</v>
      </c>
      <c r="AX692">
        <f t="shared" si="243"/>
        <v>342.5</v>
      </c>
      <c r="AZ692">
        <f t="shared" si="244"/>
        <v>-4364.5600812349567</v>
      </c>
      <c r="BB692">
        <f t="shared" si="245"/>
        <v>-115306.04451126112</v>
      </c>
      <c r="BD692">
        <f t="shared" si="246"/>
        <v>1001.6940850608073</v>
      </c>
      <c r="BF692">
        <f t="shared" si="247"/>
        <v>-3772.1031717264586</v>
      </c>
      <c r="BH692">
        <f t="shared" si="232"/>
        <v>4.7258858763883271</v>
      </c>
      <c r="BJ692">
        <f t="shared" si="233"/>
        <v>94.849938908637171</v>
      </c>
      <c r="BN692" s="20">
        <f t="shared" si="234"/>
        <v>6.438800172843802</v>
      </c>
      <c r="BP692">
        <f t="shared" si="235"/>
        <v>32.453841891213521</v>
      </c>
      <c r="BR692">
        <f t="shared" si="236"/>
        <v>-1.3881089604104824</v>
      </c>
      <c r="BT692">
        <f t="shared" si="237"/>
        <v>11.124627390299532</v>
      </c>
      <c r="BV692">
        <f t="shared" si="238"/>
        <v>-0.32480533604499251</v>
      </c>
      <c r="BX692">
        <f t="shared" si="239"/>
        <v>51.271469627124127</v>
      </c>
      <c r="CB692">
        <f t="shared" si="240"/>
        <v>125199.66595983376</v>
      </c>
      <c r="CD692">
        <f t="shared" si="241"/>
        <v>126277.75644392589</v>
      </c>
      <c r="CF692">
        <f t="shared" si="242"/>
        <v>100308.05725057911</v>
      </c>
    </row>
    <row r="693" spans="12:84" x14ac:dyDescent="0.25">
      <c r="L693">
        <v>682</v>
      </c>
      <c r="M693">
        <f t="shared" si="254"/>
        <v>4.2851323794964893</v>
      </c>
      <c r="P693">
        <f t="shared" si="248"/>
        <v>17928.122095033632</v>
      </c>
      <c r="Q693">
        <f t="shared" si="249"/>
        <v>2949.4701465749986</v>
      </c>
      <c r="V693">
        <f t="shared" si="250"/>
        <v>-21450.314533476459</v>
      </c>
      <c r="W693">
        <f t="shared" si="251"/>
        <v>6814.6291026024992</v>
      </c>
      <c r="AB693">
        <f t="shared" si="252"/>
        <v>-7071.877904966369</v>
      </c>
      <c r="AC693">
        <f t="shared" si="253"/>
        <v>-19550.529853425003</v>
      </c>
      <c r="AW693">
        <v>686</v>
      </c>
      <c r="AX693">
        <f t="shared" si="243"/>
        <v>343</v>
      </c>
      <c r="AZ693">
        <f t="shared" si="244"/>
        <v>-3863.1223029700045</v>
      </c>
      <c r="BB693">
        <f t="shared" si="245"/>
        <v>-117180.23985476077</v>
      </c>
      <c r="BD693">
        <f t="shared" si="246"/>
        <v>1004.0570279990014</v>
      </c>
      <c r="BF693">
        <f t="shared" si="247"/>
        <v>-3724.67820227214</v>
      </c>
      <c r="BH693">
        <f t="shared" si="232"/>
        <v>4.1322583048704118</v>
      </c>
      <c r="BJ693">
        <f t="shared" si="233"/>
        <v>91.838600925138536</v>
      </c>
      <c r="BN693" s="20">
        <f t="shared" si="234"/>
        <v>6.0515426106622119</v>
      </c>
      <c r="BP693">
        <f t="shared" si="235"/>
        <v>31.618150156937499</v>
      </c>
      <c r="BR693">
        <f t="shared" si="236"/>
        <v>-1.369335772411147</v>
      </c>
      <c r="BT693">
        <f t="shared" si="237"/>
        <v>10.792202509473483</v>
      </c>
      <c r="BV693">
        <f t="shared" si="238"/>
        <v>-0.5499485333806533</v>
      </c>
      <c r="BX693">
        <f t="shared" si="239"/>
        <v>49.42824825872755</v>
      </c>
      <c r="CB693">
        <f t="shared" si="240"/>
        <v>126943.33702990158</v>
      </c>
      <c r="CD693">
        <f t="shared" si="241"/>
        <v>128199.89169778337</v>
      </c>
      <c r="CF693">
        <f t="shared" si="242"/>
        <v>102186.56422286859</v>
      </c>
    </row>
    <row r="694" spans="12:84" x14ac:dyDescent="0.25">
      <c r="L694">
        <v>683</v>
      </c>
      <c r="M694">
        <f t="shared" si="254"/>
        <v>4.2914155648036685</v>
      </c>
      <c r="P694">
        <f t="shared" si="248"/>
        <v>17956.754626318303</v>
      </c>
      <c r="Q694">
        <f t="shared" si="249"/>
        <v>2936.5420629824639</v>
      </c>
      <c r="V694">
        <f t="shared" si="250"/>
        <v>-21430.271761577187</v>
      </c>
      <c r="W694">
        <f t="shared" si="251"/>
        <v>6805.5794440877244</v>
      </c>
      <c r="AB694">
        <f t="shared" si="252"/>
        <v>-7043.2453736816951</v>
      </c>
      <c r="AC694">
        <f t="shared" si="253"/>
        <v>-19563.457937017534</v>
      </c>
      <c r="AW694">
        <v>687</v>
      </c>
      <c r="AX694">
        <f t="shared" si="243"/>
        <v>343.5</v>
      </c>
      <c r="AZ694">
        <f t="shared" si="244"/>
        <v>-3360.5772566823948</v>
      </c>
      <c r="BB694">
        <f t="shared" si="245"/>
        <v>-119031.09913078119</v>
      </c>
      <c r="BD694">
        <f t="shared" si="246"/>
        <v>1006.1231571514367</v>
      </c>
      <c r="BF694">
        <f t="shared" si="247"/>
        <v>-3678.7589018095705</v>
      </c>
      <c r="BH694">
        <f t="shared" si="232"/>
        <v>3.5873575430418834</v>
      </c>
      <c r="BJ694">
        <f t="shared" si="233"/>
        <v>88.999128259690124</v>
      </c>
      <c r="BN694" s="20">
        <f t="shared" si="234"/>
        <v>5.6902658041302043</v>
      </c>
      <c r="BP694">
        <f t="shared" si="235"/>
        <v>30.820967248869479</v>
      </c>
      <c r="BR694">
        <f t="shared" si="236"/>
        <v>-1.3512022374259489</v>
      </c>
      <c r="BT694">
        <f t="shared" si="237"/>
        <v>10.47795422548891</v>
      </c>
      <c r="BV694">
        <f t="shared" si="238"/>
        <v>-0.75170602366237227</v>
      </c>
      <c r="BX694">
        <f t="shared" si="239"/>
        <v>47.700206785331737</v>
      </c>
      <c r="CB694">
        <f t="shared" si="240"/>
        <v>128669.48207329119</v>
      </c>
      <c r="CD694">
        <f t="shared" si="241"/>
        <v>130099.55777068698</v>
      </c>
      <c r="CF694">
        <f t="shared" si="242"/>
        <v>104044.01613398884</v>
      </c>
    </row>
    <row r="695" spans="12:84" x14ac:dyDescent="0.25">
      <c r="L695">
        <v>684</v>
      </c>
      <c r="M695">
        <f t="shared" si="254"/>
        <v>4.2976987501108477</v>
      </c>
      <c r="P695">
        <f t="shared" si="248"/>
        <v>17985.467821431736</v>
      </c>
      <c r="Q695">
        <f t="shared" si="249"/>
        <v>2923.7941368953916</v>
      </c>
      <c r="V695">
        <f t="shared" si="250"/>
        <v>-21410.172524997786</v>
      </c>
      <c r="W695">
        <f t="shared" si="251"/>
        <v>6796.6558958267742</v>
      </c>
      <c r="AB695">
        <f t="shared" si="252"/>
        <v>-7014.5321785682654</v>
      </c>
      <c r="AC695">
        <f t="shared" si="253"/>
        <v>-19576.205863104609</v>
      </c>
      <c r="AW695">
        <v>688</v>
      </c>
      <c r="AX695">
        <f t="shared" si="243"/>
        <v>344</v>
      </c>
      <c r="AZ695">
        <f t="shared" si="244"/>
        <v>-2857.0672584137965</v>
      </c>
      <c r="BB695">
        <f t="shared" si="245"/>
        <v>-120859.35369065352</v>
      </c>
      <c r="BD695">
        <f t="shared" si="246"/>
        <v>1007.9168359229576</v>
      </c>
      <c r="BF695">
        <f t="shared" si="247"/>
        <v>-3634.2593376797254</v>
      </c>
      <c r="BH695">
        <f t="shared" si="232"/>
        <v>3.0863558668114948</v>
      </c>
      <c r="BJ695">
        <f t="shared" si="233"/>
        <v>86.317726756332746</v>
      </c>
      <c r="BN695" s="20">
        <f t="shared" si="234"/>
        <v>5.3527809697824971</v>
      </c>
      <c r="BP695">
        <f t="shared" si="235"/>
        <v>30.059827796848854</v>
      </c>
      <c r="BR695">
        <f t="shared" si="236"/>
        <v>-1.3336703508961172</v>
      </c>
      <c r="BT695">
        <f t="shared" si="237"/>
        <v>10.180477447203977</v>
      </c>
      <c r="BV695">
        <f t="shared" si="238"/>
        <v>-0.93275475207488501</v>
      </c>
      <c r="BX695">
        <f t="shared" si="239"/>
        <v>46.077421512279905</v>
      </c>
      <c r="CB695">
        <f t="shared" si="240"/>
        <v>130378.56113463569</v>
      </c>
      <c r="CD695">
        <f t="shared" si="241"/>
        <v>131977.46243703167</v>
      </c>
      <c r="CF695">
        <f t="shared" si="242"/>
        <v>105881.04138389384</v>
      </c>
    </row>
    <row r="696" spans="12:84" x14ac:dyDescent="0.25">
      <c r="L696">
        <v>685</v>
      </c>
      <c r="M696">
        <f t="shared" si="254"/>
        <v>4.3039819354180269</v>
      </c>
      <c r="P696">
        <f t="shared" si="248"/>
        <v>18014.260546826143</v>
      </c>
      <c r="Q696">
        <f t="shared" si="249"/>
        <v>2911.2268715800747</v>
      </c>
      <c r="V696">
        <f t="shared" si="250"/>
        <v>-21390.0176172217</v>
      </c>
      <c r="W696">
        <f t="shared" si="251"/>
        <v>6787.8588101060523</v>
      </c>
      <c r="AB696">
        <f t="shared" si="252"/>
        <v>-6985.7394531738564</v>
      </c>
      <c r="AC696">
        <f t="shared" si="253"/>
        <v>-19588.773128419925</v>
      </c>
      <c r="AW696">
        <v>689</v>
      </c>
      <c r="AX696">
        <f t="shared" si="243"/>
        <v>344.5</v>
      </c>
      <c r="AZ696">
        <f t="shared" si="244"/>
        <v>-2352.7230459689663</v>
      </c>
      <c r="BB696">
        <f t="shared" si="245"/>
        <v>-122665.69364364883</v>
      </c>
      <c r="BD696">
        <f t="shared" si="246"/>
        <v>1009.4600138563634</v>
      </c>
      <c r="BF696">
        <f t="shared" si="247"/>
        <v>-3591.1004743015592</v>
      </c>
      <c r="BH696">
        <f t="shared" si="232"/>
        <v>2.6249981911334883</v>
      </c>
      <c r="BJ696">
        <f t="shared" si="233"/>
        <v>83.782015664846995</v>
      </c>
      <c r="BN696" s="20">
        <f t="shared" si="234"/>
        <v>5.0371220341796894</v>
      </c>
      <c r="BP696">
        <f t="shared" si="235"/>
        <v>29.332465767071131</v>
      </c>
      <c r="BR696">
        <f t="shared" si="236"/>
        <v>-1.3167057244127041</v>
      </c>
      <c r="BT696">
        <f t="shared" si="237"/>
        <v>9.8985060816350661</v>
      </c>
      <c r="BV696">
        <f t="shared" si="238"/>
        <v>-1.0954181186334975</v>
      </c>
      <c r="BX696">
        <f t="shared" si="239"/>
        <v>44.55104381614079</v>
      </c>
      <c r="CB696">
        <f t="shared" si="240"/>
        <v>132071.01131324025</v>
      </c>
      <c r="CD696">
        <f t="shared" si="241"/>
        <v>133834.27309117329</v>
      </c>
      <c r="CF696">
        <f t="shared" si="242"/>
        <v>107698.23426147427</v>
      </c>
    </row>
    <row r="697" spans="12:84" x14ac:dyDescent="0.25">
      <c r="L697">
        <v>686</v>
      </c>
      <c r="M697">
        <f t="shared" si="254"/>
        <v>4.3102651207252061</v>
      </c>
      <c r="P697">
        <f t="shared" si="248"/>
        <v>18043.131665814031</v>
      </c>
      <c r="Q697">
        <f t="shared" si="249"/>
        <v>2898.8407631706295</v>
      </c>
      <c r="V697">
        <f t="shared" si="250"/>
        <v>-21369.807833930176</v>
      </c>
      <c r="W697">
        <f t="shared" si="251"/>
        <v>6779.18853421944</v>
      </c>
      <c r="AB697">
        <f t="shared" si="252"/>
        <v>-6956.8683341859669</v>
      </c>
      <c r="AC697">
        <f t="shared" si="253"/>
        <v>-19601.159236829371</v>
      </c>
      <c r="AW697">
        <v>690</v>
      </c>
      <c r="AX697">
        <f t="shared" si="243"/>
        <v>345</v>
      </c>
      <c r="AZ697">
        <f t="shared" si="244"/>
        <v>-1847.664914266893</v>
      </c>
      <c r="BB697">
        <f t="shared" si="245"/>
        <v>-124450.7711288415</v>
      </c>
      <c r="BD697">
        <f t="shared" si="246"/>
        <v>1010.7725129519301</v>
      </c>
      <c r="BF697">
        <f t="shared" si="247"/>
        <v>-3549.2094664691358</v>
      </c>
      <c r="BH697">
        <f t="shared" si="232"/>
        <v>2.1995227695861121</v>
      </c>
      <c r="BJ697">
        <f t="shared" si="233"/>
        <v>81.38085284369599</v>
      </c>
      <c r="BN697" s="20">
        <f t="shared" si="234"/>
        <v>4.7415191325415185</v>
      </c>
      <c r="BP697">
        <f t="shared" si="235"/>
        <v>28.636795205168628</v>
      </c>
      <c r="BR697">
        <f t="shared" si="236"/>
        <v>-1.3002771006100187</v>
      </c>
      <c r="BT697">
        <f t="shared" si="237"/>
        <v>9.6308964126380747</v>
      </c>
      <c r="BV697">
        <f t="shared" si="238"/>
        <v>-1.2417192623453881</v>
      </c>
      <c r="BX697">
        <f t="shared" si="239"/>
        <v>43.113161225889286</v>
      </c>
      <c r="CB697">
        <f t="shared" si="240"/>
        <v>133747.24843413415</v>
      </c>
      <c r="CD697">
        <f t="shared" si="241"/>
        <v>135670.6199816484</v>
      </c>
      <c r="CF697">
        <f t="shared" si="242"/>
        <v>109496.15754532571</v>
      </c>
    </row>
    <row r="698" spans="12:84" x14ac:dyDescent="0.25">
      <c r="L698">
        <v>687</v>
      </c>
      <c r="M698">
        <f t="shared" si="254"/>
        <v>4.3165483060323853</v>
      </c>
      <c r="P698">
        <f t="shared" si="248"/>
        <v>18072.080038613061</v>
      </c>
      <c r="Q698">
        <f t="shared" si="249"/>
        <v>2886.6363006494075</v>
      </c>
      <c r="V698">
        <f t="shared" si="250"/>
        <v>-21349.54397297086</v>
      </c>
      <c r="W698">
        <f t="shared" si="251"/>
        <v>6770.6454104545855</v>
      </c>
      <c r="AB698">
        <f t="shared" si="252"/>
        <v>-6927.9199613869396</v>
      </c>
      <c r="AC698">
        <f t="shared" si="253"/>
        <v>-19613.363699350593</v>
      </c>
      <c r="AW698">
        <v>691</v>
      </c>
      <c r="AX698">
        <f t="shared" si="243"/>
        <v>345.5</v>
      </c>
      <c r="AZ698">
        <f t="shared" si="244"/>
        <v>-1342.0037174447295</v>
      </c>
      <c r="BB698">
        <f t="shared" si="245"/>
        <v>-126215.20325547059</v>
      </c>
      <c r="BD698">
        <f t="shared" si="246"/>
        <v>1011.8722743367232</v>
      </c>
      <c r="BF698">
        <f t="shared" si="247"/>
        <v>-3508.5190400472879</v>
      </c>
      <c r="BH698">
        <f t="shared" si="232"/>
        <v>1.8065944268110299</v>
      </c>
      <c r="BJ698">
        <f t="shared" si="233"/>
        <v>79.104185115450605</v>
      </c>
      <c r="BN698" s="20">
        <f t="shared" si="234"/>
        <v>4.4643757064691059</v>
      </c>
      <c r="BP698">
        <f t="shared" si="235"/>
        <v>27.970893122437097</v>
      </c>
      <c r="BR698">
        <f t="shared" si="236"/>
        <v>-1.2843559492595702</v>
      </c>
      <c r="BT698">
        <f t="shared" si="237"/>
        <v>9.3766127954660234</v>
      </c>
      <c r="BV698">
        <f t="shared" si="238"/>
        <v>-1.3734253303985058</v>
      </c>
      <c r="BX698">
        <f t="shared" si="239"/>
        <v>41.756679197547484</v>
      </c>
      <c r="CB698">
        <f t="shared" si="240"/>
        <v>135407.6685580519</v>
      </c>
      <c r="CD698">
        <f t="shared" si="241"/>
        <v>137487.09911554982</v>
      </c>
      <c r="CF698">
        <f t="shared" si="242"/>
        <v>111275.34485212268</v>
      </c>
    </row>
    <row r="699" spans="12:84" x14ac:dyDescent="0.25">
      <c r="L699">
        <v>688</v>
      </c>
      <c r="M699">
        <f t="shared" si="254"/>
        <v>4.3228314913395645</v>
      </c>
      <c r="P699">
        <f t="shared" si="248"/>
        <v>18101.104522391037</v>
      </c>
      <c r="Q699">
        <f t="shared" si="249"/>
        <v>2874.6139658276925</v>
      </c>
      <c r="V699">
        <f t="shared" si="250"/>
        <v>-21329.226834326277</v>
      </c>
      <c r="W699">
        <f t="shared" si="251"/>
        <v>6762.2297760793845</v>
      </c>
      <c r="AB699">
        <f t="shared" si="252"/>
        <v>-6898.895477608964</v>
      </c>
      <c r="AC699">
        <f t="shared" si="253"/>
        <v>-19625.386034172308</v>
      </c>
      <c r="AW699">
        <v>692</v>
      </c>
      <c r="AX699">
        <f t="shared" si="243"/>
        <v>346</v>
      </c>
      <c r="AZ699">
        <f t="shared" si="244"/>
        <v>-835.84175597301657</v>
      </c>
      <c r="BB699">
        <f t="shared" si="245"/>
        <v>-127959.57475235481</v>
      </c>
      <c r="BD699">
        <f t="shared" si="246"/>
        <v>1012.7755715501287</v>
      </c>
      <c r="BF699">
        <f t="shared" si="247"/>
        <v>-3468.9669474895627</v>
      </c>
      <c r="BH699">
        <f t="shared" si="232"/>
        <v>1.4432481048589412</v>
      </c>
      <c r="BJ699">
        <f t="shared" si="233"/>
        <v>76.942919670976437</v>
      </c>
      <c r="BN699" s="20">
        <f t="shared" si="234"/>
        <v>4.2042486531540124</v>
      </c>
      <c r="BP699">
        <f t="shared" si="235"/>
        <v>27.3329842575783</v>
      </c>
      <c r="BR699">
        <f t="shared" si="236"/>
        <v>-1.2689161288875783</v>
      </c>
      <c r="BT699">
        <f t="shared" si="237"/>
        <v>9.1347153007514112</v>
      </c>
      <c r="BV699">
        <f t="shared" si="238"/>
        <v>-1.4920844194074929</v>
      </c>
      <c r="BX699">
        <f t="shared" si="239"/>
        <v>40.475220112646724</v>
      </c>
      <c r="CB699">
        <f t="shared" si="240"/>
        <v>137052.64934968879</v>
      </c>
      <c r="CD699">
        <f t="shared" si="241"/>
        <v>139284.27487355736</v>
      </c>
      <c r="CF699">
        <f t="shared" si="242"/>
        <v>113036.30276205133</v>
      </c>
    </row>
    <row r="700" spans="12:84" x14ac:dyDescent="0.25">
      <c r="L700">
        <v>689</v>
      </c>
      <c r="M700">
        <f t="shared" si="254"/>
        <v>4.3291146766467437</v>
      </c>
      <c r="P700">
        <f t="shared" si="248"/>
        <v>18130.203971311039</v>
      </c>
      <c r="Q700">
        <f t="shared" si="249"/>
        <v>2862.7742333266779</v>
      </c>
      <c r="V700">
        <f t="shared" si="250"/>
        <v>-21308.857220082275</v>
      </c>
      <c r="W700">
        <f t="shared" si="251"/>
        <v>6753.9419633286743</v>
      </c>
      <c r="AB700">
        <f t="shared" si="252"/>
        <v>-6869.7960286889629</v>
      </c>
      <c r="AC700">
        <f t="shared" si="253"/>
        <v>-19637.22576667332</v>
      </c>
      <c r="AW700">
        <v>693</v>
      </c>
      <c r="AX700">
        <f t="shared" si="243"/>
        <v>346.5</v>
      </c>
      <c r="AZ700">
        <f t="shared" si="244"/>
        <v>-329.27356418484487</v>
      </c>
      <c r="BB700">
        <f t="shared" si="245"/>
        <v>-129684.44036114072</v>
      </c>
      <c r="BD700">
        <f t="shared" si="246"/>
        <v>1013.4971956025581</v>
      </c>
      <c r="BF700">
        <f t="shared" si="247"/>
        <v>-3430.4954876540746</v>
      </c>
      <c r="BH700">
        <f t="shared" si="232"/>
        <v>1.1068409380591586</v>
      </c>
      <c r="BJ700">
        <f t="shared" si="233"/>
        <v>74.888813163361704</v>
      </c>
      <c r="BN700" s="20">
        <f t="shared" si="234"/>
        <v>3.9598310704809556</v>
      </c>
      <c r="BP700">
        <f t="shared" si="235"/>
        <v>26.721427483056679</v>
      </c>
      <c r="BR700">
        <f t="shared" si="236"/>
        <v>-1.2539336015864331</v>
      </c>
      <c r="BT700">
        <f t="shared" si="237"/>
        <v>8.9043490060804178</v>
      </c>
      <c r="BV700">
        <f t="shared" si="238"/>
        <v>-1.5990565308353639</v>
      </c>
      <c r="BX700">
        <f t="shared" si="239"/>
        <v>39.263036674224615</v>
      </c>
      <c r="CB700">
        <f t="shared" si="240"/>
        <v>138682.55132080184</v>
      </c>
      <c r="CD700">
        <f t="shared" si="241"/>
        <v>141062.68237034822</v>
      </c>
      <c r="CF700">
        <f t="shared" si="242"/>
        <v>114779.51274677143</v>
      </c>
    </row>
    <row r="701" spans="12:84" x14ac:dyDescent="0.25">
      <c r="L701">
        <v>690</v>
      </c>
      <c r="M701">
        <f t="shared" si="254"/>
        <v>4.3353978619539228</v>
      </c>
      <c r="P701">
        <f t="shared" si="248"/>
        <v>18159.377236576649</v>
      </c>
      <c r="Q701">
        <f t="shared" si="249"/>
        <v>2851.1175705587275</v>
      </c>
      <c r="V701">
        <f t="shared" si="250"/>
        <v>-21288.435934396348</v>
      </c>
      <c r="W701">
        <f t="shared" si="251"/>
        <v>6745.7822993911095</v>
      </c>
      <c r="AB701">
        <f t="shared" si="252"/>
        <v>-6840.6227634233519</v>
      </c>
      <c r="AC701">
        <f t="shared" si="253"/>
        <v>-19648.882429441273</v>
      </c>
      <c r="AW701">
        <v>694</v>
      </c>
      <c r="AX701">
        <f t="shared" si="243"/>
        <v>347</v>
      </c>
      <c r="AZ701">
        <f t="shared" si="244"/>
        <v>177.61338873369158</v>
      </c>
      <c r="BB701">
        <f t="shared" si="245"/>
        <v>-131390.32700332234</v>
      </c>
      <c r="BD701">
        <f t="shared" si="246"/>
        <v>1014.0506160715877</v>
      </c>
      <c r="BF701">
        <f t="shared" si="247"/>
        <v>-3393.0510810723936</v>
      </c>
      <c r="BH701">
        <f t="shared" si="232"/>
        <v>0.79501141224292149</v>
      </c>
      <c r="BJ701">
        <f t="shared" si="233"/>
        <v>72.934375729186442</v>
      </c>
      <c r="BN701" s="20">
        <f t="shared" si="234"/>
        <v>3.7299372175645891</v>
      </c>
      <c r="BP701">
        <f t="shared" si="235"/>
        <v>26.134703656469213</v>
      </c>
      <c r="BR701">
        <f t="shared" si="236"/>
        <v>-1.239386191264813</v>
      </c>
      <c r="BT701">
        <f t="shared" si="237"/>
        <v>8.684734685430092</v>
      </c>
      <c r="BV701">
        <f t="shared" si="238"/>
        <v>-1.6955396140568546</v>
      </c>
      <c r="BX701">
        <f t="shared" si="239"/>
        <v>38.114937387287135</v>
      </c>
      <c r="CB701">
        <f t="shared" si="240"/>
        <v>140297.71896241335</v>
      </c>
      <c r="CD701">
        <f t="shared" si="241"/>
        <v>142822.82959027114</v>
      </c>
      <c r="CF701">
        <f t="shared" si="242"/>
        <v>116505.43292200369</v>
      </c>
    </row>
    <row r="702" spans="12:84" x14ac:dyDescent="0.25">
      <c r="L702">
        <v>691</v>
      </c>
      <c r="M702">
        <f t="shared" si="254"/>
        <v>4.341681047261102</v>
      </c>
      <c r="P702">
        <f t="shared" si="248"/>
        <v>18188.623166477308</v>
      </c>
      <c r="Q702">
        <f t="shared" si="249"/>
        <v>2839.644437708931</v>
      </c>
      <c r="V702">
        <f t="shared" si="250"/>
        <v>-21267.963783465886</v>
      </c>
      <c r="W702">
        <f t="shared" si="251"/>
        <v>6737.751106396252</v>
      </c>
      <c r="AB702">
        <f t="shared" si="252"/>
        <v>-6811.3768335226923</v>
      </c>
      <c r="AC702">
        <f t="shared" si="253"/>
        <v>-19660.355562291068</v>
      </c>
      <c r="AW702">
        <v>695</v>
      </c>
      <c r="AX702">
        <f t="shared" si="243"/>
        <v>347.5</v>
      </c>
      <c r="AZ702">
        <f t="shared" si="244"/>
        <v>684.73807319601588</v>
      </c>
      <c r="BB702">
        <f t="shared" si="245"/>
        <v>-133077.73574689237</v>
      </c>
      <c r="BD702">
        <f t="shared" si="246"/>
        <v>1014.4481217777092</v>
      </c>
      <c r="BF702">
        <f t="shared" si="247"/>
        <v>-3356.5838932078004</v>
      </c>
      <c r="BH702">
        <f t="shared" si="232"/>
        <v>0.50564443423394678</v>
      </c>
      <c r="BJ702">
        <f t="shared" si="233"/>
        <v>71.072787655131521</v>
      </c>
      <c r="BN702" s="20">
        <f t="shared" si="234"/>
        <v>3.5134893718621272</v>
      </c>
      <c r="BP702">
        <f t="shared" si="235"/>
        <v>25.571404744024385</v>
      </c>
      <c r="BR702">
        <f t="shared" si="236"/>
        <v>-1.2252533775727168</v>
      </c>
      <c r="BT702">
        <f t="shared" si="237"/>
        <v>8.4751606889576525</v>
      </c>
      <c r="BV702">
        <f t="shared" si="238"/>
        <v>-1.7825915600554634</v>
      </c>
      <c r="BX702">
        <f t="shared" si="239"/>
        <v>37.026222222149492</v>
      </c>
      <c r="CB702">
        <f t="shared" si="240"/>
        <v>141898.48177843253</v>
      </c>
      <c r="CD702">
        <f t="shared" si="241"/>
        <v>144565.19932409143</v>
      </c>
      <c r="CF702">
        <f t="shared" si="242"/>
        <v>118214.49964396833</v>
      </c>
    </row>
    <row r="703" spans="12:84" x14ac:dyDescent="0.25">
      <c r="L703">
        <v>692</v>
      </c>
      <c r="M703">
        <f t="shared" si="254"/>
        <v>4.3479642325682812</v>
      </c>
      <c r="P703">
        <f t="shared" si="248"/>
        <v>18217.940606433782</v>
      </c>
      <c r="Q703">
        <f t="shared" si="249"/>
        <v>2828.3552877169268</v>
      </c>
      <c r="V703">
        <f t="shared" si="250"/>
        <v>-21247.441575496352</v>
      </c>
      <c r="W703">
        <f t="shared" si="251"/>
        <v>6729.8487014018483</v>
      </c>
      <c r="AB703">
        <f t="shared" si="252"/>
        <v>-6782.0593935662191</v>
      </c>
      <c r="AC703">
        <f t="shared" si="253"/>
        <v>-19671.644712283072</v>
      </c>
      <c r="AW703">
        <v>696</v>
      </c>
      <c r="AX703">
        <f t="shared" si="243"/>
        <v>348</v>
      </c>
      <c r="AZ703">
        <f t="shared" si="244"/>
        <v>1192.0253396391497</v>
      </c>
      <c r="BB703">
        <f t="shared" si="245"/>
        <v>-134747.14359503938</v>
      </c>
      <c r="BD703">
        <f t="shared" si="246"/>
        <v>1014.7009439948262</v>
      </c>
      <c r="BF703">
        <f t="shared" si="247"/>
        <v>-3321.0474993802345</v>
      </c>
      <c r="BH703">
        <f t="shared" si="232"/>
        <v>0.23684135248980875</v>
      </c>
      <c r="BJ703">
        <f t="shared" si="233"/>
        <v>69.297826796623369</v>
      </c>
      <c r="BN703" s="20">
        <f t="shared" si="234"/>
        <v>3.3095063147119057</v>
      </c>
      <c r="BP703">
        <f t="shared" si="235"/>
        <v>25.030224066054853</v>
      </c>
      <c r="BR703">
        <f t="shared" si="236"/>
        <v>-1.2115161192882988</v>
      </c>
      <c r="BT703">
        <f t="shared" si="237"/>
        <v>8.2749758400069133</v>
      </c>
      <c r="BV703">
        <f t="shared" si="238"/>
        <v>-1.8611488429337981</v>
      </c>
      <c r="BX703">
        <f t="shared" si="239"/>
        <v>35.992626890561603</v>
      </c>
      <c r="CB703">
        <f t="shared" si="240"/>
        <v>143485.1552313776</v>
      </c>
      <c r="CD703">
        <f t="shared" si="241"/>
        <v>146290.25092916773</v>
      </c>
      <c r="CF703">
        <f t="shared" si="242"/>
        <v>119907.12896645351</v>
      </c>
    </row>
    <row r="704" spans="12:84" x14ac:dyDescent="0.25">
      <c r="L704">
        <v>693</v>
      </c>
      <c r="M704">
        <f t="shared" si="254"/>
        <v>4.3542474178754604</v>
      </c>
      <c r="P704">
        <f t="shared" si="248"/>
        <v>18247.328399043738</v>
      </c>
      <c r="Q704">
        <f t="shared" si="249"/>
        <v>2817.2505662590256</v>
      </c>
      <c r="V704">
        <f t="shared" si="250"/>
        <v>-21226.870120669384</v>
      </c>
      <c r="W704">
        <f t="shared" si="251"/>
        <v>6722.0753963813186</v>
      </c>
      <c r="AB704">
        <f t="shared" si="252"/>
        <v>-6752.6716009562624</v>
      </c>
      <c r="AC704">
        <f t="shared" si="253"/>
        <v>-19682.749433740973</v>
      </c>
      <c r="AW704">
        <v>697</v>
      </c>
      <c r="AX704">
        <f t="shared" si="243"/>
        <v>348.5</v>
      </c>
      <c r="AZ704">
        <f t="shared" si="244"/>
        <v>1699.4054168056239</v>
      </c>
      <c r="BB704">
        <f t="shared" si="245"/>
        <v>-136399.00511637994</v>
      </c>
      <c r="BD704">
        <f t="shared" si="246"/>
        <v>1014.8193646710711</v>
      </c>
      <c r="BF704">
        <f t="shared" si="247"/>
        <v>-3286.3985859819227</v>
      </c>
      <c r="BH704">
        <f t="shared" si="232"/>
        <v>-1.3105858217991484E-2</v>
      </c>
      <c r="BJ704">
        <f t="shared" si="233"/>
        <v>67.603805171263232</v>
      </c>
      <c r="BN704" s="20">
        <f t="shared" si="234"/>
        <v>3.1170932190475265</v>
      </c>
      <c r="BP704">
        <f t="shared" si="235"/>
        <v>24.509947534046695</v>
      </c>
      <c r="BR704">
        <f t="shared" si="236"/>
        <v>-1.1981567021666395</v>
      </c>
      <c r="BT704">
        <f t="shared" si="237"/>
        <v>8.0835832043061018</v>
      </c>
      <c r="BV704">
        <f t="shared" si="238"/>
        <v>-1.9320423750988784</v>
      </c>
      <c r="BX704">
        <f t="shared" si="239"/>
        <v>35.010274432910435</v>
      </c>
      <c r="CB704">
        <f t="shared" si="240"/>
        <v>145058.04160949637</v>
      </c>
      <c r="CD704">
        <f t="shared" si="241"/>
        <v>147998.4219324947</v>
      </c>
      <c r="CF704">
        <f t="shared" si="242"/>
        <v>121583.7179731956</v>
      </c>
    </row>
    <row r="705" spans="12:84" x14ac:dyDescent="0.25">
      <c r="L705">
        <v>694</v>
      </c>
      <c r="M705">
        <f t="shared" si="254"/>
        <v>4.3605306031826396</v>
      </c>
      <c r="P705">
        <f t="shared" si="248"/>
        <v>18276.785384127445</v>
      </c>
      <c r="Q705">
        <f t="shared" si="249"/>
        <v>2806.3307117306176</v>
      </c>
      <c r="V705">
        <f t="shared" si="250"/>
        <v>-21206.250231110789</v>
      </c>
      <c r="W705">
        <f t="shared" si="251"/>
        <v>6714.431498211432</v>
      </c>
      <c r="AB705">
        <f t="shared" si="252"/>
        <v>-6723.2146158725545</v>
      </c>
      <c r="AC705">
        <f t="shared" si="253"/>
        <v>-19693.669288269382</v>
      </c>
      <c r="AW705">
        <v>698</v>
      </c>
      <c r="AX705">
        <f t="shared" si="243"/>
        <v>349</v>
      </c>
      <c r="AZ705">
        <f t="shared" si="244"/>
        <v>2206.813460908882</v>
      </c>
      <c r="BB705">
        <f t="shared" si="245"/>
        <v>-138033.75393372448</v>
      </c>
      <c r="BD705">
        <f t="shared" si="246"/>
        <v>1014.812811741962</v>
      </c>
      <c r="BF705">
        <f t="shared" si="247"/>
        <v>-3252.5966833962912</v>
      </c>
      <c r="BH705">
        <f t="shared" si="232"/>
        <v>-0.24573689687504952</v>
      </c>
      <c r="BJ705">
        <f t="shared" si="233"/>
        <v>65.985513407844138</v>
      </c>
      <c r="BN705" s="20">
        <f t="shared" si="234"/>
        <v>2.9354327477836555</v>
      </c>
      <c r="BP705">
        <f t="shared" si="235"/>
        <v>24.00944576545562</v>
      </c>
      <c r="BR705">
        <f t="shared" si="236"/>
        <v>-1.1851586072058413</v>
      </c>
      <c r="BT705">
        <f t="shared" si="237"/>
        <v>7.9004346094221036</v>
      </c>
      <c r="BV705">
        <f t="shared" si="238"/>
        <v>-1.9960110374528637</v>
      </c>
      <c r="BX705">
        <f t="shared" si="239"/>
        <v>34.075633032966422</v>
      </c>
      <c r="CB705">
        <f t="shared" si="240"/>
        <v>146617.43082340775</v>
      </c>
      <c r="CD705">
        <f t="shared" si="241"/>
        <v>149690.12949355776</v>
      </c>
      <c r="CF705">
        <f t="shared" si="242"/>
        <v>123244.64599845545</v>
      </c>
    </row>
    <row r="706" spans="12:84" x14ac:dyDescent="0.25">
      <c r="L706">
        <v>695</v>
      </c>
      <c r="M706">
        <f t="shared" si="254"/>
        <v>4.3668137884898188</v>
      </c>
      <c r="P706">
        <f t="shared" si="248"/>
        <v>18306.310398773574</v>
      </c>
      <c r="Q706">
        <f t="shared" si="249"/>
        <v>2795.5961552288618</v>
      </c>
      <c r="V706">
        <f t="shared" si="250"/>
        <v>-21185.5827208585</v>
      </c>
      <c r="W706">
        <f t="shared" si="251"/>
        <v>6706.9173086602041</v>
      </c>
      <c r="AB706">
        <f t="shared" si="252"/>
        <v>-6693.6896012264278</v>
      </c>
      <c r="AC706">
        <f t="shared" si="253"/>
        <v>-19704.403844771139</v>
      </c>
      <c r="AW706">
        <v>699</v>
      </c>
      <c r="AX706">
        <f t="shared" si="243"/>
        <v>349.5</v>
      </c>
      <c r="AZ706">
        <f t="shared" si="244"/>
        <v>2714.1891496677536</v>
      </c>
      <c r="BB706">
        <f t="shared" si="245"/>
        <v>-139651.80408624667</v>
      </c>
      <c r="BD706">
        <f t="shared" si="246"/>
        <v>1014.6899432935245</v>
      </c>
      <c r="BF706">
        <f t="shared" si="247"/>
        <v>-3219.603926692369</v>
      </c>
      <c r="BH706">
        <f t="shared" si="232"/>
        <v>-0.46244245806734008</v>
      </c>
      <c r="BJ706">
        <f t="shared" si="233"/>
        <v>64.43817194342941</v>
      </c>
      <c r="BN706" s="20">
        <f t="shared" si="234"/>
        <v>2.7637772002840437</v>
      </c>
      <c r="BP706">
        <f t="shared" si="235"/>
        <v>23.527666977011719</v>
      </c>
      <c r="BR706">
        <f t="shared" si="236"/>
        <v>-1.1725063960414606</v>
      </c>
      <c r="BT706">
        <f t="shared" si="237"/>
        <v>7.725025811578857</v>
      </c>
      <c r="BV706">
        <f t="shared" si="238"/>
        <v>-2.0537132623099232</v>
      </c>
      <c r="BX706">
        <f t="shared" si="239"/>
        <v>33.185479154838831</v>
      </c>
      <c r="CB706">
        <f t="shared" si="240"/>
        <v>148163.60113938438</v>
      </c>
      <c r="CD706">
        <f t="shared" si="241"/>
        <v>151365.771741815</v>
      </c>
      <c r="CF706">
        <f t="shared" si="242"/>
        <v>124890.27574712482</v>
      </c>
    </row>
    <row r="707" spans="12:84" x14ac:dyDescent="0.25">
      <c r="L707">
        <v>696</v>
      </c>
      <c r="M707">
        <f t="shared" si="254"/>
        <v>4.373096973796998</v>
      </c>
      <c r="P707">
        <f t="shared" si="248"/>
        <v>18335.902277385096</v>
      </c>
      <c r="Q707">
        <f t="shared" si="249"/>
        <v>2785.0473205356675</v>
      </c>
      <c r="V707">
        <f t="shared" si="250"/>
        <v>-21164.868405830435</v>
      </c>
      <c r="W707">
        <f t="shared" si="251"/>
        <v>6699.5331243749679</v>
      </c>
      <c r="AB707">
        <f t="shared" si="252"/>
        <v>-6664.0977226149062</v>
      </c>
      <c r="AC707">
        <f t="shared" si="253"/>
        <v>-19714.952679464332</v>
      </c>
      <c r="AW707">
        <v>700</v>
      </c>
      <c r="AX707">
        <f t="shared" si="243"/>
        <v>350</v>
      </c>
      <c r="AZ707">
        <f t="shared" si="244"/>
        <v>3221.4763160072571</v>
      </c>
      <c r="BB707">
        <f t="shared" si="245"/>
        <v>-141253.55127809994</v>
      </c>
      <c r="BD707">
        <f t="shared" si="246"/>
        <v>1014.4587220644909</v>
      </c>
      <c r="BF707">
        <f t="shared" si="247"/>
        <v>-3187.3848407206542</v>
      </c>
      <c r="BH707">
        <f t="shared" si="232"/>
        <v>-0.66448102188647851</v>
      </c>
      <c r="BJ707">
        <f t="shared" si="233"/>
        <v>62.95738803530228</v>
      </c>
      <c r="BN707" s="20">
        <f t="shared" si="234"/>
        <v>2.6014415684672083</v>
      </c>
      <c r="BP707">
        <f t="shared" si="235"/>
        <v>23.06363056966407</v>
      </c>
      <c r="BR707">
        <f t="shared" si="236"/>
        <v>-1.1601856107817381</v>
      </c>
      <c r="BT707">
        <f t="shared" si="237"/>
        <v>7.5568922227190276</v>
      </c>
      <c r="BV707">
        <f t="shared" si="238"/>
        <v>-2.1057369795719487</v>
      </c>
      <c r="BX707">
        <f t="shared" si="239"/>
        <v>32.336865242919181</v>
      </c>
      <c r="CB707">
        <f t="shared" si="240"/>
        <v>149696.8198555354</v>
      </c>
      <c r="CD707">
        <f t="shared" si="241"/>
        <v>153025.72900179791</v>
      </c>
      <c r="CF707">
        <f t="shared" si="242"/>
        <v>126520.95432435878</v>
      </c>
    </row>
    <row r="708" spans="12:84" x14ac:dyDescent="0.25">
      <c r="L708">
        <v>697</v>
      </c>
      <c r="M708">
        <f t="shared" si="254"/>
        <v>4.3793801591041772</v>
      </c>
      <c r="P708">
        <f t="shared" si="248"/>
        <v>18365.559851725313</v>
      </c>
      <c r="Q708">
        <f t="shared" si="249"/>
        <v>2774.6846241009671</v>
      </c>
      <c r="V708">
        <f t="shared" si="250"/>
        <v>-21144.108103792281</v>
      </c>
      <c r="W708">
        <f t="shared" si="251"/>
        <v>6692.2792368706769</v>
      </c>
      <c r="AB708">
        <f t="shared" si="252"/>
        <v>-6634.4401482746871</v>
      </c>
      <c r="AC708">
        <f t="shared" si="253"/>
        <v>-19725.315375899034</v>
      </c>
      <c r="AW708">
        <v>701</v>
      </c>
      <c r="AX708">
        <f t="shared" si="243"/>
        <v>350.5</v>
      </c>
      <c r="AZ708">
        <f t="shared" si="244"/>
        <v>3728.6226169117667</v>
      </c>
      <c r="BB708">
        <f t="shared" si="245"/>
        <v>-142839.37402495588</v>
      </c>
      <c r="BD708">
        <f t="shared" si="246"/>
        <v>1014.1264815535476</v>
      </c>
      <c r="BF708">
        <f t="shared" si="247"/>
        <v>-3155.9061467030033</v>
      </c>
      <c r="BH708">
        <f t="shared" si="232"/>
        <v>-0.85299348421019339</v>
      </c>
      <c r="BJ708">
        <f t="shared" si="233"/>
        <v>61.539117798709611</v>
      </c>
      <c r="BN708" s="20">
        <f t="shared" si="234"/>
        <v>2.4477973843284073</v>
      </c>
      <c r="BP708">
        <f t="shared" si="235"/>
        <v>22.616421329047458</v>
      </c>
      <c r="BR708">
        <f t="shared" si="236"/>
        <v>-1.1481826860761015</v>
      </c>
      <c r="BT708">
        <f t="shared" si="237"/>
        <v>7.3956051237921843</v>
      </c>
      <c r="BV708">
        <f t="shared" si="238"/>
        <v>-2.1526081824624992</v>
      </c>
      <c r="BX708">
        <f t="shared" si="239"/>
        <v>31.527091345869973</v>
      </c>
      <c r="CB708">
        <f t="shared" si="240"/>
        <v>151217.34392641095</v>
      </c>
      <c r="CD708">
        <f t="shared" si="241"/>
        <v>154670.36491725291</v>
      </c>
      <c r="CF708">
        <f t="shared" si="242"/>
        <v>128137.01418357238</v>
      </c>
    </row>
    <row r="709" spans="12:84" x14ac:dyDescent="0.25">
      <c r="L709">
        <v>698</v>
      </c>
      <c r="M709">
        <f t="shared" si="254"/>
        <v>4.3856633444113564</v>
      </c>
      <c r="P709">
        <f t="shared" si="248"/>
        <v>18395.281950963978</v>
      </c>
      <c r="Q709">
        <f t="shared" si="249"/>
        <v>2764.5084750262704</v>
      </c>
      <c r="V709">
        <f t="shared" si="250"/>
        <v>-21123.302634325217</v>
      </c>
      <c r="W709">
        <f t="shared" si="251"/>
        <v>6685.1559325183898</v>
      </c>
      <c r="AB709">
        <f t="shared" si="252"/>
        <v>-6604.7180490360233</v>
      </c>
      <c r="AC709">
        <f t="shared" si="253"/>
        <v>-19735.491524973731</v>
      </c>
      <c r="AW709">
        <v>702</v>
      </c>
      <c r="AX709">
        <f t="shared" si="243"/>
        <v>351</v>
      </c>
      <c r="AZ709">
        <f t="shared" si="244"/>
        <v>4235.5792335030146</v>
      </c>
      <c r="BB709">
        <f t="shared" si="245"/>
        <v>-144409.63470858254</v>
      </c>
      <c r="BD709">
        <f t="shared" si="246"/>
        <v>1013.6999848114425</v>
      </c>
      <c r="BF709">
        <f t="shared" si="247"/>
        <v>-3125.1365878036486</v>
      </c>
      <c r="BH709">
        <f t="shared" si="232"/>
        <v>-1.0290159391013802</v>
      </c>
      <c r="BJ709">
        <f t="shared" si="233"/>
        <v>60.179632600992178</v>
      </c>
      <c r="BN709" s="20">
        <f t="shared" si="234"/>
        <v>2.3022672576518879</v>
      </c>
      <c r="BP709">
        <f t="shared" si="235"/>
        <v>22.185184174650992</v>
      </c>
      <c r="BR709">
        <f t="shared" si="236"/>
        <v>-1.1364848715958005</v>
      </c>
      <c r="BT709">
        <f t="shared" si="237"/>
        <v>7.240768301190438</v>
      </c>
      <c r="BV709">
        <f t="shared" si="238"/>
        <v>-2.1947983251574676</v>
      </c>
      <c r="BX709">
        <f t="shared" si="239"/>
        <v>30.753680125150748</v>
      </c>
      <c r="CB709">
        <f t="shared" si="240"/>
        <v>152725.42054091109</v>
      </c>
      <c r="CD709">
        <f t="shared" si="241"/>
        <v>156300.02748439074</v>
      </c>
      <c r="CF709">
        <f t="shared" si="242"/>
        <v>129738.77400063207</v>
      </c>
    </row>
    <row r="710" spans="12:84" x14ac:dyDescent="0.25">
      <c r="L710">
        <v>699</v>
      </c>
      <c r="M710">
        <f t="shared" si="254"/>
        <v>4.3919465297185356</v>
      </c>
      <c r="P710">
        <f t="shared" si="248"/>
        <v>18425.0674017235</v>
      </c>
      <c r="Q710">
        <f t="shared" si="249"/>
        <v>2754.5192750485194</v>
      </c>
      <c r="V710">
        <f t="shared" si="250"/>
        <v>-21102.45281879355</v>
      </c>
      <c r="W710">
        <f t="shared" si="251"/>
        <v>6678.163492533964</v>
      </c>
      <c r="AB710">
        <f t="shared" si="252"/>
        <v>-6574.9325982765022</v>
      </c>
      <c r="AC710">
        <f t="shared" si="253"/>
        <v>-19745.480724951482</v>
      </c>
      <c r="AW710">
        <v>703</v>
      </c>
      <c r="AX710">
        <f t="shared" si="243"/>
        <v>351.5</v>
      </c>
      <c r="AZ710">
        <f t="shared" si="244"/>
        <v>4742.3005989163485</v>
      </c>
      <c r="BB710">
        <f t="shared" si="245"/>
        <v>-145964.68054840923</v>
      </c>
      <c r="BD710">
        <f t="shared" si="246"/>
        <v>1013.1854768418918</v>
      </c>
      <c r="BF710">
        <f t="shared" si="247"/>
        <v>-3095.0467715031523</v>
      </c>
      <c r="BH710">
        <f t="shared" si="232"/>
        <v>-1.1934908752720592</v>
      </c>
      <c r="BJ710">
        <f t="shared" si="233"/>
        <v>58.875489242326296</v>
      </c>
      <c r="BN710" s="20">
        <f t="shared" si="234"/>
        <v>2.1643200170101373</v>
      </c>
      <c r="BP710">
        <f t="shared" si="235"/>
        <v>21.769119398917915</v>
      </c>
      <c r="BR710">
        <f t="shared" si="236"/>
        <v>-1.12508016341676</v>
      </c>
      <c r="BT710">
        <f t="shared" si="237"/>
        <v>7.092015052405122</v>
      </c>
      <c r="BV710">
        <f t="shared" si="238"/>
        <v>-2.2327307288654366</v>
      </c>
      <c r="BX710">
        <f t="shared" si="239"/>
        <v>30.014354791003257</v>
      </c>
      <c r="CB710">
        <f t="shared" si="240"/>
        <v>154221.28765782993</v>
      </c>
      <c r="CD710">
        <f t="shared" si="241"/>
        <v>157915.05000314084</v>
      </c>
      <c r="CF710">
        <f t="shared" si="242"/>
        <v>131326.53948119751</v>
      </c>
    </row>
    <row r="711" spans="12:84" x14ac:dyDescent="0.25">
      <c r="L711">
        <v>700</v>
      </c>
      <c r="M711">
        <f t="shared" si="254"/>
        <v>4.3982297150257148</v>
      </c>
      <c r="P711">
        <f t="shared" si="248"/>
        <v>18454.915028125284</v>
      </c>
      <c r="Q711">
        <f t="shared" si="249"/>
        <v>2744.7174185242256</v>
      </c>
      <c r="V711">
        <f t="shared" si="250"/>
        <v>-21081.559480312302</v>
      </c>
      <c r="W711">
        <f t="shared" si="251"/>
        <v>6671.3021929669576</v>
      </c>
      <c r="AB711">
        <f t="shared" si="252"/>
        <v>-6545.0849718747168</v>
      </c>
      <c r="AC711">
        <f t="shared" si="253"/>
        <v>-19755.282581475774</v>
      </c>
      <c r="AW711">
        <v>704</v>
      </c>
      <c r="AX711">
        <f t="shared" si="243"/>
        <v>352</v>
      </c>
      <c r="AZ711">
        <f t="shared" si="244"/>
        <v>5248.7441509778855</v>
      </c>
      <c r="BB711">
        <f t="shared" si="245"/>
        <v>-147504.84449800552</v>
      </c>
      <c r="BD711">
        <f t="shared" si="246"/>
        <v>1012.5887314042558</v>
      </c>
      <c r="BF711">
        <f t="shared" si="247"/>
        <v>-3065.6090268819889</v>
      </c>
      <c r="BH711">
        <f t="shared" si="232"/>
        <v>-1.3472770074653477</v>
      </c>
      <c r="BJ711">
        <f t="shared" si="233"/>
        <v>57.623503436655568</v>
      </c>
      <c r="BN711" s="20">
        <f t="shared" si="234"/>
        <v>2.0334663792534218</v>
      </c>
      <c r="BP711">
        <f t="shared" si="235"/>
        <v>21.367478344495929</v>
      </c>
      <c r="BR711">
        <f t="shared" si="236"/>
        <v>-1.113957243047474</v>
      </c>
      <c r="BT711">
        <f t="shared" si="237"/>
        <v>6.9490055146692891</v>
      </c>
      <c r="BV711">
        <f t="shared" si="238"/>
        <v>-2.2667861436712955</v>
      </c>
      <c r="BX711">
        <f t="shared" si="239"/>
        <v>29.307019577490347</v>
      </c>
      <c r="CB711">
        <f t="shared" si="240"/>
        <v>155705.17450288602</v>
      </c>
      <c r="CD711">
        <f t="shared" si="241"/>
        <v>159515.75195428959</v>
      </c>
      <c r="CF711">
        <f t="shared" si="242"/>
        <v>132900.6041074036</v>
      </c>
    </row>
    <row r="712" spans="12:84" x14ac:dyDescent="0.25">
      <c r="L712">
        <v>701</v>
      </c>
      <c r="M712">
        <f t="shared" si="254"/>
        <v>4.404512900332894</v>
      </c>
      <c r="P712">
        <f t="shared" si="248"/>
        <v>18484.823651836148</v>
      </c>
      <c r="Q712">
        <f t="shared" si="249"/>
        <v>2735.1032924138999</v>
      </c>
      <c r="V712">
        <f t="shared" si="250"/>
        <v>-21060.623443714696</v>
      </c>
      <c r="W712">
        <f t="shared" si="251"/>
        <v>6664.5723046897301</v>
      </c>
      <c r="AB712">
        <f t="shared" si="252"/>
        <v>-6515.1763481638518</v>
      </c>
      <c r="AC712">
        <f t="shared" si="253"/>
        <v>-19764.8967075861</v>
      </c>
      <c r="AW712">
        <v>705</v>
      </c>
      <c r="AX712">
        <f t="shared" si="243"/>
        <v>352.5</v>
      </c>
      <c r="AZ712">
        <f t="shared" si="244"/>
        <v>5754.8701070540801</v>
      </c>
      <c r="BB712">
        <f t="shared" si="245"/>
        <v>-149030.44607351694</v>
      </c>
      <c r="BD712">
        <f t="shared" si="246"/>
        <v>1011.9150929005231</v>
      </c>
      <c r="BF712">
        <f t="shared" si="247"/>
        <v>-3036.7972751636612</v>
      </c>
      <c r="BH712">
        <f t="shared" ref="BH712:BH775" si="255">BN712+BR712+BV712</f>
        <v>-1.4911579295639059</v>
      </c>
      <c r="BJ712">
        <f t="shared" ref="BJ712:BJ775" si="256">SUM(BP712,BT712,BX712)</f>
        <v>56.420726176261695</v>
      </c>
      <c r="BN712" s="20">
        <f t="shared" ref="BN712:BN775" si="257">$F$36*($F$32-AZ712)/(CB712^2+$F$37^2)^(3/2)</f>
        <v>1.9092550829549986</v>
      </c>
      <c r="BP712">
        <f t="shared" ref="BP712:BP775" si="258">$F$36*($G$32-BB712)/(CB712^2+($F$37)^2)^(3/2)</f>
        <v>20.979559473941126</v>
      </c>
      <c r="BR712">
        <f t="shared" ref="BR712:BR775" si="259">$F$47*($F$43-AZ712)/(CD712^2+($F$48)^2)^(3/2)</f>
        <v>-1.1031054230501831</v>
      </c>
      <c r="BT712">
        <f t="shared" ref="BT712:BT775" si="260">$F$47*($G$43-BB712)/(CD712^2+($F$48)^2)^(3/2)</f>
        <v>6.8114242768297988</v>
      </c>
      <c r="BV712">
        <f t="shared" ref="BV712:BV775" si="261">$F$58*($F$54-AZ712)/(CF712^2+($F$59)^2)^(3/2)</f>
        <v>-2.2973075894687214</v>
      </c>
      <c r="BX712">
        <f t="shared" ref="BX712:BX775" si="262">$F$58*($G$54-BB712)/(CF712^2+($F$59)^2)^(3/2)</f>
        <v>28.629742425490768</v>
      </c>
      <c r="CB712">
        <f t="shared" ref="CB712:CB775" si="263">SQRT(($F$32-AZ712)^2+($G$32-BB712)^2)</f>
        <v>157177.30203067203</v>
      </c>
      <c r="CD712">
        <f t="shared" ref="CD712:CD775" si="264">SQRT(($F$43-AZ712)^2+($G$43-BB712)^2)</f>
        <v>161102.43980949826</v>
      </c>
      <c r="CF712">
        <f t="shared" ref="CF712:CF775" si="265">SQRT(($F$54-AZ712)^2+($G$54-BB712)^2)</f>
        <v>134461.24982940452</v>
      </c>
    </row>
    <row r="713" spans="12:84" x14ac:dyDescent="0.25">
      <c r="L713">
        <v>702</v>
      </c>
      <c r="M713">
        <f t="shared" si="254"/>
        <v>4.4107960856400732</v>
      </c>
      <c r="P713">
        <f t="shared" si="248"/>
        <v>18514.792092114843</v>
      </c>
      <c r="Q713">
        <f t="shared" si="249"/>
        <v>2725.6772762667806</v>
      </c>
      <c r="V713">
        <f t="shared" si="250"/>
        <v>-21039.645535519612</v>
      </c>
      <c r="W713">
        <f t="shared" si="251"/>
        <v>6657.9740933867461</v>
      </c>
      <c r="AB713">
        <f t="shared" si="252"/>
        <v>-6485.2079078851584</v>
      </c>
      <c r="AC713">
        <f t="shared" si="253"/>
        <v>-19774.322723733218</v>
      </c>
      <c r="AW713">
        <v>706</v>
      </c>
      <c r="AX713">
        <f t="shared" ref="AX713:AX776" si="266">$F$17*AW713</f>
        <v>353</v>
      </c>
      <c r="AZ713">
        <f t="shared" ref="AZ713:AZ776" si="267">AZ712+BD712*$F$17+(BH712*0.5)*$F$17^2</f>
        <v>6260.6412587631457</v>
      </c>
      <c r="BB713">
        <f t="shared" ref="BB713:BB776" si="268">BB712+(BF712*$F$17)+(BJ712*0.5)*$F$17^2</f>
        <v>-150541.79212032672</v>
      </c>
      <c r="BD713">
        <f t="shared" ref="BD713:BD776" si="269">BD712+BH712*$F$17</f>
        <v>1011.1695139357411</v>
      </c>
      <c r="BF713">
        <f t="shared" ref="BF713:BF776" si="270">BF712+BJ712*$F$17</f>
        <v>-3008.5869120755306</v>
      </c>
      <c r="BH713">
        <f t="shared" si="255"/>
        <v>-1.6258497479341971</v>
      </c>
      <c r="BJ713">
        <f t="shared" si="256"/>
        <v>55.264422622272335</v>
      </c>
      <c r="BN713" s="20">
        <f t="shared" si="257"/>
        <v>1.7912694299990541</v>
      </c>
      <c r="BP713">
        <f t="shared" si="258"/>
        <v>20.604704791478618</v>
      </c>
      <c r="BR713">
        <f t="shared" si="259"/>
        <v>-1.0925145983719373</v>
      </c>
      <c r="BT713">
        <f t="shared" si="260"/>
        <v>6.6789782401722935</v>
      </c>
      <c r="BV713">
        <f t="shared" si="261"/>
        <v>-2.3246045795613139</v>
      </c>
      <c r="BX713">
        <f t="shared" si="262"/>
        <v>27.980739590621429</v>
      </c>
      <c r="CB713">
        <f t="shared" si="263"/>
        <v>158637.88335459147</v>
      </c>
      <c r="CD713">
        <f t="shared" si="264"/>
        <v>162675.4077804253</v>
      </c>
      <c r="CF713">
        <f t="shared" si="265"/>
        <v>136008.74770671342</v>
      </c>
    </row>
    <row r="714" spans="12:84" x14ac:dyDescent="0.25">
      <c r="L714">
        <v>703</v>
      </c>
      <c r="M714">
        <f t="shared" si="254"/>
        <v>4.4170792709472524</v>
      </c>
      <c r="P714">
        <f t="shared" si="248"/>
        <v>18544.819165858655</v>
      </c>
      <c r="Q714">
        <f t="shared" si="249"/>
        <v>2716.4397422058428</v>
      </c>
      <c r="V714">
        <f t="shared" si="250"/>
        <v>-21018.626583898942</v>
      </c>
      <c r="W714">
        <f t="shared" si="251"/>
        <v>6651.5078195440901</v>
      </c>
      <c r="AB714">
        <f t="shared" si="252"/>
        <v>-6455.1808341413443</v>
      </c>
      <c r="AC714">
        <f t="shared" si="253"/>
        <v>-19783.560257794157</v>
      </c>
      <c r="AW714">
        <v>707</v>
      </c>
      <c r="AX714">
        <f t="shared" si="266"/>
        <v>353.5</v>
      </c>
      <c r="AZ714">
        <f t="shared" si="267"/>
        <v>6766.0227845125246</v>
      </c>
      <c r="BB714">
        <f t="shared" si="268"/>
        <v>-152039.17752353669</v>
      </c>
      <c r="BD714">
        <f t="shared" si="269"/>
        <v>1010.356589061774</v>
      </c>
      <c r="BF714">
        <f t="shared" si="270"/>
        <v>-2980.9547007643946</v>
      </c>
      <c r="BH714">
        <f t="shared" si="255"/>
        <v>-1.7520078299069777</v>
      </c>
      <c r="BJ714">
        <f t="shared" si="256"/>
        <v>54.152053213054032</v>
      </c>
      <c r="BN714" s="20">
        <f t="shared" si="257"/>
        <v>1.6791241869300062</v>
      </c>
      <c r="BP714">
        <f t="shared" si="258"/>
        <v>20.242296581045071</v>
      </c>
      <c r="BR714">
        <f t="shared" si="259"/>
        <v>-1.0821752026404836</v>
      </c>
      <c r="BT714">
        <f t="shared" si="260"/>
        <v>6.5513946985689335</v>
      </c>
      <c r="BV714">
        <f t="shared" si="261"/>
        <v>-2.3489568141965003</v>
      </c>
      <c r="BX714">
        <f t="shared" si="262"/>
        <v>27.358361933440023</v>
      </c>
      <c r="CB714">
        <f t="shared" si="263"/>
        <v>160087.12414752971</v>
      </c>
      <c r="CD714">
        <f t="shared" si="264"/>
        <v>164234.93851250189</v>
      </c>
      <c r="CF714">
        <f t="shared" si="265"/>
        <v>137543.35850375719</v>
      </c>
    </row>
    <row r="715" spans="12:84" x14ac:dyDescent="0.25">
      <c r="L715">
        <v>704</v>
      </c>
      <c r="M715">
        <f t="shared" si="254"/>
        <v>4.4233624562544316</v>
      </c>
      <c r="P715">
        <f t="shared" ref="P715:P778" si="271">COS(M715)*$F$33+$F$32</f>
        <v>18574.903687650134</v>
      </c>
      <c r="Q715">
        <f t="shared" ref="Q715:Q778" si="272">SIN(M715)*$F$33+$G$32</f>
        <v>2707.3910549131169</v>
      </c>
      <c r="V715">
        <f t="shared" si="250"/>
        <v>-20997.567418644907</v>
      </c>
      <c r="W715">
        <f t="shared" si="251"/>
        <v>6645.1737384391818</v>
      </c>
      <c r="AB715">
        <f t="shared" si="252"/>
        <v>-6425.0963123498677</v>
      </c>
      <c r="AC715">
        <f t="shared" si="253"/>
        <v>-19792.608945086882</v>
      </c>
      <c r="AW715">
        <v>708</v>
      </c>
      <c r="AX715">
        <f t="shared" si="266"/>
        <v>354</v>
      </c>
      <c r="AZ715">
        <f t="shared" si="267"/>
        <v>7270.9820780646733</v>
      </c>
      <c r="BB715">
        <f t="shared" si="268"/>
        <v>-153522.88586726726</v>
      </c>
      <c r="BD715">
        <f t="shared" si="269"/>
        <v>1009.4805851468205</v>
      </c>
      <c r="BF715">
        <f t="shared" si="270"/>
        <v>-2953.8786741578674</v>
      </c>
      <c r="BH715">
        <f t="shared" si="255"/>
        <v>-1.8702327825342835</v>
      </c>
      <c r="BJ715">
        <f t="shared" si="256"/>
        <v>53.081256724506517</v>
      </c>
      <c r="BN715" s="20">
        <f t="shared" si="257"/>
        <v>1.5724628040313584</v>
      </c>
      <c r="BP715">
        <f t="shared" si="258"/>
        <v>19.891754428889001</v>
      </c>
      <c r="BR715">
        <f t="shared" si="259"/>
        <v>-1.0720781687935497</v>
      </c>
      <c r="BT715">
        <f t="shared" si="260"/>
        <v>6.4284196122671364</v>
      </c>
      <c r="BV715">
        <f t="shared" si="261"/>
        <v>-2.3706174177720922</v>
      </c>
      <c r="BX715">
        <f t="shared" si="262"/>
        <v>26.761082683350381</v>
      </c>
      <c r="CB715">
        <f t="shared" si="263"/>
        <v>161525.22301572573</v>
      </c>
      <c r="CD715">
        <f t="shared" si="264"/>
        <v>165781.30372831988</v>
      </c>
      <c r="CF715">
        <f t="shared" si="265"/>
        <v>139065.33324360941</v>
      </c>
    </row>
    <row r="716" spans="12:84" x14ac:dyDescent="0.25">
      <c r="L716">
        <v>705</v>
      </c>
      <c r="M716">
        <f t="shared" si="254"/>
        <v>4.4296456415616108</v>
      </c>
      <c r="P716">
        <f t="shared" si="271"/>
        <v>18605.044469803866</v>
      </c>
      <c r="Q716">
        <f t="shared" si="272"/>
        <v>2698.5315716152818</v>
      </c>
      <c r="V716">
        <f t="shared" ref="V716:V779" si="273">COS(M716)*$F$44+$F$43</f>
        <v>-20976.468871137295</v>
      </c>
      <c r="W716">
        <f t="shared" ref="W716:W779" si="274">SIN(M716)*$F$44+$G$43</f>
        <v>6638.9721001306971</v>
      </c>
      <c r="AB716">
        <f t="shared" ref="AB716:AB779" si="275">COS(M716)*$F$55+$F$54</f>
        <v>-6394.9555301961354</v>
      </c>
      <c r="AC716">
        <f t="shared" ref="AC716:AC779" si="276">SIN(M716)*$F$55+$G$54</f>
        <v>-19801.468428384716</v>
      </c>
      <c r="AW716">
        <v>709</v>
      </c>
      <c r="AX716">
        <f t="shared" si="266"/>
        <v>354.5</v>
      </c>
      <c r="AZ716">
        <f t="shared" si="267"/>
        <v>7775.4885915402665</v>
      </c>
      <c r="BB716">
        <f t="shared" si="268"/>
        <v>-154993.19004725566</v>
      </c>
      <c r="BD716">
        <f t="shared" si="269"/>
        <v>1008.5454687555534</v>
      </c>
      <c r="BF716">
        <f t="shared" si="270"/>
        <v>-2927.3380457956141</v>
      </c>
      <c r="BH716">
        <f t="shared" si="255"/>
        <v>-1.9810757601729436</v>
      </c>
      <c r="BJ716">
        <f t="shared" si="256"/>
        <v>52.049835052000098</v>
      </c>
      <c r="BN716" s="20">
        <f t="shared" si="257"/>
        <v>1.470954915539102</v>
      </c>
      <c r="BP716">
        <f t="shared" si="258"/>
        <v>19.552532502544924</v>
      </c>
      <c r="BR716">
        <f t="shared" si="259"/>
        <v>-1.0622148935048648</v>
      </c>
      <c r="BT716">
        <f t="shared" si="260"/>
        <v>6.3098160530091612</v>
      </c>
      <c r="BV716">
        <f t="shared" si="261"/>
        <v>-2.3898157822071808</v>
      </c>
      <c r="BX716">
        <f t="shared" si="262"/>
        <v>26.187486496446013</v>
      </c>
      <c r="CB716">
        <f t="shared" si="263"/>
        <v>162952.37184806212</v>
      </c>
      <c r="CD716">
        <f t="shared" si="264"/>
        <v>167314.76482507039</v>
      </c>
      <c r="CF716">
        <f t="shared" si="265"/>
        <v>140574.91372346497</v>
      </c>
    </row>
    <row r="717" spans="12:84" x14ac:dyDescent="0.25">
      <c r="L717">
        <v>706</v>
      </c>
      <c r="M717">
        <f t="shared" ref="M717:M780" si="277">M716+$O$5</f>
        <v>4.43592882686879</v>
      </c>
      <c r="P717">
        <f t="shared" si="271"/>
        <v>18635.240322413381</v>
      </c>
      <c r="Q717">
        <f t="shared" si="272"/>
        <v>2689.861642069568</v>
      </c>
      <c r="V717">
        <f t="shared" si="273"/>
        <v>-20955.331774310631</v>
      </c>
      <c r="W717">
        <f t="shared" si="274"/>
        <v>6632.9031494486971</v>
      </c>
      <c r="AB717">
        <f t="shared" si="275"/>
        <v>-6364.7596775866168</v>
      </c>
      <c r="AC717">
        <f t="shared" si="276"/>
        <v>-19810.138357930431</v>
      </c>
      <c r="AW717">
        <v>710</v>
      </c>
      <c r="AX717">
        <f t="shared" si="266"/>
        <v>355</v>
      </c>
      <c r="AZ717">
        <f t="shared" si="267"/>
        <v>8279.5136914480227</v>
      </c>
      <c r="BB717">
        <f t="shared" si="268"/>
        <v>-156450.35284077196</v>
      </c>
      <c r="BD717">
        <f t="shared" si="269"/>
        <v>1007.554930875467</v>
      </c>
      <c r="BF717">
        <f t="shared" si="270"/>
        <v>-2901.313128269614</v>
      </c>
      <c r="BH717">
        <f t="shared" si="255"/>
        <v>-2.0850431854704228</v>
      </c>
      <c r="BJ717">
        <f t="shared" si="256"/>
        <v>51.05573951412434</v>
      </c>
      <c r="BN717" s="20">
        <f t="shared" si="257"/>
        <v>1.3742940890622104</v>
      </c>
      <c r="BP717">
        <f t="shared" si="258"/>
        <v>19.224117061109695</v>
      </c>
      <c r="BR717">
        <f t="shared" si="259"/>
        <v>-1.0525772049484849</v>
      </c>
      <c r="BT717">
        <f t="shared" si="260"/>
        <v>6.195362801051683</v>
      </c>
      <c r="BV717">
        <f t="shared" si="261"/>
        <v>-2.406760069584148</v>
      </c>
      <c r="BX717">
        <f t="shared" si="262"/>
        <v>25.636259651962959</v>
      </c>
      <c r="CB717">
        <f t="shared" si="263"/>
        <v>164368.75614277361</v>
      </c>
      <c r="CD717">
        <f t="shared" si="264"/>
        <v>168835.57343001588</v>
      </c>
      <c r="CF717">
        <f t="shared" si="265"/>
        <v>142072.3329950636</v>
      </c>
    </row>
    <row r="718" spans="12:84" x14ac:dyDescent="0.25">
      <c r="L718">
        <v>707</v>
      </c>
      <c r="M718">
        <f t="shared" si="277"/>
        <v>4.4422120121759692</v>
      </c>
      <c r="P718">
        <f t="shared" si="271"/>
        <v>18665.490053398131</v>
      </c>
      <c r="Q718">
        <f t="shared" si="272"/>
        <v>2681.3816085499493</v>
      </c>
      <c r="V718">
        <f t="shared" si="273"/>
        <v>-20934.15696262131</v>
      </c>
      <c r="W718">
        <f t="shared" si="274"/>
        <v>6626.9671259849638</v>
      </c>
      <c r="AB718">
        <f t="shared" si="275"/>
        <v>-6334.5099466018701</v>
      </c>
      <c r="AC718">
        <f t="shared" si="276"/>
        <v>-19818.618391450051</v>
      </c>
      <c r="AW718">
        <v>711</v>
      </c>
      <c r="AX718">
        <f t="shared" si="266"/>
        <v>355.5</v>
      </c>
      <c r="AZ718">
        <f t="shared" si="267"/>
        <v>8783.0305264875733</v>
      </c>
      <c r="BB718">
        <f t="shared" si="268"/>
        <v>-157894.62743746751</v>
      </c>
      <c r="BD718">
        <f t="shared" si="269"/>
        <v>1006.5124092827318</v>
      </c>
      <c r="BF718">
        <f t="shared" si="270"/>
        <v>-2875.785258512552</v>
      </c>
      <c r="BH718">
        <f t="shared" si="255"/>
        <v>-2.1826009565254259</v>
      </c>
      <c r="BJ718">
        <f t="shared" si="256"/>
        <v>50.097058504406149</v>
      </c>
      <c r="BN718" s="20">
        <f t="shared" si="257"/>
        <v>1.2821957962981729</v>
      </c>
      <c r="BP718">
        <f t="shared" si="258"/>
        <v>18.906024174479391</v>
      </c>
      <c r="BR718">
        <f t="shared" si="259"/>
        <v>-1.0431573335087447</v>
      </c>
      <c r="BT718">
        <f t="shared" si="260"/>
        <v>6.0848530771261133</v>
      </c>
      <c r="BV718">
        <f t="shared" si="261"/>
        <v>-2.4216394193148543</v>
      </c>
      <c r="BX718">
        <f t="shared" si="262"/>
        <v>25.106181252800646</v>
      </c>
      <c r="CB718">
        <f t="shared" si="263"/>
        <v>165774.55531337851</v>
      </c>
      <c r="CD718">
        <f t="shared" si="264"/>
        <v>170343.97191757252</v>
      </c>
      <c r="CF718">
        <f t="shared" si="265"/>
        <v>143557.81581295645</v>
      </c>
    </row>
    <row r="719" spans="12:84" x14ac:dyDescent="0.25">
      <c r="L719">
        <v>708</v>
      </c>
      <c r="M719">
        <f t="shared" si="277"/>
        <v>4.4484951974831484</v>
      </c>
      <c r="P719">
        <f t="shared" si="271"/>
        <v>18695.79246855052</v>
      </c>
      <c r="Q719">
        <f t="shared" si="272"/>
        <v>2673.0918058336292</v>
      </c>
      <c r="V719">
        <f t="shared" si="273"/>
        <v>-20912.945272014636</v>
      </c>
      <c r="W719">
        <f t="shared" si="274"/>
        <v>6621.1642640835398</v>
      </c>
      <c r="AB719">
        <f t="shared" si="275"/>
        <v>-6304.2075314494796</v>
      </c>
      <c r="AC719">
        <f t="shared" si="276"/>
        <v>-19826.908194166372</v>
      </c>
      <c r="AW719">
        <v>712</v>
      </c>
      <c r="AX719">
        <f t="shared" si="266"/>
        <v>356</v>
      </c>
      <c r="AZ719">
        <f t="shared" si="267"/>
        <v>9286.0139060093734</v>
      </c>
      <c r="BB719">
        <f t="shared" si="268"/>
        <v>-159326.25793441074</v>
      </c>
      <c r="BD719">
        <f t="shared" si="269"/>
        <v>1005.4211088044691</v>
      </c>
      <c r="BF719">
        <f t="shared" si="270"/>
        <v>-2850.736729260349</v>
      </c>
      <c r="BH719">
        <f t="shared" si="255"/>
        <v>-2.2741782029959565</v>
      </c>
      <c r="BJ719">
        <f t="shared" si="256"/>
        <v>49.172006339417891</v>
      </c>
      <c r="BN719" s="20">
        <f t="shared" si="257"/>
        <v>1.1943955805944484</v>
      </c>
      <c r="BP719">
        <f t="shared" si="258"/>
        <v>18.597797631614512</v>
      </c>
      <c r="BR719">
        <f t="shared" si="259"/>
        <v>-1.0339478850979107</v>
      </c>
      <c r="BT719">
        <f t="shared" si="260"/>
        <v>5.9780933945026478</v>
      </c>
      <c r="BV719">
        <f t="shared" si="261"/>
        <v>-2.4346258984924942</v>
      </c>
      <c r="BX719">
        <f t="shared" si="262"/>
        <v>24.596115313300729</v>
      </c>
      <c r="CB719">
        <f t="shared" si="263"/>
        <v>167169.94297546663</v>
      </c>
      <c r="CD719">
        <f t="shared" si="264"/>
        <v>171840.19389122433</v>
      </c>
      <c r="CF719">
        <f t="shared" si="265"/>
        <v>145031.57905322811</v>
      </c>
    </row>
    <row r="720" spans="12:84" x14ac:dyDescent="0.25">
      <c r="L720">
        <v>709</v>
      </c>
      <c r="M720">
        <f t="shared" si="277"/>
        <v>4.4547783827903276</v>
      </c>
      <c r="P720">
        <f t="shared" si="271"/>
        <v>18726.146371583094</v>
      </c>
      <c r="Q720">
        <f t="shared" si="272"/>
        <v>2664.9925611878243</v>
      </c>
      <c r="V720">
        <f t="shared" si="273"/>
        <v>-20891.697539891837</v>
      </c>
      <c r="W720">
        <f t="shared" si="274"/>
        <v>6615.4947928314768</v>
      </c>
      <c r="AB720">
        <f t="shared" si="275"/>
        <v>-6273.8536284169077</v>
      </c>
      <c r="AC720">
        <f t="shared" si="276"/>
        <v>-19835.007438812176</v>
      </c>
      <c r="AW720">
        <v>713</v>
      </c>
      <c r="AX720">
        <f t="shared" si="266"/>
        <v>356.5</v>
      </c>
      <c r="AZ720">
        <f t="shared" si="267"/>
        <v>9788.4401881362337</v>
      </c>
      <c r="BB720">
        <f t="shared" si="268"/>
        <v>-160745.47979824847</v>
      </c>
      <c r="BD720">
        <f t="shared" si="269"/>
        <v>1004.2840197029711</v>
      </c>
      <c r="BF720">
        <f t="shared" si="270"/>
        <v>-2826.1507260906401</v>
      </c>
      <c r="BH720">
        <f t="shared" si="255"/>
        <v>-2.3601706454329952</v>
      </c>
      <c r="BJ720">
        <f t="shared" si="256"/>
        <v>48.278913170800116</v>
      </c>
      <c r="BN720" s="20">
        <f t="shared" si="257"/>
        <v>1.1106473998987041</v>
      </c>
      <c r="BP720">
        <f t="shared" si="258"/>
        <v>18.299007020018571</v>
      </c>
      <c r="BR720">
        <f t="shared" si="259"/>
        <v>-1.0249418167898248</v>
      </c>
      <c r="BT720">
        <f t="shared" si="260"/>
        <v>5.8749025181508348</v>
      </c>
      <c r="BV720">
        <f t="shared" si="261"/>
        <v>-2.4458762285418745</v>
      </c>
      <c r="BX720">
        <f t="shared" si="262"/>
        <v>24.105003632630712</v>
      </c>
      <c r="CB720">
        <f t="shared" si="263"/>
        <v>168555.0872158242</v>
      </c>
      <c r="CD720">
        <f t="shared" si="264"/>
        <v>173324.4646331736</v>
      </c>
      <c r="CF720">
        <f t="shared" si="265"/>
        <v>146493.83210504029</v>
      </c>
    </row>
    <row r="721" spans="12:84" x14ac:dyDescent="0.25">
      <c r="L721">
        <v>710</v>
      </c>
      <c r="M721">
        <f t="shared" si="277"/>
        <v>4.4610615680975068</v>
      </c>
      <c r="P721">
        <f t="shared" si="271"/>
        <v>18756.550564175726</v>
      </c>
      <c r="Q721">
        <f t="shared" si="272"/>
        <v>2657.0841943568439</v>
      </c>
      <c r="V721">
        <f t="shared" si="273"/>
        <v>-20870.414605076992</v>
      </c>
      <c r="W721">
        <f t="shared" si="274"/>
        <v>6609.9589360497903</v>
      </c>
      <c r="AB721">
        <f t="shared" si="275"/>
        <v>-6243.4494358242719</v>
      </c>
      <c r="AC721">
        <f t="shared" si="276"/>
        <v>-19842.915805643155</v>
      </c>
      <c r="AW721">
        <v>714</v>
      </c>
      <c r="AX721">
        <f t="shared" si="266"/>
        <v>357</v>
      </c>
      <c r="AZ721">
        <f t="shared" si="267"/>
        <v>10290.287176657041</v>
      </c>
      <c r="BB721">
        <f t="shared" si="268"/>
        <v>-162152.52029714745</v>
      </c>
      <c r="BD721">
        <f t="shared" si="269"/>
        <v>1003.1039343802546</v>
      </c>
      <c r="BF721">
        <f t="shared" si="270"/>
        <v>-2802.0112695052399</v>
      </c>
      <c r="BH721">
        <f t="shared" si="255"/>
        <v>-2.4409436048824578</v>
      </c>
      <c r="BJ721">
        <f t="shared" si="256"/>
        <v>47.416215845173014</v>
      </c>
      <c r="BN721" s="20">
        <f t="shared" si="257"/>
        <v>1.0307221262320732</v>
      </c>
      <c r="BP721">
        <f t="shared" si="258"/>
        <v>18.00924596048986</v>
      </c>
      <c r="BR721">
        <f t="shared" si="259"/>
        <v>-1.0161324145169548</v>
      </c>
      <c r="BT721">
        <f t="shared" si="260"/>
        <v>5.7751105195703678</v>
      </c>
      <c r="BV721">
        <f t="shared" si="261"/>
        <v>-2.4555333165975761</v>
      </c>
      <c r="BX721">
        <f t="shared" si="262"/>
        <v>23.631859365112788</v>
      </c>
      <c r="CB721">
        <f t="shared" si="263"/>
        <v>169930.1508452394</v>
      </c>
      <c r="CD721">
        <f t="shared" si="264"/>
        <v>174797.00152435142</v>
      </c>
      <c r="CF721">
        <f t="shared" si="265"/>
        <v>147944.7772371402</v>
      </c>
    </row>
    <row r="722" spans="12:84" x14ac:dyDescent="0.25">
      <c r="L722">
        <v>711</v>
      </c>
      <c r="M722">
        <f t="shared" si="277"/>
        <v>4.467344753404686</v>
      </c>
      <c r="P722">
        <f t="shared" si="271"/>
        <v>18787.003846022963</v>
      </c>
      <c r="Q722">
        <f t="shared" si="272"/>
        <v>2649.3670175494708</v>
      </c>
      <c r="V722">
        <f t="shared" si="273"/>
        <v>-20849.097307783926</v>
      </c>
      <c r="W722">
        <f t="shared" si="274"/>
        <v>6604.55691228463</v>
      </c>
      <c r="AB722">
        <f t="shared" si="275"/>
        <v>-6212.9961539770375</v>
      </c>
      <c r="AC722">
        <f t="shared" si="276"/>
        <v>-19850.63298245053</v>
      </c>
      <c r="AW722">
        <v>715</v>
      </c>
      <c r="AX722">
        <f t="shared" si="266"/>
        <v>357.5</v>
      </c>
      <c r="AZ722">
        <f t="shared" si="267"/>
        <v>10791.534025896557</v>
      </c>
      <c r="BB722">
        <f t="shared" si="268"/>
        <v>-163547.59890491943</v>
      </c>
      <c r="BD722">
        <f t="shared" si="269"/>
        <v>1001.8834625778134</v>
      </c>
      <c r="BF722">
        <f t="shared" si="270"/>
        <v>-2778.3031615826535</v>
      </c>
      <c r="BH722">
        <f t="shared" si="255"/>
        <v>-2.5168347036197751</v>
      </c>
      <c r="BJ722">
        <f t="shared" si="256"/>
        <v>46.582449610110963</v>
      </c>
      <c r="BN722" s="20">
        <f t="shared" si="257"/>
        <v>0.95440618506827968</v>
      </c>
      <c r="BP722">
        <f t="shared" si="258"/>
        <v>17.728130482865545</v>
      </c>
      <c r="BR722">
        <f t="shared" si="259"/>
        <v>-1.0075132726111478</v>
      </c>
      <c r="BT722">
        <f t="shared" si="260"/>
        <v>5.6785579172329346</v>
      </c>
      <c r="BV722">
        <f t="shared" si="261"/>
        <v>-2.4637276160769068</v>
      </c>
      <c r="BX722">
        <f t="shared" si="262"/>
        <v>23.175761210012482</v>
      </c>
      <c r="CB722">
        <f t="shared" si="263"/>
        <v>171295.29163621052</v>
      </c>
      <c r="CD722">
        <f t="shared" si="264"/>
        <v>176258.01443716179</v>
      </c>
      <c r="CF722">
        <f t="shared" si="265"/>
        <v>149384.60994127832</v>
      </c>
    </row>
    <row r="723" spans="12:84" x14ac:dyDescent="0.25">
      <c r="L723">
        <v>712</v>
      </c>
      <c r="M723">
        <f t="shared" si="277"/>
        <v>4.4736279387118651</v>
      </c>
      <c r="P723">
        <f t="shared" si="271"/>
        <v>18817.505014881375</v>
      </c>
      <c r="Q723">
        <f t="shared" si="272"/>
        <v>2641.8413354266304</v>
      </c>
      <c r="V723">
        <f t="shared" si="273"/>
        <v>-20827.746489583038</v>
      </c>
      <c r="W723">
        <f t="shared" si="274"/>
        <v>6599.288934798642</v>
      </c>
      <c r="AB723">
        <f t="shared" si="275"/>
        <v>-6182.4949851186257</v>
      </c>
      <c r="AC723">
        <f t="shared" si="276"/>
        <v>-19858.15866457337</v>
      </c>
      <c r="AW723">
        <v>716</v>
      </c>
      <c r="AX723">
        <f t="shared" si="266"/>
        <v>358</v>
      </c>
      <c r="AZ723">
        <f t="shared" si="267"/>
        <v>11292.161152847511</v>
      </c>
      <c r="BB723">
        <f t="shared" si="268"/>
        <v>-164930.92767950951</v>
      </c>
      <c r="BD723">
        <f t="shared" si="269"/>
        <v>1000.6250452260035</v>
      </c>
      <c r="BF723">
        <f t="shared" si="270"/>
        <v>-2755.0119367775978</v>
      </c>
      <c r="BH723">
        <f t="shared" si="255"/>
        <v>-2.5881562925913615</v>
      </c>
      <c r="BJ723">
        <f t="shared" si="256"/>
        <v>45.776240576612835</v>
      </c>
      <c r="BN723" s="20">
        <f t="shared" si="257"/>
        <v>0.88150031995600331</v>
      </c>
      <c r="BP723">
        <f t="shared" si="258"/>
        <v>17.455297529937898</v>
      </c>
      <c r="BR723">
        <f t="shared" si="259"/>
        <v>-0.99907827499636648</v>
      </c>
      <c r="BT723">
        <f t="shared" si="260"/>
        <v>5.5850948937623919</v>
      </c>
      <c r="BV723">
        <f t="shared" si="261"/>
        <v>-2.4705783375509984</v>
      </c>
      <c r="BX723">
        <f t="shared" si="262"/>
        <v>22.735848152912542</v>
      </c>
      <c r="CB723">
        <f t="shared" si="263"/>
        <v>172650.66254667027</v>
      </c>
      <c r="CD723">
        <f t="shared" si="264"/>
        <v>177707.70610311069</v>
      </c>
      <c r="CF723">
        <f t="shared" si="265"/>
        <v>150813.51925430514</v>
      </c>
    </row>
    <row r="724" spans="12:84" x14ac:dyDescent="0.25">
      <c r="L724">
        <v>713</v>
      </c>
      <c r="M724">
        <f t="shared" si="277"/>
        <v>4.4799111240190443</v>
      </c>
      <c r="P724">
        <f t="shared" si="271"/>
        <v>18848.052866617043</v>
      </c>
      <c r="Q724">
        <f t="shared" si="272"/>
        <v>2634.507445089368</v>
      </c>
      <c r="V724">
        <f t="shared" si="273"/>
        <v>-20806.362993368071</v>
      </c>
      <c r="W724">
        <f t="shared" si="274"/>
        <v>6594.1552115625582</v>
      </c>
      <c r="AB724">
        <f t="shared" si="275"/>
        <v>-6151.947133382957</v>
      </c>
      <c r="AC724">
        <f t="shared" si="276"/>
        <v>-19865.492554910634</v>
      </c>
      <c r="AW724">
        <v>717</v>
      </c>
      <c r="AX724">
        <f t="shared" si="266"/>
        <v>358.5</v>
      </c>
      <c r="AZ724">
        <f t="shared" si="267"/>
        <v>11792.150155923939</v>
      </c>
      <c r="BB724">
        <f t="shared" si="268"/>
        <v>-166302.71161782625</v>
      </c>
      <c r="BD724">
        <f t="shared" si="269"/>
        <v>999.33096707970788</v>
      </c>
      <c r="BF724">
        <f t="shared" si="270"/>
        <v>-2732.1238164892916</v>
      </c>
      <c r="BH724">
        <f t="shared" si="255"/>
        <v>-2.65519763659838</v>
      </c>
      <c r="BJ724">
        <f t="shared" si="256"/>
        <v>44.996298859150343</v>
      </c>
      <c r="BN724" s="20">
        <f t="shared" si="257"/>
        <v>0.81181846942521052</v>
      </c>
      <c r="BP724">
        <f t="shared" si="258"/>
        <v>17.190403578029617</v>
      </c>
      <c r="BR724">
        <f t="shared" si="259"/>
        <v>-0.99082157786604574</v>
      </c>
      <c r="BT724">
        <f t="shared" si="260"/>
        <v>5.4945805820147546</v>
      </c>
      <c r="BV724">
        <f t="shared" si="261"/>
        <v>-2.4761945281575448</v>
      </c>
      <c r="BX724">
        <f t="shared" si="262"/>
        <v>22.311314699105971</v>
      </c>
      <c r="CB724">
        <f t="shared" si="263"/>
        <v>173996.41193074119</v>
      </c>
      <c r="CD724">
        <f t="shared" si="264"/>
        <v>179146.27245727225</v>
      </c>
      <c r="CF724">
        <f t="shared" si="265"/>
        <v>152231.68806055523</v>
      </c>
    </row>
    <row r="725" spans="12:84" x14ac:dyDescent="0.25">
      <c r="L725">
        <v>714</v>
      </c>
      <c r="M725">
        <f t="shared" si="277"/>
        <v>4.4861943093262235</v>
      </c>
      <c r="P725">
        <f t="shared" si="271"/>
        <v>18878.646195253088</v>
      </c>
      <c r="Q725">
        <f t="shared" si="272"/>
        <v>2627.3656360671157</v>
      </c>
      <c r="V725">
        <f t="shared" si="273"/>
        <v>-20784.947663322837</v>
      </c>
      <c r="W725">
        <f t="shared" si="274"/>
        <v>6589.155945246981</v>
      </c>
      <c r="AB725">
        <f t="shared" si="275"/>
        <v>-6121.3538047469119</v>
      </c>
      <c r="AC725">
        <f t="shared" si="276"/>
        <v>-19872.634363932884</v>
      </c>
      <c r="AW725">
        <v>718</v>
      </c>
      <c r="AX725">
        <f t="shared" si="266"/>
        <v>359</v>
      </c>
      <c r="AZ725">
        <f t="shared" si="267"/>
        <v>12291.483739759216</v>
      </c>
      <c r="BB725">
        <f t="shared" si="268"/>
        <v>-167663.14898871351</v>
      </c>
      <c r="BD725">
        <f t="shared" si="269"/>
        <v>998.0033682614087</v>
      </c>
      <c r="BF725">
        <f t="shared" si="270"/>
        <v>-2709.6256670597163</v>
      </c>
      <c r="BH725">
        <f t="shared" si="255"/>
        <v>-2.7182268843534225</v>
      </c>
      <c r="BJ725">
        <f t="shared" si="256"/>
        <v>44.241412323614291</v>
      </c>
      <c r="BN725" s="20">
        <f t="shared" si="257"/>
        <v>0.74518674470427393</v>
      </c>
      <c r="BP725">
        <f t="shared" si="258"/>
        <v>16.933123363869242</v>
      </c>
      <c r="BR725">
        <f t="shared" si="259"/>
        <v>-0.98273759369772706</v>
      </c>
      <c r="BT725">
        <f t="shared" si="260"/>
        <v>5.4068824131161151</v>
      </c>
      <c r="BV725">
        <f t="shared" si="261"/>
        <v>-2.4806760353599695</v>
      </c>
      <c r="BX725">
        <f t="shared" si="262"/>
        <v>21.901406546628934</v>
      </c>
      <c r="CB725">
        <f t="shared" si="263"/>
        <v>175332.68373744993</v>
      </c>
      <c r="CD725">
        <f t="shared" si="264"/>
        <v>180573.90296136634</v>
      </c>
      <c r="CF725">
        <f t="shared" si="265"/>
        <v>153639.29337598666</v>
      </c>
    </row>
    <row r="726" spans="12:84" x14ac:dyDescent="0.25">
      <c r="L726">
        <v>715</v>
      </c>
      <c r="M726">
        <f t="shared" si="277"/>
        <v>4.4924774946334027</v>
      </c>
      <c r="P726">
        <f t="shared" si="271"/>
        <v>18909.283793017279</v>
      </c>
      <c r="Q726">
        <f t="shared" si="272"/>
        <v>2620.4161903062641</v>
      </c>
      <c r="V726">
        <f t="shared" si="273"/>
        <v>-20763.501344887904</v>
      </c>
      <c r="W726">
        <f t="shared" si="274"/>
        <v>6584.2913332143853</v>
      </c>
      <c r="AB726">
        <f t="shared" si="275"/>
        <v>-6090.7162069827209</v>
      </c>
      <c r="AC726">
        <f t="shared" si="276"/>
        <v>-19879.583809693737</v>
      </c>
      <c r="AW726">
        <v>719</v>
      </c>
      <c r="AX726">
        <f t="shared" si="266"/>
        <v>359.5</v>
      </c>
      <c r="AZ726">
        <f t="shared" si="267"/>
        <v>12790.145645529377</v>
      </c>
      <c r="BB726">
        <f t="shared" si="268"/>
        <v>-169012.43164570292</v>
      </c>
      <c r="BD726">
        <f t="shared" si="269"/>
        <v>996.64425481923195</v>
      </c>
      <c r="BF726">
        <f t="shared" si="270"/>
        <v>-2687.5049608979093</v>
      </c>
      <c r="BH726">
        <f t="shared" si="255"/>
        <v>-2.7774928471744591</v>
      </c>
      <c r="BJ726">
        <f t="shared" si="256"/>
        <v>43.5104408815182</v>
      </c>
      <c r="BN726" s="20">
        <f t="shared" si="257"/>
        <v>0.68144249807410606</v>
      </c>
      <c r="BP726">
        <f t="shared" si="258"/>
        <v>16.683148708433844</v>
      </c>
      <c r="BR726">
        <f t="shared" si="259"/>
        <v>-0.97482097647549404</v>
      </c>
      <c r="BT726">
        <f t="shared" si="260"/>
        <v>5.3218755203031201</v>
      </c>
      <c r="BV726">
        <f t="shared" si="261"/>
        <v>-2.4841143687730711</v>
      </c>
      <c r="BX726">
        <f t="shared" si="262"/>
        <v>21.505416652781236</v>
      </c>
      <c r="CB726">
        <f t="shared" si="263"/>
        <v>176659.61769824938</v>
      </c>
      <c r="CD726">
        <f t="shared" si="264"/>
        <v>181990.78090706267</v>
      </c>
      <c r="CF726">
        <f t="shared" si="265"/>
        <v>155036.50661541449</v>
      </c>
    </row>
    <row r="727" spans="12:84" x14ac:dyDescent="0.25">
      <c r="L727">
        <v>716</v>
      </c>
      <c r="M727">
        <f t="shared" si="277"/>
        <v>4.4987606799405819</v>
      </c>
      <c r="P727">
        <f t="shared" si="271"/>
        <v>18939.964450389718</v>
      </c>
      <c r="Q727">
        <f t="shared" si="272"/>
        <v>2613.659382159035</v>
      </c>
      <c r="V727">
        <f t="shared" si="273"/>
        <v>-20742.024884727198</v>
      </c>
      <c r="W727">
        <f t="shared" si="274"/>
        <v>6579.561567511324</v>
      </c>
      <c r="AB727">
        <f t="shared" si="275"/>
        <v>-6060.0355496102829</v>
      </c>
      <c r="AC727">
        <f t="shared" si="276"/>
        <v>-19886.340617840964</v>
      </c>
      <c r="AW727">
        <v>720</v>
      </c>
      <c r="AX727">
        <f t="shared" si="266"/>
        <v>360</v>
      </c>
      <c r="AZ727">
        <f t="shared" si="267"/>
        <v>13288.120586333096</v>
      </c>
      <c r="BB727">
        <f t="shared" si="268"/>
        <v>-170350.74532104167</v>
      </c>
      <c r="BD727">
        <f t="shared" si="269"/>
        <v>995.25550839564471</v>
      </c>
      <c r="BF727">
        <f t="shared" si="270"/>
        <v>-2665.7497404571504</v>
      </c>
      <c r="BH727">
        <f t="shared" si="255"/>
        <v>-2.8332266071720289</v>
      </c>
      <c r="BJ727">
        <f t="shared" si="256"/>
        <v>42.802311275841333</v>
      </c>
      <c r="BN727" s="20">
        <f t="shared" si="257"/>
        <v>0.62043347282385986</v>
      </c>
      <c r="BP727">
        <f t="shared" si="258"/>
        <v>16.440187429344942</v>
      </c>
      <c r="BR727">
        <f t="shared" si="259"/>
        <v>-0.96706660800588939</v>
      </c>
      <c r="BT727">
        <f t="shared" si="260"/>
        <v>5.239442193097581</v>
      </c>
      <c r="BV727">
        <f t="shared" si="261"/>
        <v>-2.4865934719899996</v>
      </c>
      <c r="BX727">
        <f t="shared" si="262"/>
        <v>21.122681653398814</v>
      </c>
      <c r="CB727">
        <f t="shared" si="263"/>
        <v>177977.34950412548</v>
      </c>
      <c r="CD727">
        <f t="shared" si="264"/>
        <v>183397.08370098335</v>
      </c>
      <c r="CF727">
        <f t="shared" si="265"/>
        <v>156423.49384406235</v>
      </c>
    </row>
    <row r="728" spans="12:84" x14ac:dyDescent="0.25">
      <c r="L728">
        <v>717</v>
      </c>
      <c r="M728">
        <f t="shared" si="277"/>
        <v>4.5050438652477611</v>
      </c>
      <c r="P728">
        <f t="shared" si="271"/>
        <v>18970.686956150581</v>
      </c>
      <c r="Q728">
        <f t="shared" si="272"/>
        <v>2607.095478372642</v>
      </c>
      <c r="V728">
        <f t="shared" si="273"/>
        <v>-20720.519130694593</v>
      </c>
      <c r="W728">
        <f t="shared" si="274"/>
        <v>6574.9668348608493</v>
      </c>
      <c r="AB728">
        <f t="shared" si="275"/>
        <v>-6029.3130438494181</v>
      </c>
      <c r="AC728">
        <f t="shared" si="276"/>
        <v>-19892.904521627359</v>
      </c>
      <c r="AW728">
        <v>721</v>
      </c>
      <c r="AX728">
        <f t="shared" si="266"/>
        <v>360.5</v>
      </c>
      <c r="AZ728">
        <f t="shared" si="267"/>
        <v>13785.394187205022</v>
      </c>
      <c r="BB728">
        <f t="shared" si="268"/>
        <v>-171678.26990236077</v>
      </c>
      <c r="BD728">
        <f t="shared" si="269"/>
        <v>993.83889509205869</v>
      </c>
      <c r="BF728">
        <f t="shared" si="270"/>
        <v>-2644.3485848192299</v>
      </c>
      <c r="BH728">
        <f t="shared" si="255"/>
        <v>-2.8856429732673137</v>
      </c>
      <c r="BJ728">
        <f t="shared" si="256"/>
        <v>42.116012310022711</v>
      </c>
      <c r="BN728" s="20">
        <f t="shared" si="257"/>
        <v>0.56201702677126308</v>
      </c>
      <c r="BP728">
        <f t="shared" si="258"/>
        <v>16.203962334218261</v>
      </c>
      <c r="BR728">
        <f t="shared" si="259"/>
        <v>-0.95946958522603054</v>
      </c>
      <c r="BT728">
        <f t="shared" si="260"/>
        <v>5.1594713769483338</v>
      </c>
      <c r="BV728">
        <f t="shared" si="261"/>
        <v>-2.488190414812546</v>
      </c>
      <c r="BX728">
        <f t="shared" si="262"/>
        <v>20.752578598856122</v>
      </c>
      <c r="CB728">
        <f t="shared" si="263"/>
        <v>179286.01097300276</v>
      </c>
      <c r="CD728">
        <f t="shared" si="264"/>
        <v>184792.98313274741</v>
      </c>
      <c r="CF728">
        <f t="shared" si="265"/>
        <v>157800.41601455203</v>
      </c>
    </row>
    <row r="729" spans="12:84" x14ac:dyDescent="0.25">
      <c r="L729">
        <v>718</v>
      </c>
      <c r="M729">
        <f t="shared" si="277"/>
        <v>4.5113270505549403</v>
      </c>
      <c r="P729">
        <f t="shared" si="271"/>
        <v>19001.450097427951</v>
      </c>
      <c r="Q729">
        <f t="shared" si="272"/>
        <v>2600.7247380787685</v>
      </c>
      <c r="V729">
        <f t="shared" si="273"/>
        <v>-20698.984931800434</v>
      </c>
      <c r="W729">
        <f t="shared" si="274"/>
        <v>6570.5073166551374</v>
      </c>
      <c r="AB729">
        <f t="shared" si="275"/>
        <v>-5998.5499025720483</v>
      </c>
      <c r="AC729">
        <f t="shared" si="276"/>
        <v>-19899.275261921233</v>
      </c>
      <c r="AW729">
        <v>722</v>
      </c>
      <c r="AX729">
        <f t="shared" si="266"/>
        <v>361</v>
      </c>
      <c r="AZ729">
        <f t="shared" si="267"/>
        <v>14281.952929379393</v>
      </c>
      <c r="BB729">
        <f t="shared" si="268"/>
        <v>-172995.17969323165</v>
      </c>
      <c r="BD729">
        <f t="shared" si="269"/>
        <v>992.39607360542504</v>
      </c>
      <c r="BF729">
        <f t="shared" si="270"/>
        <v>-2623.2905786642186</v>
      </c>
      <c r="BH729">
        <f t="shared" si="255"/>
        <v>-2.9349418011936934</v>
      </c>
      <c r="BJ729">
        <f t="shared" si="256"/>
        <v>41.450590476989902</v>
      </c>
      <c r="BN729" s="20">
        <f t="shared" si="257"/>
        <v>0.50605942218832534</v>
      </c>
      <c r="BP729">
        <f t="shared" si="258"/>
        <v>15.974210288097726</v>
      </c>
      <c r="BR729">
        <f t="shared" si="259"/>
        <v>-0.95202520841391136</v>
      </c>
      <c r="BT729">
        <f t="shared" si="260"/>
        <v>5.0818582140018087</v>
      </c>
      <c r="BV729">
        <f t="shared" si="261"/>
        <v>-2.4889760149681073</v>
      </c>
      <c r="BX729">
        <f t="shared" si="262"/>
        <v>20.394521974890367</v>
      </c>
      <c r="CB729">
        <f t="shared" si="263"/>
        <v>180585.73020810314</v>
      </c>
      <c r="CD729">
        <f t="shared" si="264"/>
        <v>186178.64562728544</v>
      </c>
      <c r="CF729">
        <f t="shared" si="265"/>
        <v>159167.42919035716</v>
      </c>
    </row>
    <row r="730" spans="12:84" x14ac:dyDescent="0.25">
      <c r="L730">
        <v>719</v>
      </c>
      <c r="M730">
        <f t="shared" si="277"/>
        <v>4.5176102358621195</v>
      </c>
      <c r="P730">
        <f t="shared" si="271"/>
        <v>19032.252659745682</v>
      </c>
      <c r="Q730">
        <f t="shared" si="272"/>
        <v>2594.5474127833331</v>
      </c>
      <c r="V730">
        <f t="shared" si="273"/>
        <v>-20677.423138178023</v>
      </c>
      <c r="W730">
        <f t="shared" si="274"/>
        <v>6566.1831889483328</v>
      </c>
      <c r="AB730">
        <f t="shared" si="275"/>
        <v>-5967.7473402543164</v>
      </c>
      <c r="AC730">
        <f t="shared" si="276"/>
        <v>-19905.452587216667</v>
      </c>
      <c r="AW730">
        <v>723</v>
      </c>
      <c r="AX730">
        <f t="shared" si="266"/>
        <v>361.5</v>
      </c>
      <c r="AZ730">
        <f t="shared" si="267"/>
        <v>14777.784098456956</v>
      </c>
      <c r="BB730">
        <f t="shared" si="268"/>
        <v>-174301.64365875412</v>
      </c>
      <c r="BD730">
        <f t="shared" si="269"/>
        <v>990.92860270482822</v>
      </c>
      <c r="BF730">
        <f t="shared" si="270"/>
        <v>-2602.5652834257235</v>
      </c>
      <c r="BH730">
        <f t="shared" si="255"/>
        <v>-2.9813091917347201</v>
      </c>
      <c r="BJ730">
        <f t="shared" si="256"/>
        <v>40.805145949818041</v>
      </c>
      <c r="BN730" s="20">
        <f t="shared" si="257"/>
        <v>0.45243517574576092</v>
      </c>
      <c r="BP730">
        <f t="shared" si="258"/>
        <v>15.75068134875707</v>
      </c>
      <c r="BR730">
        <f t="shared" si="259"/>
        <v>-0.94472897022101909</v>
      </c>
      <c r="BT730">
        <f t="shared" si="260"/>
        <v>5.0065036211292497</v>
      </c>
      <c r="BV730">
        <f t="shared" si="261"/>
        <v>-2.489015397259462</v>
      </c>
      <c r="BX730">
        <f t="shared" si="262"/>
        <v>20.04796097993172</v>
      </c>
      <c r="CB730">
        <f t="shared" si="263"/>
        <v>181876.63174786072</v>
      </c>
      <c r="CD730">
        <f t="shared" si="264"/>
        <v>187554.23248254697</v>
      </c>
      <c r="CF730">
        <f t="shared" si="265"/>
        <v>160524.68475666243</v>
      </c>
    </row>
    <row r="731" spans="12:84" x14ac:dyDescent="0.25">
      <c r="L731">
        <v>720</v>
      </c>
      <c r="M731">
        <f t="shared" si="277"/>
        <v>4.5238934211692987</v>
      </c>
      <c r="P731">
        <f t="shared" si="271"/>
        <v>19063.093427071359</v>
      </c>
      <c r="Q731">
        <f t="shared" si="272"/>
        <v>2588.5637463565599</v>
      </c>
      <c r="V731">
        <f t="shared" si="273"/>
        <v>-20655.83460105005</v>
      </c>
      <c r="W731">
        <f t="shared" si="274"/>
        <v>6561.9946224495916</v>
      </c>
      <c r="AB731">
        <f t="shared" si="275"/>
        <v>-5936.9065729286403</v>
      </c>
      <c r="AC731">
        <f t="shared" si="276"/>
        <v>-19911.436253643442</v>
      </c>
      <c r="AW731">
        <v>724</v>
      </c>
      <c r="AX731">
        <f t="shared" si="266"/>
        <v>362</v>
      </c>
      <c r="AZ731">
        <f t="shared" si="267"/>
        <v>15272.875736160404</v>
      </c>
      <c r="BB731">
        <f t="shared" si="268"/>
        <v>-175597.82565722326</v>
      </c>
      <c r="BD731">
        <f t="shared" si="269"/>
        <v>989.43794810896088</v>
      </c>
      <c r="BF731">
        <f t="shared" si="270"/>
        <v>-2582.1627104508143</v>
      </c>
      <c r="BH731">
        <f t="shared" si="255"/>
        <v>-3.024918579796736</v>
      </c>
      <c r="BJ731">
        <f t="shared" si="256"/>
        <v>40.178828899756788</v>
      </c>
      <c r="BN731" s="20">
        <f t="shared" si="257"/>
        <v>0.40102646277059723</v>
      </c>
      <c r="BP731">
        <f t="shared" si="258"/>
        <v>15.533137964235104</v>
      </c>
      <c r="BR731">
        <f t="shared" si="259"/>
        <v>-0.93757654545571822</v>
      </c>
      <c r="BT731">
        <f t="shared" si="260"/>
        <v>4.9333139017469279</v>
      </c>
      <c r="BV731">
        <f t="shared" si="261"/>
        <v>-2.4883684971116149</v>
      </c>
      <c r="BX731">
        <f t="shared" si="262"/>
        <v>19.712377033774757</v>
      </c>
      <c r="CB731">
        <f t="shared" si="263"/>
        <v>183158.83670794786</v>
      </c>
      <c r="CD731">
        <f t="shared" si="264"/>
        <v>188919.90009363135</v>
      </c>
      <c r="CF731">
        <f t="shared" si="265"/>
        <v>161872.32961949264</v>
      </c>
    </row>
    <row r="732" spans="12:84" x14ac:dyDescent="0.25">
      <c r="L732">
        <v>721</v>
      </c>
      <c r="M732">
        <f t="shared" si="277"/>
        <v>4.5301766064764779</v>
      </c>
      <c r="P732">
        <f t="shared" si="271"/>
        <v>19093.971181864294</v>
      </c>
      <c r="Q732">
        <f t="shared" si="272"/>
        <v>2582.773975023355</v>
      </c>
      <c r="V732">
        <f t="shared" si="273"/>
        <v>-20634.220172694993</v>
      </c>
      <c r="W732">
        <f t="shared" si="274"/>
        <v>6557.9417825163491</v>
      </c>
      <c r="AB732">
        <f t="shared" si="275"/>
        <v>-5906.0288181357064</v>
      </c>
      <c r="AC732">
        <f t="shared" si="276"/>
        <v>-19917.226024976644</v>
      </c>
      <c r="AW732">
        <v>725</v>
      </c>
      <c r="AX732">
        <f t="shared" si="266"/>
        <v>362.5</v>
      </c>
      <c r="AZ732">
        <f t="shared" si="267"/>
        <v>15767.216595392409</v>
      </c>
      <c r="BB732">
        <f t="shared" si="268"/>
        <v>-176883.88465883621</v>
      </c>
      <c r="BD732">
        <f t="shared" si="269"/>
        <v>987.92548881906248</v>
      </c>
      <c r="BF732">
        <f t="shared" si="270"/>
        <v>-2562.0732960009359</v>
      </c>
      <c r="BH732">
        <f t="shared" si="255"/>
        <v>-3.065931725470378</v>
      </c>
      <c r="BJ732">
        <f t="shared" si="256"/>
        <v>39.570836111013023</v>
      </c>
      <c r="BN732" s="20">
        <f t="shared" si="257"/>
        <v>0.35172257071301816</v>
      </c>
      <c r="BP732">
        <f t="shared" si="258"/>
        <v>15.32135422749578</v>
      </c>
      <c r="BR732">
        <f t="shared" si="259"/>
        <v>-0.93056378155344055</v>
      </c>
      <c r="BT732">
        <f t="shared" si="260"/>
        <v>4.8622003883278593</v>
      </c>
      <c r="BV732">
        <f t="shared" si="261"/>
        <v>-2.4870905146299553</v>
      </c>
      <c r="BX732">
        <f t="shared" si="262"/>
        <v>19.387281495189388</v>
      </c>
      <c r="CB732">
        <f t="shared" si="263"/>
        <v>184432.46291592307</v>
      </c>
      <c r="CD732">
        <f t="shared" si="264"/>
        <v>190275.80016428497</v>
      </c>
      <c r="CF732">
        <f t="shared" si="265"/>
        <v>163210.50639390628</v>
      </c>
    </row>
    <row r="733" spans="12:84" x14ac:dyDescent="0.25">
      <c r="L733">
        <v>722</v>
      </c>
      <c r="M733">
        <f t="shared" si="277"/>
        <v>4.5364597917836571</v>
      </c>
      <c r="P733">
        <f t="shared" si="271"/>
        <v>19124.884705123597</v>
      </c>
      <c r="Q733">
        <f t="shared" si="272"/>
        <v>2577.1783273539768</v>
      </c>
      <c r="V733">
        <f t="shared" si="273"/>
        <v>-20612.580706413482</v>
      </c>
      <c r="W733">
        <f t="shared" si="274"/>
        <v>6554.0248291477837</v>
      </c>
      <c r="AB733">
        <f t="shared" si="275"/>
        <v>-5875.1152948764011</v>
      </c>
      <c r="AC733">
        <f t="shared" si="276"/>
        <v>-19922.821672646023</v>
      </c>
      <c r="AW733">
        <v>726</v>
      </c>
      <c r="AX733">
        <f t="shared" si="266"/>
        <v>363</v>
      </c>
      <c r="AZ733">
        <f t="shared" si="267"/>
        <v>16260.796098336255</v>
      </c>
      <c r="BB733">
        <f t="shared" si="268"/>
        <v>-178159.97495232281</v>
      </c>
      <c r="BD733">
        <f t="shared" si="269"/>
        <v>986.3925229563273</v>
      </c>
      <c r="BF733">
        <f t="shared" si="270"/>
        <v>-2542.2878779454295</v>
      </c>
      <c r="BH733">
        <f t="shared" si="255"/>
        <v>-3.1044996169722912</v>
      </c>
      <c r="BJ733">
        <f t="shared" si="256"/>
        <v>38.980407864888377</v>
      </c>
      <c r="BN733" s="20">
        <f t="shared" si="257"/>
        <v>0.30441939725036882</v>
      </c>
      <c r="BP733">
        <f t="shared" si="258"/>
        <v>15.115115183570756</v>
      </c>
      <c r="BR733">
        <f t="shared" si="259"/>
        <v>-0.92368668967650958</v>
      </c>
      <c r="BT733">
        <f t="shared" si="260"/>
        <v>4.7930791128245653</v>
      </c>
      <c r="BV733">
        <f t="shared" si="261"/>
        <v>-2.4852323245461503</v>
      </c>
      <c r="BX733">
        <f t="shared" si="262"/>
        <v>19.072213568493051</v>
      </c>
      <c r="CB733">
        <f t="shared" si="263"/>
        <v>185697.6250389739</v>
      </c>
      <c r="CD733">
        <f t="shared" si="264"/>
        <v>191622.07990663254</v>
      </c>
      <c r="CF733">
        <f t="shared" si="265"/>
        <v>164539.35358198549</v>
      </c>
    </row>
    <row r="734" spans="12:84" x14ac:dyDescent="0.25">
      <c r="L734">
        <v>723</v>
      </c>
      <c r="M734">
        <f t="shared" si="277"/>
        <v>4.5427429770908363</v>
      </c>
      <c r="P734">
        <f t="shared" si="271"/>
        <v>19155.832776436306</v>
      </c>
      <c r="Q734">
        <f t="shared" si="272"/>
        <v>2571.7770242550132</v>
      </c>
      <c r="V734">
        <f t="shared" si="273"/>
        <v>-20590.917056494585</v>
      </c>
      <c r="W734">
        <f t="shared" si="274"/>
        <v>6550.2439169785093</v>
      </c>
      <c r="AB734">
        <f t="shared" si="275"/>
        <v>-5844.1672235636925</v>
      </c>
      <c r="AC734">
        <f t="shared" si="276"/>
        <v>-19928.222975744986</v>
      </c>
      <c r="AW734">
        <v>727</v>
      </c>
      <c r="AX734">
        <f t="shared" si="266"/>
        <v>363.5</v>
      </c>
      <c r="AZ734">
        <f t="shared" si="267"/>
        <v>16753.604297362297</v>
      </c>
      <c r="BB734">
        <f t="shared" si="268"/>
        <v>-179426.24634031241</v>
      </c>
      <c r="BD734">
        <f t="shared" si="269"/>
        <v>984.84027314784112</v>
      </c>
      <c r="BF734">
        <f t="shared" si="270"/>
        <v>-2522.7976740129852</v>
      </c>
      <c r="BH734">
        <f t="shared" si="255"/>
        <v>-3.1407632942526877</v>
      </c>
      <c r="BJ734">
        <f t="shared" si="256"/>
        <v>38.406825068722029</v>
      </c>
      <c r="BN734" s="20">
        <f t="shared" si="257"/>
        <v>0.25901898892756681</v>
      </c>
      <c r="BP734">
        <f t="shared" si="258"/>
        <v>14.914216184968991</v>
      </c>
      <c r="BR734">
        <f t="shared" si="259"/>
        <v>-0.91694143639191195</v>
      </c>
      <c r="BT734">
        <f t="shared" si="260"/>
        <v>4.725870502504149</v>
      </c>
      <c r="BV734">
        <f t="shared" si="261"/>
        <v>-2.4828408467883425</v>
      </c>
      <c r="BX734">
        <f t="shared" si="262"/>
        <v>18.766738381248892</v>
      </c>
      <c r="CB734">
        <f t="shared" si="263"/>
        <v>186954.4347051903</v>
      </c>
      <c r="CD734">
        <f t="shared" si="264"/>
        <v>192958.88222993989</v>
      </c>
      <c r="CF734">
        <f t="shared" si="265"/>
        <v>165859.00574129619</v>
      </c>
    </row>
    <row r="735" spans="12:84" x14ac:dyDescent="0.25">
      <c r="L735">
        <v>724</v>
      </c>
      <c r="M735">
        <f t="shared" si="277"/>
        <v>4.5490261623980155</v>
      </c>
      <c r="P735">
        <f t="shared" si="271"/>
        <v>19186.814174025556</v>
      </c>
      <c r="Q735">
        <f t="shared" si="272"/>
        <v>2566.5702789606639</v>
      </c>
      <c r="V735">
        <f t="shared" si="273"/>
        <v>-20569.23007818211</v>
      </c>
      <c r="W735">
        <f t="shared" si="274"/>
        <v>6546.5991952724644</v>
      </c>
      <c r="AB735">
        <f t="shared" si="275"/>
        <v>-5813.1858259744431</v>
      </c>
      <c r="AC735">
        <f t="shared" si="276"/>
        <v>-19933.429721039334</v>
      </c>
      <c r="AW735">
        <v>728</v>
      </c>
      <c r="AX735">
        <f t="shared" si="266"/>
        <v>364</v>
      </c>
      <c r="AZ735">
        <f t="shared" si="267"/>
        <v>17245.631838524438</v>
      </c>
      <c r="BB735">
        <f t="shared" si="268"/>
        <v>-180682.84432418534</v>
      </c>
      <c r="BD735">
        <f t="shared" si="269"/>
        <v>983.26989150071472</v>
      </c>
      <c r="BF735">
        <f t="shared" si="270"/>
        <v>-2503.594261478624</v>
      </c>
      <c r="BH735">
        <f t="shared" si="255"/>
        <v>-3.1748546010837417</v>
      </c>
      <c r="BJ735">
        <f t="shared" si="256"/>
        <v>37.849406607598084</v>
      </c>
      <c r="BN735" s="20">
        <f t="shared" si="257"/>
        <v>0.21542911665095243</v>
      </c>
      <c r="BP735">
        <f t="shared" si="258"/>
        <v>14.718462291513323</v>
      </c>
      <c r="BR735">
        <f t="shared" si="259"/>
        <v>-0.91032433588066375</v>
      </c>
      <c r="BT735">
        <f t="shared" si="260"/>
        <v>4.6604990989495549</v>
      </c>
      <c r="BV735">
        <f t="shared" si="261"/>
        <v>-2.4799593818540306</v>
      </c>
      <c r="BX735">
        <f t="shared" si="262"/>
        <v>18.470445217135204</v>
      </c>
      <c r="CB735">
        <f t="shared" si="263"/>
        <v>188203.00061877209</v>
      </c>
      <c r="CD735">
        <f t="shared" si="264"/>
        <v>194286.34591914175</v>
      </c>
      <c r="CF735">
        <f t="shared" si="265"/>
        <v>167169.59364444064</v>
      </c>
    </row>
    <row r="736" spans="12:84" x14ac:dyDescent="0.25">
      <c r="L736">
        <v>725</v>
      </c>
      <c r="M736">
        <f t="shared" si="277"/>
        <v>4.5553093477051947</v>
      </c>
      <c r="P736">
        <f t="shared" si="271"/>
        <v>19217.82767479882</v>
      </c>
      <c r="Q736">
        <f t="shared" si="272"/>
        <v>2561.5582970243158</v>
      </c>
      <c r="V736">
        <f t="shared" si="273"/>
        <v>-20547.520627640828</v>
      </c>
      <c r="W736">
        <f t="shared" si="274"/>
        <v>6543.0908079170204</v>
      </c>
      <c r="AB736">
        <f t="shared" si="275"/>
        <v>-5782.1723252011816</v>
      </c>
      <c r="AC736">
        <f t="shared" si="276"/>
        <v>-19938.441702975684</v>
      </c>
      <c r="AW736">
        <v>729</v>
      </c>
      <c r="AX736">
        <f t="shared" si="266"/>
        <v>364.5</v>
      </c>
      <c r="AZ736">
        <f t="shared" si="267"/>
        <v>17736.869927449658</v>
      </c>
      <c r="BB736">
        <f t="shared" si="268"/>
        <v>-181929.91027909869</v>
      </c>
      <c r="BD736">
        <f t="shared" si="269"/>
        <v>981.68246420017283</v>
      </c>
      <c r="BF736">
        <f t="shared" si="270"/>
        <v>-2484.6695581748249</v>
      </c>
      <c r="BH736">
        <f t="shared" si="255"/>
        <v>-3.2068968725913845</v>
      </c>
      <c r="BJ736">
        <f t="shared" si="256"/>
        <v>37.307506899012722</v>
      </c>
      <c r="BN736" s="20">
        <f t="shared" si="257"/>
        <v>0.17356288472388914</v>
      </c>
      <c r="BP736">
        <f t="shared" si="258"/>
        <v>14.527667711108334</v>
      </c>
      <c r="BR736">
        <f t="shared" si="259"/>
        <v>-0.90383184263691996</v>
      </c>
      <c r="BT736">
        <f t="shared" si="260"/>
        <v>4.5968932982041872</v>
      </c>
      <c r="BV736">
        <f t="shared" si="261"/>
        <v>-2.4766279146783536</v>
      </c>
      <c r="BX736">
        <f t="shared" si="262"/>
        <v>18.1829458897002</v>
      </c>
      <c r="CB736">
        <f t="shared" si="263"/>
        <v>189443.42866954414</v>
      </c>
      <c r="CD736">
        <f t="shared" si="264"/>
        <v>195604.60580381058</v>
      </c>
      <c r="CF736">
        <f t="shared" si="265"/>
        <v>168471.24443027572</v>
      </c>
    </row>
    <row r="737" spans="12:84" x14ac:dyDescent="0.25">
      <c r="L737">
        <v>726</v>
      </c>
      <c r="M737">
        <f t="shared" si="277"/>
        <v>4.5615925330123739</v>
      </c>
      <c r="P737">
        <f t="shared" si="271"/>
        <v>19248.872054396186</v>
      </c>
      <c r="Q737">
        <f t="shared" si="272"/>
        <v>2556.7412763104339</v>
      </c>
      <c r="V737">
        <f t="shared" si="273"/>
        <v>-20525.789561922669</v>
      </c>
      <c r="W737">
        <f t="shared" si="274"/>
        <v>6539.7188934173046</v>
      </c>
      <c r="AB737">
        <f t="shared" si="275"/>
        <v>-5751.1279456038146</v>
      </c>
      <c r="AC737">
        <f t="shared" si="276"/>
        <v>-19943.258723689567</v>
      </c>
      <c r="AW737">
        <v>730</v>
      </c>
      <c r="AX737">
        <f t="shared" si="266"/>
        <v>365</v>
      </c>
      <c r="AZ737">
        <f t="shared" si="267"/>
        <v>18227.310297440672</v>
      </c>
      <c r="BB737">
        <f t="shared" si="268"/>
        <v>-183167.58161982373</v>
      </c>
      <c r="BD737">
        <f t="shared" si="269"/>
        <v>980.07901576387712</v>
      </c>
      <c r="BF737">
        <f t="shared" si="270"/>
        <v>-2466.0158047253185</v>
      </c>
      <c r="BH737">
        <f t="shared" si="255"/>
        <v>-3.2370055644416871</v>
      </c>
      <c r="BJ737">
        <f t="shared" si="256"/>
        <v>36.780513632673404</v>
      </c>
      <c r="BN737" s="20">
        <f t="shared" si="257"/>
        <v>0.13333837044256633</v>
      </c>
      <c r="BP737">
        <f t="shared" si="258"/>
        <v>14.341655278251636</v>
      </c>
      <c r="BR737">
        <f t="shared" si="259"/>
        <v>-0.89746054461876823</v>
      </c>
      <c r="BT737">
        <f t="shared" si="260"/>
        <v>4.5349851102347607</v>
      </c>
      <c r="BV737">
        <f t="shared" si="261"/>
        <v>-2.4728833902654852</v>
      </c>
      <c r="BX737">
        <f t="shared" si="262"/>
        <v>17.903873244187007</v>
      </c>
      <c r="CB737">
        <f t="shared" si="263"/>
        <v>190675.82203712591</v>
      </c>
      <c r="CD737">
        <f t="shared" si="264"/>
        <v>196913.79291819068</v>
      </c>
      <c r="CF737">
        <f t="shared" si="265"/>
        <v>169764.0817473286</v>
      </c>
    </row>
    <row r="738" spans="12:84" x14ac:dyDescent="0.25">
      <c r="L738">
        <v>727</v>
      </c>
      <c r="M738">
        <f t="shared" si="277"/>
        <v>4.5678757183195531</v>
      </c>
      <c r="P738">
        <f t="shared" si="271"/>
        <v>19279.946087238706</v>
      </c>
      <c r="Q738">
        <f t="shared" si="272"/>
        <v>2552.1194069867497</v>
      </c>
      <c r="V738">
        <f t="shared" si="273"/>
        <v>-20504.037738932904</v>
      </c>
      <c r="W738">
        <f t="shared" si="274"/>
        <v>6536.4835848907242</v>
      </c>
      <c r="AB738">
        <f t="shared" si="275"/>
        <v>-5720.0539127612919</v>
      </c>
      <c r="AC738">
        <f t="shared" si="276"/>
        <v>-19947.880593013251</v>
      </c>
      <c r="AW738">
        <v>731</v>
      </c>
      <c r="AX738">
        <f t="shared" si="266"/>
        <v>365.5</v>
      </c>
      <c r="AZ738">
        <f t="shared" si="267"/>
        <v>18716.945179627055</v>
      </c>
      <c r="BB738">
        <f t="shared" si="268"/>
        <v>-184395.9919579823</v>
      </c>
      <c r="BD738">
        <f t="shared" si="269"/>
        <v>978.46051298165628</v>
      </c>
      <c r="BF738">
        <f t="shared" si="270"/>
        <v>-2447.6255479089818</v>
      </c>
      <c r="BH738">
        <f t="shared" si="255"/>
        <v>-3.2652888292313209</v>
      </c>
      <c r="BJ738">
        <f t="shared" si="256"/>
        <v>36.267845679363511</v>
      </c>
      <c r="BN738" s="20">
        <f t="shared" si="257"/>
        <v>9.4678291564513614E-2</v>
      </c>
      <c r="BP738">
        <f t="shared" si="258"/>
        <v>14.160255967378239</v>
      </c>
      <c r="BR738">
        <f t="shared" si="259"/>
        <v>-0.89120715681646423</v>
      </c>
      <c r="BT738">
        <f t="shared" si="260"/>
        <v>4.4747099360657376</v>
      </c>
      <c r="BV738">
        <f t="shared" si="261"/>
        <v>-2.4687599639793705</v>
      </c>
      <c r="BX738">
        <f t="shared" si="262"/>
        <v>17.632879775919534</v>
      </c>
      <c r="CB738">
        <f t="shared" si="263"/>
        <v>191900.28129007548</v>
      </c>
      <c r="CD738">
        <f t="shared" si="264"/>
        <v>198214.03465287256</v>
      </c>
      <c r="CF738">
        <f t="shared" si="265"/>
        <v>171048.22588989994</v>
      </c>
    </row>
    <row r="739" spans="12:84" x14ac:dyDescent="0.25">
      <c r="L739">
        <v>728</v>
      </c>
      <c r="M739">
        <f t="shared" si="277"/>
        <v>4.5741589036267323</v>
      </c>
      <c r="P739">
        <f t="shared" si="271"/>
        <v>19311.048546576778</v>
      </c>
      <c r="Q739">
        <f t="shared" si="272"/>
        <v>2547.6928715167487</v>
      </c>
      <c r="V739">
        <f t="shared" si="273"/>
        <v>-20482.266017396258</v>
      </c>
      <c r="W739">
        <f t="shared" si="274"/>
        <v>6533.3850100617237</v>
      </c>
      <c r="AB739">
        <f t="shared" si="275"/>
        <v>-5688.951453423223</v>
      </c>
      <c r="AC739">
        <f t="shared" si="276"/>
        <v>-19952.307128483251</v>
      </c>
      <c r="AW739">
        <v>732</v>
      </c>
      <c r="AX739">
        <f t="shared" si="266"/>
        <v>366</v>
      </c>
      <c r="AZ739">
        <f t="shared" si="267"/>
        <v>19205.76727501423</v>
      </c>
      <c r="BB739">
        <f t="shared" si="268"/>
        <v>-185615.27125122689</v>
      </c>
      <c r="BD739">
        <f t="shared" si="269"/>
        <v>976.82786856704058</v>
      </c>
      <c r="BF739">
        <f t="shared" si="270"/>
        <v>-2429.4916250693</v>
      </c>
      <c r="BH739">
        <f t="shared" si="255"/>
        <v>-3.2918480450468888</v>
      </c>
      <c r="BJ739">
        <f t="shared" si="256"/>
        <v>35.768951154375884</v>
      </c>
      <c r="BN739" s="20">
        <f t="shared" si="257"/>
        <v>5.7509699224579006E-2</v>
      </c>
      <c r="BP739">
        <f t="shared" si="258"/>
        <v>13.983308438379987</v>
      </c>
      <c r="BR739">
        <f t="shared" si="259"/>
        <v>-0.88506851520687102</v>
      </c>
      <c r="BT739">
        <f t="shared" si="260"/>
        <v>4.4160063610960121</v>
      </c>
      <c r="BV739">
        <f t="shared" si="261"/>
        <v>-2.464289229064597</v>
      </c>
      <c r="BX739">
        <f t="shared" si="262"/>
        <v>17.369636354899882</v>
      </c>
      <c r="CB739">
        <f t="shared" si="263"/>
        <v>193116.90448030792</v>
      </c>
      <c r="CD739">
        <f t="shared" si="264"/>
        <v>199505.45489864092</v>
      </c>
      <c r="CF739">
        <f t="shared" si="265"/>
        <v>172323.79392730966</v>
      </c>
    </row>
    <row r="740" spans="12:84" x14ac:dyDescent="0.25">
      <c r="L740">
        <v>729</v>
      </c>
      <c r="M740">
        <f t="shared" si="277"/>
        <v>4.5804420889339115</v>
      </c>
      <c r="P740">
        <f t="shared" si="271"/>
        <v>19342.178204538552</v>
      </c>
      <c r="Q740">
        <f t="shared" si="272"/>
        <v>2543.4618446524719</v>
      </c>
      <c r="V740">
        <f t="shared" si="273"/>
        <v>-20460.475256823014</v>
      </c>
      <c r="W740">
        <f t="shared" si="274"/>
        <v>6530.4232912567304</v>
      </c>
      <c r="AB740">
        <f t="shared" si="275"/>
        <v>-5657.8217954614474</v>
      </c>
      <c r="AC740">
        <f t="shared" si="276"/>
        <v>-19956.538155347527</v>
      </c>
      <c r="AW740">
        <v>733</v>
      </c>
      <c r="AX740">
        <f t="shared" si="266"/>
        <v>366.5</v>
      </c>
      <c r="AZ740">
        <f t="shared" si="267"/>
        <v>19693.769728292118</v>
      </c>
      <c r="BB740">
        <f t="shared" si="268"/>
        <v>-186825.54594486725</v>
      </c>
      <c r="BD740">
        <f t="shared" si="269"/>
        <v>975.18194454451714</v>
      </c>
      <c r="BF740">
        <f t="shared" si="270"/>
        <v>-2411.6071494921121</v>
      </c>
      <c r="BH740">
        <f t="shared" si="255"/>
        <v>-3.3167783006408089</v>
      </c>
      <c r="BJ740">
        <f t="shared" si="256"/>
        <v>35.283305622417579</v>
      </c>
      <c r="BN740" s="20">
        <f t="shared" si="257"/>
        <v>2.1763694107298091E-2</v>
      </c>
      <c r="BP740">
        <f t="shared" si="258"/>
        <v>13.810658611870137</v>
      </c>
      <c r="BR740">
        <f t="shared" si="259"/>
        <v>-0.87904157106563541</v>
      </c>
      <c r="BT740">
        <f t="shared" si="260"/>
        <v>4.3588159632494516</v>
      </c>
      <c r="BV740">
        <f t="shared" si="261"/>
        <v>-2.4595004236824716</v>
      </c>
      <c r="BX740">
        <f t="shared" si="262"/>
        <v>17.113831047297992</v>
      </c>
      <c r="CB740">
        <f t="shared" si="263"/>
        <v>194325.78723306389</v>
      </c>
      <c r="CD740">
        <f t="shared" si="264"/>
        <v>200788.17418298748</v>
      </c>
      <c r="CF740">
        <f t="shared" si="265"/>
        <v>173590.89982670636</v>
      </c>
    </row>
    <row r="741" spans="12:84" x14ac:dyDescent="0.25">
      <c r="L741">
        <v>730</v>
      </c>
      <c r="M741">
        <f t="shared" si="277"/>
        <v>4.5867252742410907</v>
      </c>
      <c r="P741">
        <f t="shared" si="271"/>
        <v>19373.333832178443</v>
      </c>
      <c r="Q741">
        <f t="shared" si="272"/>
        <v>2539.4264934276152</v>
      </c>
      <c r="V741">
        <f t="shared" si="273"/>
        <v>-20438.66631747509</v>
      </c>
      <c r="W741">
        <f t="shared" si="274"/>
        <v>6527.5985453993308</v>
      </c>
      <c r="AB741">
        <f t="shared" si="275"/>
        <v>-5626.6661678215587</v>
      </c>
      <c r="AC741">
        <f t="shared" si="276"/>
        <v>-19960.573506572386</v>
      </c>
      <c r="AW741">
        <v>734</v>
      </c>
      <c r="AX741">
        <f t="shared" si="266"/>
        <v>367</v>
      </c>
      <c r="AZ741">
        <f t="shared" si="267"/>
        <v>20180.946103276794</v>
      </c>
      <c r="BB741">
        <f t="shared" si="268"/>
        <v>-188026.93910641051</v>
      </c>
      <c r="BD741">
        <f t="shared" si="269"/>
        <v>973.52355539419671</v>
      </c>
      <c r="BF741">
        <f t="shared" si="270"/>
        <v>-2393.9654966809035</v>
      </c>
      <c r="BH741">
        <f t="shared" si="255"/>
        <v>-3.3401688412129058</v>
      </c>
      <c r="BJ741">
        <f t="shared" si="256"/>
        <v>34.810410432131981</v>
      </c>
      <c r="BN741" s="20">
        <f t="shared" si="257"/>
        <v>-1.2624836106090161E-2</v>
      </c>
      <c r="BP741">
        <f t="shared" si="258"/>
        <v>13.642159271967499</v>
      </c>
      <c r="BR741">
        <f t="shared" si="259"/>
        <v>-0.87312338561131364</v>
      </c>
      <c r="BT741">
        <f t="shared" si="260"/>
        <v>4.3030831347381904</v>
      </c>
      <c r="BV741">
        <f t="shared" si="261"/>
        <v>-2.4544206194955023</v>
      </c>
      <c r="BX741">
        <f t="shared" si="262"/>
        <v>16.865168025426293</v>
      </c>
      <c r="CB741">
        <f t="shared" si="263"/>
        <v>195527.02283268742</v>
      </c>
      <c r="CD741">
        <f t="shared" si="264"/>
        <v>202062.30979974582</v>
      </c>
      <c r="CF741">
        <f t="shared" si="265"/>
        <v>174849.65456983214</v>
      </c>
    </row>
    <row r="742" spans="12:84" x14ac:dyDescent="0.25">
      <c r="L742">
        <v>731</v>
      </c>
      <c r="M742">
        <f t="shared" si="277"/>
        <v>4.5930084595482699</v>
      </c>
      <c r="P742">
        <f t="shared" si="271"/>
        <v>19404.514199525613</v>
      </c>
      <c r="Q742">
        <f t="shared" si="272"/>
        <v>2535.5869771509369</v>
      </c>
      <c r="V742">
        <f t="shared" si="273"/>
        <v>-20416.84006033207</v>
      </c>
      <c r="W742">
        <f t="shared" si="274"/>
        <v>6524.910884005656</v>
      </c>
      <c r="AB742">
        <f t="shared" si="275"/>
        <v>-5595.4858004743874</v>
      </c>
      <c r="AC742">
        <f t="shared" si="276"/>
        <v>-19964.413022849061</v>
      </c>
      <c r="AW742">
        <v>735</v>
      </c>
      <c r="AX742">
        <f t="shared" si="266"/>
        <v>367.5</v>
      </c>
      <c r="AZ742">
        <f t="shared" si="267"/>
        <v>20667.290359868741</v>
      </c>
      <c r="BB742">
        <f t="shared" si="268"/>
        <v>-189219.57055344697</v>
      </c>
      <c r="BD742">
        <f t="shared" si="269"/>
        <v>971.85347097359022</v>
      </c>
      <c r="BF742">
        <f t="shared" si="270"/>
        <v>-2376.5602914648375</v>
      </c>
      <c r="BH742">
        <f t="shared" si="255"/>
        <v>-3.3621034783815777</v>
      </c>
      <c r="BJ742">
        <f t="shared" si="256"/>
        <v>34.349791169508698</v>
      </c>
      <c r="BN742" s="20">
        <f t="shared" si="257"/>
        <v>-4.5717459810293883E-2</v>
      </c>
      <c r="BP742">
        <f t="shared" si="258"/>
        <v>13.477669694560779</v>
      </c>
      <c r="BR742">
        <f t="shared" si="259"/>
        <v>-0.86731112495773821</v>
      </c>
      <c r="BT742">
        <f t="shared" si="260"/>
        <v>4.2487549163298937</v>
      </c>
      <c r="BV742">
        <f t="shared" si="261"/>
        <v>-2.4490748936135458</v>
      </c>
      <c r="BX742">
        <f t="shared" si="262"/>
        <v>16.623366558618024</v>
      </c>
      <c r="CB742">
        <f t="shared" si="263"/>
        <v>196720.7023044524</v>
      </c>
      <c r="CD742">
        <f t="shared" si="264"/>
        <v>203327.97593226988</v>
      </c>
      <c r="CF742">
        <f t="shared" si="265"/>
        <v>176100.16626410466</v>
      </c>
    </row>
    <row r="743" spans="12:84" x14ac:dyDescent="0.25">
      <c r="L743">
        <v>732</v>
      </c>
      <c r="M743">
        <f t="shared" si="277"/>
        <v>4.5992916448554491</v>
      </c>
      <c r="P743">
        <f t="shared" si="271"/>
        <v>19435.718075632551</v>
      </c>
      <c r="Q743">
        <f t="shared" si="272"/>
        <v>2531.9434473999627</v>
      </c>
      <c r="V743">
        <f t="shared" si="273"/>
        <v>-20394.997347057215</v>
      </c>
      <c r="W743">
        <f t="shared" si="274"/>
        <v>6522.3604131799739</v>
      </c>
      <c r="AB743">
        <f t="shared" si="275"/>
        <v>-5564.2819243674494</v>
      </c>
      <c r="AC743">
        <f t="shared" si="276"/>
        <v>-19968.056552600036</v>
      </c>
      <c r="AW743">
        <v>736</v>
      </c>
      <c r="AX743">
        <f t="shared" si="266"/>
        <v>368</v>
      </c>
      <c r="AZ743">
        <f t="shared" si="267"/>
        <v>21152.79683242074</v>
      </c>
      <c r="BB743">
        <f t="shared" si="268"/>
        <v>-190403.55697528322</v>
      </c>
      <c r="BD743">
        <f t="shared" si="269"/>
        <v>970.1724192343994</v>
      </c>
      <c r="BF743">
        <f t="shared" si="270"/>
        <v>-2359.3853958800833</v>
      </c>
      <c r="BH743">
        <f t="shared" si="255"/>
        <v>-3.3826609675659749</v>
      </c>
      <c r="BJ743">
        <f t="shared" si="256"/>
        <v>33.900996220445677</v>
      </c>
      <c r="BN743" s="20">
        <f t="shared" si="257"/>
        <v>-7.7572426694647298E-2</v>
      </c>
      <c r="BP743">
        <f t="shared" si="258"/>
        <v>13.317055299187448</v>
      </c>
      <c r="BR743">
        <f t="shared" si="259"/>
        <v>-0.8616020553531043</v>
      </c>
      <c r="BT743">
        <f t="shared" si="260"/>
        <v>4.1957808431126278</v>
      </c>
      <c r="BV743">
        <f t="shared" si="261"/>
        <v>-2.4434864855182234</v>
      </c>
      <c r="BX743">
        <f t="shared" si="262"/>
        <v>16.388160078145599</v>
      </c>
      <c r="CB743">
        <f t="shared" si="263"/>
        <v>197906.91449266247</v>
      </c>
      <c r="CD743">
        <f t="shared" si="264"/>
        <v>204585.28377054908</v>
      </c>
      <c r="CF743">
        <f t="shared" si="265"/>
        <v>177342.54024835469</v>
      </c>
    </row>
    <row r="744" spans="12:84" x14ac:dyDescent="0.25">
      <c r="L744">
        <v>733</v>
      </c>
      <c r="M744">
        <f t="shared" si="277"/>
        <v>4.6055748301626283</v>
      </c>
      <c r="P744">
        <f t="shared" si="271"/>
        <v>19466.944228623659</v>
      </c>
      <c r="Q744">
        <f t="shared" si="272"/>
        <v>2528.4960480150103</v>
      </c>
      <c r="V744">
        <f t="shared" si="273"/>
        <v>-20373.13903996344</v>
      </c>
      <c r="W744">
        <f t="shared" si="274"/>
        <v>6519.9472336105073</v>
      </c>
      <c r="AB744">
        <f t="shared" si="275"/>
        <v>-5533.0557713763428</v>
      </c>
      <c r="AC744">
        <f t="shared" si="276"/>
        <v>-19971.503951984989</v>
      </c>
      <c r="AW744">
        <v>737</v>
      </c>
      <c r="AX744">
        <f t="shared" si="266"/>
        <v>368.5</v>
      </c>
      <c r="AZ744">
        <f t="shared" si="267"/>
        <v>21637.460209416993</v>
      </c>
      <c r="BB744">
        <f t="shared" si="268"/>
        <v>-191579.0120486957</v>
      </c>
      <c r="BD744">
        <f t="shared" si="269"/>
        <v>968.48108875061644</v>
      </c>
      <c r="BF744">
        <f t="shared" si="270"/>
        <v>-2342.4348977698605</v>
      </c>
      <c r="BH744">
        <f t="shared" si="255"/>
        <v>-3.4019153556810693</v>
      </c>
      <c r="BJ744">
        <f t="shared" si="256"/>
        <v>33.463595433629052</v>
      </c>
      <c r="BN744" s="20">
        <f t="shared" si="257"/>
        <v>-0.10824487658348453</v>
      </c>
      <c r="BP744">
        <f t="shared" si="258"/>
        <v>13.160187322808639</v>
      </c>
      <c r="BR744">
        <f t="shared" si="259"/>
        <v>-0.85599353868587413</v>
      </c>
      <c r="BT744">
        <f t="shared" si="260"/>
        <v>4.144112800841306</v>
      </c>
      <c r="BV744">
        <f t="shared" si="261"/>
        <v>-2.4376769404117109</v>
      </c>
      <c r="BX744">
        <f t="shared" si="262"/>
        <v>16.159295309979111</v>
      </c>
      <c r="CB744">
        <f t="shared" si="263"/>
        <v>199085.74613523227</v>
      </c>
      <c r="CD744">
        <f t="shared" si="264"/>
        <v>205834.34162262376</v>
      </c>
      <c r="CF744">
        <f t="shared" si="265"/>
        <v>178576.87919353304</v>
      </c>
    </row>
    <row r="745" spans="12:84" x14ac:dyDescent="0.25">
      <c r="L745">
        <v>734</v>
      </c>
      <c r="M745">
        <f t="shared" si="277"/>
        <v>4.6118580154698074</v>
      </c>
      <c r="P745">
        <f t="shared" si="271"/>
        <v>19498.19142574388</v>
      </c>
      <c r="Q745">
        <f t="shared" si="272"/>
        <v>2525.2449150935036</v>
      </c>
      <c r="V745">
        <f t="shared" si="273"/>
        <v>-20351.266001979282</v>
      </c>
      <c r="W745">
        <f t="shared" si="274"/>
        <v>6517.6714405654529</v>
      </c>
      <c r="AB745">
        <f t="shared" si="275"/>
        <v>-5501.8085742561198</v>
      </c>
      <c r="AC745">
        <f t="shared" si="276"/>
        <v>-19974.755084906497</v>
      </c>
      <c r="AW745">
        <v>738</v>
      </c>
      <c r="AX745">
        <f t="shared" si="266"/>
        <v>369</v>
      </c>
      <c r="AZ745">
        <f t="shared" si="267"/>
        <v>22121.275514372843</v>
      </c>
      <c r="BB745">
        <f t="shared" si="268"/>
        <v>-192746.04654815144</v>
      </c>
      <c r="BD745">
        <f t="shared" si="269"/>
        <v>966.78013107277593</v>
      </c>
      <c r="BF745">
        <f t="shared" si="270"/>
        <v>-2325.703100053046</v>
      </c>
      <c r="BH745">
        <f t="shared" si="255"/>
        <v>-3.4199363017601323</v>
      </c>
      <c r="BJ745">
        <f t="shared" si="256"/>
        <v>33.037178875697208</v>
      </c>
      <c r="BN745" s="20">
        <f t="shared" si="257"/>
        <v>-0.13778703323848732</v>
      </c>
      <c r="BP745">
        <f t="shared" si="258"/>
        <v>13.006942513906882</v>
      </c>
      <c r="BR745">
        <f t="shared" si="259"/>
        <v>-0.85048302823944411</v>
      </c>
      <c r="BT745">
        <f t="shared" si="260"/>
        <v>4.0937048920327435</v>
      </c>
      <c r="BV745">
        <f t="shared" si="261"/>
        <v>-2.4316662402822007</v>
      </c>
      <c r="BX745">
        <f t="shared" si="262"/>
        <v>15.936531469757579</v>
      </c>
      <c r="CB745">
        <f t="shared" si="263"/>
        <v>200257.28193494567</v>
      </c>
      <c r="CD745">
        <f t="shared" si="264"/>
        <v>207075.25502063951</v>
      </c>
      <c r="CF745">
        <f t="shared" si="265"/>
        <v>179803.28319867837</v>
      </c>
    </row>
    <row r="746" spans="12:84" x14ac:dyDescent="0.25">
      <c r="L746">
        <v>735</v>
      </c>
      <c r="M746">
        <f t="shared" si="277"/>
        <v>4.6181412007769866</v>
      </c>
      <c r="P746">
        <f t="shared" si="271"/>
        <v>19529.458433407381</v>
      </c>
      <c r="Q746">
        <f t="shared" si="272"/>
        <v>2522.1901769846045</v>
      </c>
      <c r="V746">
        <f t="shared" si="273"/>
        <v>-20329.379096614834</v>
      </c>
      <c r="W746">
        <f t="shared" si="274"/>
        <v>6515.5331238892231</v>
      </c>
      <c r="AB746">
        <f t="shared" si="275"/>
        <v>-5470.5415665926184</v>
      </c>
      <c r="AC746">
        <f t="shared" si="276"/>
        <v>-19977.809823015396</v>
      </c>
      <c r="AW746">
        <v>739</v>
      </c>
      <c r="AX746">
        <f t="shared" si="266"/>
        <v>369.5</v>
      </c>
      <c r="AZ746">
        <f t="shared" si="267"/>
        <v>22604.238087871508</v>
      </c>
      <c r="BB746">
        <f t="shared" si="268"/>
        <v>-193904.76845081852</v>
      </c>
      <c r="BD746">
        <f t="shared" si="269"/>
        <v>965.07016292189587</v>
      </c>
      <c r="BF746">
        <f t="shared" si="270"/>
        <v>-2309.1845106151973</v>
      </c>
      <c r="BH746">
        <f t="shared" si="255"/>
        <v>-3.4367893728652144</v>
      </c>
      <c r="BJ746">
        <f t="shared" si="256"/>
        <v>32.621355671385558</v>
      </c>
      <c r="BN746" s="20">
        <f t="shared" si="257"/>
        <v>-0.16624838434155395</v>
      </c>
      <c r="BP746">
        <f t="shared" si="258"/>
        <v>12.857202845458652</v>
      </c>
      <c r="BR746">
        <f t="shared" si="259"/>
        <v>-0.84506806467883389</v>
      </c>
      <c r="BT746">
        <f t="shared" si="260"/>
        <v>4.0445133110495135</v>
      </c>
      <c r="BV746">
        <f t="shared" si="261"/>
        <v>-2.4254729238448265</v>
      </c>
      <c r="BX746">
        <f t="shared" si="262"/>
        <v>15.719639514877391</v>
      </c>
      <c r="CB746">
        <f t="shared" si="263"/>
        <v>201421.60462757252</v>
      </c>
      <c r="CD746">
        <f t="shared" si="264"/>
        <v>208308.12682185485</v>
      </c>
      <c r="CF746">
        <f t="shared" si="265"/>
        <v>181021.84988241858</v>
      </c>
    </row>
    <row r="747" spans="12:84" x14ac:dyDescent="0.25">
      <c r="L747">
        <v>736</v>
      </c>
      <c r="M747">
        <f t="shared" si="277"/>
        <v>4.6244243860841658</v>
      </c>
      <c r="P747">
        <f t="shared" si="271"/>
        <v>19560.744017246234</v>
      </c>
      <c r="Q747">
        <f t="shared" si="272"/>
        <v>2519.3319542841418</v>
      </c>
      <c r="V747">
        <f t="shared" si="273"/>
        <v>-20307.479187927634</v>
      </c>
      <c r="W747">
        <f t="shared" si="274"/>
        <v>6513.5323679988996</v>
      </c>
      <c r="AB747">
        <f t="shared" si="275"/>
        <v>-5439.2559827537643</v>
      </c>
      <c r="AC747">
        <f t="shared" si="276"/>
        <v>-19980.668045715858</v>
      </c>
      <c r="AW747">
        <v>740</v>
      </c>
      <c r="AX747">
        <f t="shared" si="266"/>
        <v>370</v>
      </c>
      <c r="AZ747">
        <f t="shared" si="267"/>
        <v>23086.343570660847</v>
      </c>
      <c r="BB747">
        <f t="shared" si="268"/>
        <v>-195055.28303666718</v>
      </c>
      <c r="BD747">
        <f t="shared" si="269"/>
        <v>963.35176823546328</v>
      </c>
      <c r="BF747">
        <f t="shared" si="270"/>
        <v>-2292.8738327795045</v>
      </c>
      <c r="BH747">
        <f t="shared" si="255"/>
        <v>-3.4525363174172288</v>
      </c>
      <c r="BJ747">
        <f t="shared" si="256"/>
        <v>32.21575292199023</v>
      </c>
      <c r="BN747" s="20">
        <f t="shared" si="257"/>
        <v>-0.19367584876710847</v>
      </c>
      <c r="BP747">
        <f t="shared" si="258"/>
        <v>12.710855245447764</v>
      </c>
      <c r="BR747">
        <f t="shared" si="259"/>
        <v>-0.83974627225411136</v>
      </c>
      <c r="BT747">
        <f t="shared" si="260"/>
        <v>3.996496227479994</v>
      </c>
      <c r="BV747">
        <f t="shared" si="261"/>
        <v>-2.4191141963960088</v>
      </c>
      <c r="BX747">
        <f t="shared" si="262"/>
        <v>15.508401449062468</v>
      </c>
      <c r="CB747">
        <f t="shared" si="263"/>
        <v>202578.79504701501</v>
      </c>
      <c r="CD747">
        <f t="shared" si="264"/>
        <v>209533.05730489572</v>
      </c>
      <c r="CF747">
        <f t="shared" si="265"/>
        <v>182232.6744702594</v>
      </c>
    </row>
    <row r="748" spans="12:84" x14ac:dyDescent="0.25">
      <c r="L748">
        <v>737</v>
      </c>
      <c r="M748">
        <f t="shared" si="277"/>
        <v>4.630707571391345</v>
      </c>
      <c r="P748">
        <f t="shared" si="271"/>
        <v>19592.046942159162</v>
      </c>
      <c r="Q748">
        <f t="shared" si="272"/>
        <v>2516.6703598298545</v>
      </c>
      <c r="V748">
        <f t="shared" si="273"/>
        <v>-20285.567140488587</v>
      </c>
      <c r="W748">
        <f t="shared" si="274"/>
        <v>6511.6692518808977</v>
      </c>
      <c r="AB748">
        <f t="shared" si="275"/>
        <v>-5407.9530578408385</v>
      </c>
      <c r="AC748">
        <f t="shared" si="276"/>
        <v>-19983.329640170145</v>
      </c>
      <c r="AW748">
        <v>741</v>
      </c>
      <c r="AX748">
        <f t="shared" si="266"/>
        <v>370.5</v>
      </c>
      <c r="AZ748">
        <f t="shared" si="267"/>
        <v>23567.587887738904</v>
      </c>
      <c r="BB748">
        <f t="shared" si="268"/>
        <v>-196197.6929839417</v>
      </c>
      <c r="BD748">
        <f t="shared" si="269"/>
        <v>961.62550007675463</v>
      </c>
      <c r="BF748">
        <f t="shared" si="270"/>
        <v>-2276.7659563185093</v>
      </c>
      <c r="BH748">
        <f t="shared" si="255"/>
        <v>-3.4672353178748527</v>
      </c>
      <c r="BJ748">
        <f t="shared" si="256"/>
        <v>31.820014696088137</v>
      </c>
      <c r="BN748" s="20">
        <f t="shared" si="257"/>
        <v>-0.22011393215401209</v>
      </c>
      <c r="BP748">
        <f t="shared" si="258"/>
        <v>12.567791343695001</v>
      </c>
      <c r="BR748">
        <f t="shared" si="259"/>
        <v>-0.83451535520637432</v>
      </c>
      <c r="BT748">
        <f t="shared" si="260"/>
        <v>3.9496136771816923</v>
      </c>
      <c r="BV748">
        <f t="shared" si="261"/>
        <v>-2.4126060305144663</v>
      </c>
      <c r="BX748">
        <f t="shared" si="262"/>
        <v>15.302609675211441</v>
      </c>
      <c r="CB748">
        <f t="shared" si="263"/>
        <v>203728.9321876422</v>
      </c>
      <c r="CD748">
        <f t="shared" si="264"/>
        <v>210750.14426153005</v>
      </c>
      <c r="CF748">
        <f t="shared" si="265"/>
        <v>183435.8498778973</v>
      </c>
    </row>
    <row r="749" spans="12:84" x14ac:dyDescent="0.25">
      <c r="L749">
        <v>738</v>
      </c>
      <c r="M749">
        <f t="shared" si="277"/>
        <v>4.6369907566985242</v>
      </c>
      <c r="P749">
        <f t="shared" si="271"/>
        <v>19623.365972360283</v>
      </c>
      <c r="Q749">
        <f t="shared" si="272"/>
        <v>2514.2054986969342</v>
      </c>
      <c r="V749">
        <f t="shared" si="273"/>
        <v>-20263.643819347802</v>
      </c>
      <c r="W749">
        <f t="shared" si="274"/>
        <v>6509.9438490878538</v>
      </c>
      <c r="AB749">
        <f t="shared" si="275"/>
        <v>-5376.6340276397168</v>
      </c>
      <c r="AC749">
        <f t="shared" si="276"/>
        <v>-19985.794501303066</v>
      </c>
      <c r="AW749">
        <v>742</v>
      </c>
      <c r="AX749">
        <f t="shared" si="266"/>
        <v>371</v>
      </c>
      <c r="AZ749">
        <f t="shared" si="267"/>
        <v>24047.967233362549</v>
      </c>
      <c r="BB749">
        <f t="shared" si="268"/>
        <v>-197332.09846026395</v>
      </c>
      <c r="BD749">
        <f t="shared" si="269"/>
        <v>959.89188241781721</v>
      </c>
      <c r="BF749">
        <f t="shared" si="270"/>
        <v>-2260.8559489704653</v>
      </c>
      <c r="BH749">
        <f t="shared" si="255"/>
        <v>-3.4809412245079137</v>
      </c>
      <c r="BJ749">
        <f t="shared" si="256"/>
        <v>31.433801086969797</v>
      </c>
      <c r="BN749" s="20">
        <f t="shared" si="257"/>
        <v>-0.24560487169810416</v>
      </c>
      <c r="BP749">
        <f t="shared" si="258"/>
        <v>12.427907233872819</v>
      </c>
      <c r="BR749">
        <f t="shared" si="259"/>
        <v>-0.82937309436328643</v>
      </c>
      <c r="BT749">
        <f t="shared" si="260"/>
        <v>3.9038274604095928</v>
      </c>
      <c r="BV749">
        <f t="shared" si="261"/>
        <v>-2.4059632584465231</v>
      </c>
      <c r="BX749">
        <f t="shared" si="262"/>
        <v>15.102066392687387</v>
      </c>
      <c r="CB749">
        <f t="shared" si="263"/>
        <v>204872.09326396225</v>
      </c>
      <c r="CD749">
        <f t="shared" si="264"/>
        <v>211959.48308421581</v>
      </c>
      <c r="CF749">
        <f t="shared" si="265"/>
        <v>184631.46679077728</v>
      </c>
    </row>
    <row r="750" spans="12:84" x14ac:dyDescent="0.25">
      <c r="L750">
        <v>739</v>
      </c>
      <c r="M750">
        <f t="shared" si="277"/>
        <v>4.6432739420057034</v>
      </c>
      <c r="P750">
        <f t="shared" si="271"/>
        <v>19654.699871427918</v>
      </c>
      <c r="Q750">
        <f t="shared" si="272"/>
        <v>2511.937468193878</v>
      </c>
      <c r="V750">
        <f t="shared" si="273"/>
        <v>-20241.710090000459</v>
      </c>
      <c r="W750">
        <f t="shared" si="274"/>
        <v>6508.3562277357141</v>
      </c>
      <c r="AB750">
        <f t="shared" si="275"/>
        <v>-5345.3001285720838</v>
      </c>
      <c r="AC750">
        <f t="shared" si="276"/>
        <v>-19988.062531806121</v>
      </c>
      <c r="AW750">
        <v>743</v>
      </c>
      <c r="AX750">
        <f t="shared" si="266"/>
        <v>371.5</v>
      </c>
      <c r="AZ750">
        <f t="shared" si="267"/>
        <v>24527.478056918397</v>
      </c>
      <c r="BB750">
        <f t="shared" si="268"/>
        <v>-198458.5972096133</v>
      </c>
      <c r="BD750">
        <f t="shared" si="269"/>
        <v>958.15141180556327</v>
      </c>
      <c r="BF750">
        <f t="shared" si="270"/>
        <v>-2245.1390484269805</v>
      </c>
      <c r="BH750">
        <f t="shared" si="255"/>
        <v>-3.493705771848123</v>
      </c>
      <c r="BJ750">
        <f t="shared" si="256"/>
        <v>31.056787331723733</v>
      </c>
      <c r="BN750" s="20">
        <f t="shared" si="257"/>
        <v>-0.27018877100588246</v>
      </c>
      <c r="BP750">
        <f t="shared" si="258"/>
        <v>12.291103249661536</v>
      </c>
      <c r="BR750">
        <f t="shared" si="259"/>
        <v>-0.82431734391213651</v>
      </c>
      <c r="BT750">
        <f t="shared" si="260"/>
        <v>3.8591010465004221</v>
      </c>
      <c r="BV750">
        <f t="shared" si="261"/>
        <v>-2.399199656930104</v>
      </c>
      <c r="BX750">
        <f t="shared" si="262"/>
        <v>14.906583035561775</v>
      </c>
      <c r="CB750">
        <f t="shared" si="263"/>
        <v>206008.35376777226</v>
      </c>
      <c r="CD750">
        <f t="shared" si="264"/>
        <v>213161.16684966133</v>
      </c>
      <c r="CF750">
        <f t="shared" si="265"/>
        <v>185819.61374010259</v>
      </c>
    </row>
    <row r="751" spans="12:84" x14ac:dyDescent="0.25">
      <c r="L751">
        <v>740</v>
      </c>
      <c r="M751">
        <f t="shared" si="277"/>
        <v>4.6495571273128826</v>
      </c>
      <c r="P751">
        <f t="shared" si="271"/>
        <v>19686.047402353375</v>
      </c>
      <c r="Q751">
        <f t="shared" si="272"/>
        <v>2509.8663578586456</v>
      </c>
      <c r="V751">
        <f t="shared" si="273"/>
        <v>-20219.766818352637</v>
      </c>
      <c r="W751">
        <f t="shared" si="274"/>
        <v>6506.9064505010519</v>
      </c>
      <c r="AB751">
        <f t="shared" si="275"/>
        <v>-5313.9525976466239</v>
      </c>
      <c r="AC751">
        <f t="shared" si="276"/>
        <v>-19990.133642141354</v>
      </c>
      <c r="AW751">
        <v>744</v>
      </c>
      <c r="AX751">
        <f t="shared" si="266"/>
        <v>372</v>
      </c>
      <c r="AZ751">
        <f t="shared" si="267"/>
        <v>25006.117049599699</v>
      </c>
      <c r="BB751">
        <f t="shared" si="268"/>
        <v>-199577.28463541032</v>
      </c>
      <c r="BD751">
        <f t="shared" si="269"/>
        <v>956.40455891963916</v>
      </c>
      <c r="BF751">
        <f t="shared" si="270"/>
        <v>-2229.6106547611184</v>
      </c>
      <c r="BH751">
        <f t="shared" si="255"/>
        <v>-3.5055777792532212</v>
      </c>
      <c r="BJ751">
        <f t="shared" si="256"/>
        <v>30.688662987346337</v>
      </c>
      <c r="BN751" s="20">
        <f t="shared" si="257"/>
        <v>-0.29390372577713852</v>
      </c>
      <c r="BP751">
        <f t="shared" si="258"/>
        <v>12.157283754087743</v>
      </c>
      <c r="BR751">
        <f t="shared" si="259"/>
        <v>-0.81934602833925863</v>
      </c>
      <c r="BT751">
        <f t="shared" si="260"/>
        <v>3.8153994846279926</v>
      </c>
      <c r="BV751">
        <f t="shared" si="261"/>
        <v>-2.3923280251368242</v>
      </c>
      <c r="BX751">
        <f t="shared" si="262"/>
        <v>14.715979748630602</v>
      </c>
      <c r="CB751">
        <f t="shared" si="263"/>
        <v>207137.78752291683</v>
      </c>
      <c r="CD751">
        <f t="shared" si="264"/>
        <v>214355.28639861921</v>
      </c>
      <c r="CF751">
        <f t="shared" si="265"/>
        <v>187000.37717549011</v>
      </c>
    </row>
    <row r="752" spans="12:84" x14ac:dyDescent="0.25">
      <c r="L752">
        <v>741</v>
      </c>
      <c r="M752">
        <f t="shared" si="277"/>
        <v>4.6558403126200618</v>
      </c>
      <c r="P752">
        <f t="shared" si="271"/>
        <v>19717.407327589819</v>
      </c>
      <c r="Q752">
        <f t="shared" si="272"/>
        <v>2507.9922494551283</v>
      </c>
      <c r="V752">
        <f t="shared" si="273"/>
        <v>-20197.814870687125</v>
      </c>
      <c r="W752">
        <f t="shared" si="274"/>
        <v>6505.5945746185898</v>
      </c>
      <c r="AB752">
        <f t="shared" si="275"/>
        <v>-5282.592672410181</v>
      </c>
      <c r="AC752">
        <f t="shared" si="276"/>
        <v>-19992.007750544872</v>
      </c>
      <c r="AW752">
        <v>745</v>
      </c>
      <c r="AX752">
        <f t="shared" si="266"/>
        <v>372.5</v>
      </c>
      <c r="AZ752">
        <f t="shared" si="267"/>
        <v>25483.881131837112</v>
      </c>
      <c r="BB752">
        <f t="shared" si="268"/>
        <v>-200688.25387991747</v>
      </c>
      <c r="BD752">
        <f t="shared" si="269"/>
        <v>954.65177003001259</v>
      </c>
      <c r="BF752">
        <f t="shared" si="270"/>
        <v>-2214.2663232674454</v>
      </c>
      <c r="BH752">
        <f t="shared" si="255"/>
        <v>-3.516603336888946</v>
      </c>
      <c r="BJ752">
        <f t="shared" si="256"/>
        <v>30.329131159638067</v>
      </c>
      <c r="BN752" s="20">
        <f t="shared" si="257"/>
        <v>-0.31678594101841073</v>
      </c>
      <c r="BP752">
        <f t="shared" si="258"/>
        <v>12.026356941153407</v>
      </c>
      <c r="BR752">
        <f t="shared" si="259"/>
        <v>-0.81445713952556609</v>
      </c>
      <c r="BT752">
        <f t="shared" si="260"/>
        <v>3.7726893201856138</v>
      </c>
      <c r="BV752">
        <f t="shared" si="261"/>
        <v>-2.3853602563449692</v>
      </c>
      <c r="BX752">
        <f t="shared" si="262"/>
        <v>14.530084898299044</v>
      </c>
      <c r="CB752">
        <f t="shared" si="263"/>
        <v>208260.4667377779</v>
      </c>
      <c r="CD752">
        <f t="shared" si="264"/>
        <v>215541.93041212109</v>
      </c>
      <c r="CF752">
        <f t="shared" si="265"/>
        <v>188173.84153445097</v>
      </c>
    </row>
    <row r="753" spans="12:84" x14ac:dyDescent="0.25">
      <c r="L753">
        <v>742</v>
      </c>
      <c r="M753">
        <f t="shared" si="277"/>
        <v>4.662123497927241</v>
      </c>
      <c r="P753">
        <f t="shared" si="271"/>
        <v>19748.778409101091</v>
      </c>
      <c r="Q753">
        <f t="shared" si="272"/>
        <v>2506.3152169699151</v>
      </c>
      <c r="V753">
        <f t="shared" si="273"/>
        <v>-20175.855113629237</v>
      </c>
      <c r="W753">
        <f t="shared" si="274"/>
        <v>6504.4206518789406</v>
      </c>
      <c r="AB753">
        <f t="shared" si="275"/>
        <v>-5251.2215908989083</v>
      </c>
      <c r="AC753">
        <f t="shared" si="276"/>
        <v>-19993.684783030083</v>
      </c>
      <c r="AW753">
        <v>746</v>
      </c>
      <c r="AX753">
        <f t="shared" si="266"/>
        <v>373</v>
      </c>
      <c r="AZ753">
        <f t="shared" si="267"/>
        <v>25960.767441435004</v>
      </c>
      <c r="BB753">
        <f t="shared" si="268"/>
        <v>-201791.59590015622</v>
      </c>
      <c r="BD753">
        <f t="shared" si="269"/>
        <v>952.89346836156813</v>
      </c>
      <c r="BF753">
        <f t="shared" si="270"/>
        <v>-2199.1017576876266</v>
      </c>
      <c r="BH753">
        <f t="shared" si="255"/>
        <v>-3.5268259783141094</v>
      </c>
      <c r="BJ753">
        <f t="shared" si="256"/>
        <v>29.977907781002493</v>
      </c>
      <c r="BN753" s="20">
        <f t="shared" si="257"/>
        <v>-0.33886984042956891</v>
      </c>
      <c r="BP753">
        <f t="shared" si="258"/>
        <v>11.898234648936704</v>
      </c>
      <c r="BR753">
        <f t="shared" si="259"/>
        <v>-0.80964873398864246</v>
      </c>
      <c r="BT753">
        <f t="shared" si="260"/>
        <v>3.7309385163878743</v>
      </c>
      <c r="BV753">
        <f t="shared" si="261"/>
        <v>-2.378307403895898</v>
      </c>
      <c r="BX753">
        <f t="shared" si="262"/>
        <v>14.348734615677916</v>
      </c>
      <c r="CB753">
        <f t="shared" si="263"/>
        <v>209376.46205561206</v>
      </c>
      <c r="CD753">
        <f t="shared" si="264"/>
        <v>216721.18548434699</v>
      </c>
      <c r="CF753">
        <f t="shared" si="265"/>
        <v>189340.08930886738</v>
      </c>
    </row>
    <row r="754" spans="12:84" x14ac:dyDescent="0.25">
      <c r="L754">
        <v>743</v>
      </c>
      <c r="M754">
        <f t="shared" si="277"/>
        <v>4.6684066832344202</v>
      </c>
      <c r="P754">
        <f t="shared" si="271"/>
        <v>19780.159408410615</v>
      </c>
      <c r="Q754">
        <f t="shared" si="272"/>
        <v>2504.8353266093791</v>
      </c>
      <c r="V754">
        <f t="shared" si="273"/>
        <v>-20153.888414112571</v>
      </c>
      <c r="W754">
        <f t="shared" si="274"/>
        <v>6503.3847286265654</v>
      </c>
      <c r="AB754">
        <f t="shared" si="275"/>
        <v>-5219.8405915893873</v>
      </c>
      <c r="AC754">
        <f t="shared" si="276"/>
        <v>-19995.16467339062</v>
      </c>
      <c r="AW754">
        <v>747</v>
      </c>
      <c r="AX754">
        <f t="shared" si="266"/>
        <v>373.5</v>
      </c>
      <c r="AZ754">
        <f t="shared" si="267"/>
        <v>26436.773322368499</v>
      </c>
      <c r="BB754">
        <f t="shared" si="268"/>
        <v>-202887.3995405274</v>
      </c>
      <c r="BD754">
        <f t="shared" si="269"/>
        <v>951.13005537241111</v>
      </c>
      <c r="BF754">
        <f t="shared" si="270"/>
        <v>-2184.1128037971253</v>
      </c>
      <c r="BH754">
        <f t="shared" si="255"/>
        <v>-3.5362868407482817</v>
      </c>
      <c r="BJ754">
        <f t="shared" si="256"/>
        <v>29.634720933589193</v>
      </c>
      <c r="BN754" s="20">
        <f t="shared" si="257"/>
        <v>-0.36018816855168517</v>
      </c>
      <c r="BP754">
        <f t="shared" si="258"/>
        <v>11.772832183403697</v>
      </c>
      <c r="BR754">
        <f t="shared" si="259"/>
        <v>-0.8049189302624703</v>
      </c>
      <c r="BT754">
        <f t="shared" si="260"/>
        <v>3.6901163807171349</v>
      </c>
      <c r="BV754">
        <f t="shared" si="261"/>
        <v>-2.3711797419341263</v>
      </c>
      <c r="BX754">
        <f t="shared" si="262"/>
        <v>14.171772369468359</v>
      </c>
      <c r="CB754">
        <f t="shared" si="263"/>
        <v>210485.84260284362</v>
      </c>
      <c r="CD754">
        <f t="shared" si="264"/>
        <v>217893.13619231145</v>
      </c>
      <c r="CF754">
        <f t="shared" si="265"/>
        <v>190499.20110862344</v>
      </c>
    </row>
    <row r="755" spans="12:84" x14ac:dyDescent="0.25">
      <c r="L755">
        <v>744</v>
      </c>
      <c r="M755">
        <f t="shared" si="277"/>
        <v>4.6746898685415994</v>
      </c>
      <c r="P755">
        <f t="shared" si="271"/>
        <v>19811.549086650262</v>
      </c>
      <c r="Q755">
        <f t="shared" si="272"/>
        <v>2503.552636797056</v>
      </c>
      <c r="V755">
        <f t="shared" si="273"/>
        <v>-20131.915639344817</v>
      </c>
      <c r="W755">
        <f t="shared" si="274"/>
        <v>6502.4868457579396</v>
      </c>
      <c r="AB755">
        <f t="shared" si="275"/>
        <v>-5188.4509133497377</v>
      </c>
      <c r="AC755">
        <f t="shared" si="276"/>
        <v>-19996.447363202944</v>
      </c>
      <c r="AW755">
        <v>748</v>
      </c>
      <c r="AX755">
        <f t="shared" si="266"/>
        <v>374</v>
      </c>
      <c r="AZ755">
        <f t="shared" si="267"/>
        <v>26911.896314199614</v>
      </c>
      <c r="BB755">
        <f t="shared" si="268"/>
        <v>-203975.75160230926</v>
      </c>
      <c r="BD755">
        <f t="shared" si="269"/>
        <v>949.36191195203696</v>
      </c>
      <c r="BF755">
        <f t="shared" si="270"/>
        <v>-2169.2954433303307</v>
      </c>
      <c r="BH755">
        <f t="shared" si="255"/>
        <v>-3.545024814004857</v>
      </c>
      <c r="BJ755">
        <f t="shared" si="256"/>
        <v>29.299310214511632</v>
      </c>
      <c r="BN755" s="20">
        <f t="shared" si="257"/>
        <v>-0.38077208621531999</v>
      </c>
      <c r="BP755">
        <f t="shared" si="258"/>
        <v>11.650068152228734</v>
      </c>
      <c r="BR755">
        <f t="shared" si="259"/>
        <v>-0.80026590640673867</v>
      </c>
      <c r="BT755">
        <f t="shared" si="260"/>
        <v>3.6501934958714055</v>
      </c>
      <c r="BV755">
        <f t="shared" si="261"/>
        <v>-2.3639868213827984</v>
      </c>
      <c r="BX755">
        <f t="shared" si="262"/>
        <v>13.999048566411492</v>
      </c>
      <c r="CB755">
        <f t="shared" si="263"/>
        <v>211588.67603541512</v>
      </c>
      <c r="CD755">
        <f t="shared" si="264"/>
        <v>219057.86516253502</v>
      </c>
      <c r="CF755">
        <f t="shared" si="265"/>
        <v>191651.25572253868</v>
      </c>
    </row>
    <row r="756" spans="12:84" x14ac:dyDescent="0.25">
      <c r="L756">
        <v>745</v>
      </c>
      <c r="M756">
        <f t="shared" si="277"/>
        <v>4.6809730538487786</v>
      </c>
      <c r="P756">
        <f t="shared" si="271"/>
        <v>19842.946204609292</v>
      </c>
      <c r="Q756">
        <f t="shared" si="272"/>
        <v>2502.4671981713445</v>
      </c>
      <c r="V756">
        <f t="shared" si="273"/>
        <v>-20109.937656773494</v>
      </c>
      <c r="W756">
        <f t="shared" si="274"/>
        <v>6501.7270387199405</v>
      </c>
      <c r="AB756">
        <f t="shared" si="275"/>
        <v>-5157.0537953907078</v>
      </c>
      <c r="AC756">
        <f t="shared" si="276"/>
        <v>-19997.532801828656</v>
      </c>
      <c r="AW756">
        <v>749</v>
      </c>
      <c r="AX756">
        <f t="shared" si="266"/>
        <v>374.5</v>
      </c>
      <c r="AZ756">
        <f t="shared" si="267"/>
        <v>27386.134142073883</v>
      </c>
      <c r="BB756">
        <f t="shared" si="268"/>
        <v>-205056.73691019759</v>
      </c>
      <c r="BD756">
        <f t="shared" si="269"/>
        <v>947.58939954503455</v>
      </c>
      <c r="BF756">
        <f t="shared" si="270"/>
        <v>-2154.6457882230748</v>
      </c>
      <c r="BH756">
        <f t="shared" si="255"/>
        <v>-3.5530766789850903</v>
      </c>
      <c r="BJ756">
        <f t="shared" si="256"/>
        <v>28.971426140133467</v>
      </c>
      <c r="BN756" s="20">
        <f t="shared" si="257"/>
        <v>-0.40065125978370958</v>
      </c>
      <c r="BP756">
        <f t="shared" si="258"/>
        <v>11.529864307971206</v>
      </c>
      <c r="BR756">
        <f t="shared" si="259"/>
        <v>-0.79568789763784764</v>
      </c>
      <c r="BT756">
        <f t="shared" si="260"/>
        <v>3.6111416548959641</v>
      </c>
      <c r="BV756">
        <f t="shared" si="261"/>
        <v>-2.3567375215635331</v>
      </c>
      <c r="BX756">
        <f t="shared" si="262"/>
        <v>13.830420177266298</v>
      </c>
      <c r="CB756">
        <f t="shared" si="263"/>
        <v>212685.02858329186</v>
      </c>
      <c r="CD756">
        <f t="shared" si="264"/>
        <v>220215.45313486192</v>
      </c>
      <c r="CF756">
        <f t="shared" si="265"/>
        <v>192796.33017674499</v>
      </c>
    </row>
    <row r="757" spans="12:84" x14ac:dyDescent="0.25">
      <c r="L757">
        <v>746</v>
      </c>
      <c r="M757">
        <f t="shared" si="277"/>
        <v>4.6872562391559578</v>
      </c>
      <c r="P757">
        <f t="shared" si="271"/>
        <v>19874.349522783243</v>
      </c>
      <c r="Q757">
        <f t="shared" si="272"/>
        <v>2501.5790535835022</v>
      </c>
      <c r="V757">
        <f t="shared" si="273"/>
        <v>-20087.95533405173</v>
      </c>
      <c r="W757">
        <f t="shared" si="274"/>
        <v>6501.1053375084512</v>
      </c>
      <c r="AB757">
        <f t="shared" si="275"/>
        <v>-5125.6504772167564</v>
      </c>
      <c r="AC757">
        <f t="shared" si="276"/>
        <v>-19998.420946416496</v>
      </c>
      <c r="AW757">
        <v>750</v>
      </c>
      <c r="AX757">
        <f t="shared" si="266"/>
        <v>375</v>
      </c>
      <c r="AZ757">
        <f t="shared" si="267"/>
        <v>27859.484707261527</v>
      </c>
      <c r="BB757">
        <f t="shared" si="268"/>
        <v>-206130.43837604162</v>
      </c>
      <c r="BD757">
        <f t="shared" si="269"/>
        <v>945.81286120554205</v>
      </c>
      <c r="BF757">
        <f t="shared" si="270"/>
        <v>-2140.1600751530082</v>
      </c>
      <c r="BH757">
        <f t="shared" si="255"/>
        <v>-3.5604772365516411</v>
      </c>
      <c r="BJ757">
        <f t="shared" si="256"/>
        <v>28.650829586667292</v>
      </c>
      <c r="BN757" s="20">
        <f t="shared" si="257"/>
        <v>-0.41985394464488451</v>
      </c>
      <c r="BP757">
        <f t="shared" si="258"/>
        <v>11.412145400006619</v>
      </c>
      <c r="BR757">
        <f t="shared" si="259"/>
        <v>-0.79118319407475812</v>
      </c>
      <c r="BT757">
        <f t="shared" si="260"/>
        <v>3.5729338002084536</v>
      </c>
      <c r="BV757">
        <f t="shared" si="261"/>
        <v>-2.3494400978319985</v>
      </c>
      <c r="BX757">
        <f t="shared" si="262"/>
        <v>13.665750386452221</v>
      </c>
      <c r="CB757">
        <f t="shared" si="263"/>
        <v>213774.96509321057</v>
      </c>
      <c r="CD757">
        <f t="shared" si="264"/>
        <v>221365.97902357203</v>
      </c>
      <c r="CF757">
        <f t="shared" si="265"/>
        <v>193934.49979063706</v>
      </c>
    </row>
    <row r="758" spans="12:84" x14ac:dyDescent="0.25">
      <c r="L758">
        <v>747</v>
      </c>
      <c r="M758">
        <f t="shared" si="277"/>
        <v>4.693539424463137</v>
      </c>
      <c r="P758">
        <f t="shared" si="271"/>
        <v>19905.757801422889</v>
      </c>
      <c r="Q758">
        <f t="shared" si="272"/>
        <v>2500.8882380959567</v>
      </c>
      <c r="V758">
        <f t="shared" si="273"/>
        <v>-20065.969539003978</v>
      </c>
      <c r="W758">
        <f t="shared" si="274"/>
        <v>6500.6217666671691</v>
      </c>
      <c r="AB758">
        <f t="shared" si="275"/>
        <v>-5094.2421985771116</v>
      </c>
      <c r="AC758">
        <f t="shared" si="276"/>
        <v>-19999.111761904045</v>
      </c>
      <c r="AW758">
        <v>751</v>
      </c>
      <c r="AX758">
        <f t="shared" si="266"/>
        <v>375.5</v>
      </c>
      <c r="AZ758">
        <f t="shared" si="267"/>
        <v>28331.94607820973</v>
      </c>
      <c r="BB758">
        <f t="shared" si="268"/>
        <v>-207196.93705991979</v>
      </c>
      <c r="BD758">
        <f t="shared" si="269"/>
        <v>944.03262258726625</v>
      </c>
      <c r="BF758">
        <f t="shared" si="270"/>
        <v>-2125.8346603596747</v>
      </c>
      <c r="BH758">
        <f t="shared" si="255"/>
        <v>-3.5672594275275924</v>
      </c>
      <c r="BJ758">
        <f t="shared" si="256"/>
        <v>28.337291264538337</v>
      </c>
      <c r="BN758" s="20">
        <f t="shared" si="257"/>
        <v>-0.43840706336977564</v>
      </c>
      <c r="BP758">
        <f t="shared" si="258"/>
        <v>11.296839034650759</v>
      </c>
      <c r="BR758">
        <f t="shared" si="259"/>
        <v>-0.78675013859289744</v>
      </c>
      <c r="BT758">
        <f t="shared" si="260"/>
        <v>3.5355439662481372</v>
      </c>
      <c r="BV758">
        <f t="shared" si="261"/>
        <v>-2.3421022255649193</v>
      </c>
      <c r="BX758">
        <f t="shared" si="262"/>
        <v>13.50490826363944</v>
      </c>
      <c r="CB758">
        <f t="shared" si="263"/>
        <v>214858.5490697574</v>
      </c>
      <c r="CD758">
        <f t="shared" si="264"/>
        <v>222509.5199759276</v>
      </c>
      <c r="CF758">
        <f t="shared" si="265"/>
        <v>195065.83823052014</v>
      </c>
    </row>
    <row r="759" spans="12:84" x14ac:dyDescent="0.25">
      <c r="L759">
        <v>748</v>
      </c>
      <c r="M759">
        <f t="shared" si="277"/>
        <v>4.6998226097703162</v>
      </c>
      <c r="P759">
        <f t="shared" si="271"/>
        <v>19937.169800583164</v>
      </c>
      <c r="Q759">
        <f t="shared" si="272"/>
        <v>2500.3947789809208</v>
      </c>
      <c r="V759">
        <f t="shared" si="273"/>
        <v>-20043.981139591786</v>
      </c>
      <c r="W759">
        <f t="shared" si="274"/>
        <v>6500.2763452866438</v>
      </c>
      <c r="AB759">
        <f t="shared" si="275"/>
        <v>-5062.830199416836</v>
      </c>
      <c r="AC759">
        <f t="shared" si="276"/>
        <v>-19999.605221019079</v>
      </c>
      <c r="AW759">
        <v>752</v>
      </c>
      <c r="AX759">
        <f t="shared" si="266"/>
        <v>376</v>
      </c>
      <c r="AZ759">
        <f t="shared" si="267"/>
        <v>28803.51648207492</v>
      </c>
      <c r="BB759">
        <f t="shared" si="268"/>
        <v>-208256.31222869156</v>
      </c>
      <c r="BD759">
        <f t="shared" si="269"/>
        <v>942.2489928735024</v>
      </c>
      <c r="BF759">
        <f t="shared" si="270"/>
        <v>-2111.6660147274056</v>
      </c>
      <c r="BH759">
        <f t="shared" si="255"/>
        <v>-3.5734544445040717</v>
      </c>
      <c r="BJ759">
        <f t="shared" si="256"/>
        <v>28.030591224175677</v>
      </c>
      <c r="BN759" s="20">
        <f t="shared" si="257"/>
        <v>-0.45633627891986395</v>
      </c>
      <c r="BP759">
        <f t="shared" si="258"/>
        <v>11.183875542958921</v>
      </c>
      <c r="BR759">
        <f t="shared" si="259"/>
        <v>-0.78238712477997363</v>
      </c>
      <c r="BT759">
        <f t="shared" si="260"/>
        <v>3.4989472255017748</v>
      </c>
      <c r="BV759">
        <f t="shared" si="261"/>
        <v>-2.3347310408042343</v>
      </c>
      <c r="BX759">
        <f t="shared" si="262"/>
        <v>13.347768455714981</v>
      </c>
      <c r="CB759">
        <f t="shared" si="263"/>
        <v>215935.84271485548</v>
      </c>
      <c r="CD759">
        <f t="shared" si="264"/>
        <v>223646.15142828695</v>
      </c>
      <c r="CF759">
        <f t="shared" si="265"/>
        <v>196190.41756107108</v>
      </c>
    </row>
    <row r="760" spans="12:84" x14ac:dyDescent="0.25">
      <c r="L760">
        <v>749</v>
      </c>
      <c r="M760">
        <f t="shared" si="277"/>
        <v>4.7061057950774954</v>
      </c>
      <c r="P760">
        <f t="shared" si="271"/>
        <v>19968.58428017213</v>
      </c>
      <c r="Q760">
        <f t="shared" si="272"/>
        <v>2500.0986957193154</v>
      </c>
      <c r="V760">
        <f t="shared" si="273"/>
        <v>-20021.99100387951</v>
      </c>
      <c r="W760">
        <f t="shared" si="274"/>
        <v>6500.0690870035205</v>
      </c>
      <c r="AB760">
        <f t="shared" si="275"/>
        <v>-5031.415719827869</v>
      </c>
      <c r="AC760">
        <f t="shared" si="276"/>
        <v>-19999.901304280684</v>
      </c>
      <c r="AW760">
        <v>753</v>
      </c>
      <c r="AX760">
        <f t="shared" si="266"/>
        <v>376.5</v>
      </c>
      <c r="AZ760">
        <f t="shared" si="267"/>
        <v>29274.194296706108</v>
      </c>
      <c r="BB760">
        <f t="shared" si="268"/>
        <v>-209308.64141215224</v>
      </c>
      <c r="BD760">
        <f t="shared" si="269"/>
        <v>940.46226565125039</v>
      </c>
      <c r="BF760">
        <f t="shared" si="270"/>
        <v>-2097.6507191153178</v>
      </c>
      <c r="BH760">
        <f t="shared" si="255"/>
        <v>-3.5790918360811221</v>
      </c>
      <c r="BJ760">
        <f t="shared" si="256"/>
        <v>27.730518391071271</v>
      </c>
      <c r="BN760" s="20">
        <f t="shared" si="257"/>
        <v>-0.47366606325718769</v>
      </c>
      <c r="BP760">
        <f t="shared" si="258"/>
        <v>11.073187855715652</v>
      </c>
      <c r="BR760">
        <f t="shared" si="259"/>
        <v>-0.77809259498801342</v>
      </c>
      <c r="BT760">
        <f t="shared" si="260"/>
        <v>3.4631196376778588</v>
      </c>
      <c r="BV760">
        <f t="shared" si="261"/>
        <v>-2.327333177835921</v>
      </c>
      <c r="BX760">
        <f t="shared" si="262"/>
        <v>13.194210897677761</v>
      </c>
      <c r="CB760">
        <f t="shared" si="263"/>
        <v>217006.90696573755</v>
      </c>
      <c r="CD760">
        <f t="shared" si="264"/>
        <v>224775.94715990749</v>
      </c>
      <c r="CF760">
        <f t="shared" si="265"/>
        <v>197308.30829472115</v>
      </c>
    </row>
    <row r="761" spans="12:84" x14ac:dyDescent="0.25">
      <c r="L761">
        <v>750</v>
      </c>
      <c r="M761">
        <f t="shared" si="277"/>
        <v>4.7123889803846746</v>
      </c>
      <c r="P761">
        <f t="shared" si="271"/>
        <v>19999.999999999924</v>
      </c>
      <c r="Q761">
        <f t="shared" si="272"/>
        <v>2500</v>
      </c>
      <c r="V761">
        <f t="shared" si="273"/>
        <v>-20000.000000000055</v>
      </c>
      <c r="W761">
        <f t="shared" si="274"/>
        <v>6500</v>
      </c>
      <c r="AB761">
        <f t="shared" si="275"/>
        <v>-5000.0000000000764</v>
      </c>
      <c r="AC761">
        <f t="shared" si="276"/>
        <v>-20000</v>
      </c>
      <c r="AW761">
        <v>754</v>
      </c>
      <c r="AX761">
        <f t="shared" si="266"/>
        <v>377</v>
      </c>
      <c r="AZ761">
        <f t="shared" si="267"/>
        <v>29743.978043052222</v>
      </c>
      <c r="BB761">
        <f t="shared" si="268"/>
        <v>-210354.00045691102</v>
      </c>
      <c r="BD761">
        <f t="shared" si="269"/>
        <v>938.67271973320987</v>
      </c>
      <c r="BF761">
        <f t="shared" si="270"/>
        <v>-2083.7854599197822</v>
      </c>
      <c r="BH761">
        <f t="shared" si="255"/>
        <v>-3.5841996041133548</v>
      </c>
      <c r="BJ761">
        <f t="shared" si="256"/>
        <v>27.436870128115423</v>
      </c>
      <c r="BN761" s="20">
        <f t="shared" si="257"/>
        <v>-0.49041976168172774</v>
      </c>
      <c r="BP761">
        <f t="shared" si="258"/>
        <v>10.964711385168778</v>
      </c>
      <c r="BR761">
        <f t="shared" si="259"/>
        <v>-0.77386503847615651</v>
      </c>
      <c r="BT761">
        <f t="shared" si="260"/>
        <v>3.4280382018176709</v>
      </c>
      <c r="BV761">
        <f t="shared" si="261"/>
        <v>-2.3199148039554705</v>
      </c>
      <c r="BX761">
        <f t="shared" si="262"/>
        <v>13.044120541128972</v>
      </c>
      <c r="CB761">
        <f t="shared" si="263"/>
        <v>218071.80153147559</v>
      </c>
      <c r="CD761">
        <f t="shared" si="264"/>
        <v>225898.9793445557</v>
      </c>
      <c r="CF761">
        <f t="shared" si="265"/>
        <v>198419.57943906364</v>
      </c>
    </row>
    <row r="762" spans="12:84" x14ac:dyDescent="0.25">
      <c r="L762">
        <v>751</v>
      </c>
      <c r="M762">
        <f t="shared" si="277"/>
        <v>4.7186721656918538</v>
      </c>
      <c r="P762">
        <f t="shared" si="271"/>
        <v>20031.415719827717</v>
      </c>
      <c r="Q762">
        <f t="shared" si="272"/>
        <v>2500.0986957193136</v>
      </c>
      <c r="V762">
        <f t="shared" si="273"/>
        <v>-19978.008996120599</v>
      </c>
      <c r="W762">
        <f t="shared" si="274"/>
        <v>6500.0690870035196</v>
      </c>
      <c r="AB762">
        <f t="shared" si="275"/>
        <v>-4968.5842801722838</v>
      </c>
      <c r="AC762">
        <f t="shared" si="276"/>
        <v>-19999.901304280687</v>
      </c>
      <c r="AW762">
        <v>755</v>
      </c>
      <c r="AX762">
        <f t="shared" si="266"/>
        <v>377.5</v>
      </c>
      <c r="AZ762">
        <f t="shared" si="267"/>
        <v>30212.866377968312</v>
      </c>
      <c r="BB762">
        <f t="shared" si="268"/>
        <v>-211392.46357810489</v>
      </c>
      <c r="BD762">
        <f t="shared" si="269"/>
        <v>936.88061993115321</v>
      </c>
      <c r="BF762">
        <f t="shared" si="270"/>
        <v>-2070.0670248557244</v>
      </c>
      <c r="BH762">
        <f t="shared" si="255"/>
        <v>-3.5888042944849046</v>
      </c>
      <c r="BJ762">
        <f t="shared" si="256"/>
        <v>27.14945182337172</v>
      </c>
      <c r="BN762" s="20">
        <f t="shared" si="257"/>
        <v>-0.50661965319559077</v>
      </c>
      <c r="BP762">
        <f t="shared" si="258"/>
        <v>10.858383913089915</v>
      </c>
      <c r="BR762">
        <f t="shared" si="259"/>
        <v>-0.7697029896392853</v>
      </c>
      <c r="BT762">
        <f t="shared" si="260"/>
        <v>3.3936808111484829</v>
      </c>
      <c r="BV762">
        <f t="shared" si="261"/>
        <v>-2.3124816516500286</v>
      </c>
      <c r="BX762">
        <f t="shared" si="262"/>
        <v>12.897387099133324</v>
      </c>
      <c r="CB762">
        <f t="shared" si="263"/>
        <v>219130.58492813414</v>
      </c>
      <c r="CD762">
        <f t="shared" si="264"/>
        <v>227015.31860003236</v>
      </c>
      <c r="CF762">
        <f t="shared" si="265"/>
        <v>199524.29854238281</v>
      </c>
    </row>
    <row r="763" spans="12:84" x14ac:dyDescent="0.25">
      <c r="L763">
        <v>752</v>
      </c>
      <c r="M763">
        <f t="shared" si="277"/>
        <v>4.724955350999033</v>
      </c>
      <c r="P763">
        <f t="shared" si="271"/>
        <v>20062.830199416683</v>
      </c>
      <c r="Q763">
        <f t="shared" si="272"/>
        <v>2500.3947789809181</v>
      </c>
      <c r="V763">
        <f t="shared" si="273"/>
        <v>-19956.018860408323</v>
      </c>
      <c r="W763">
        <f t="shared" si="274"/>
        <v>6500.2763452866429</v>
      </c>
      <c r="AB763">
        <f t="shared" si="275"/>
        <v>-4937.1698005833168</v>
      </c>
      <c r="AC763">
        <f t="shared" si="276"/>
        <v>-19999.605221019083</v>
      </c>
      <c r="AW763">
        <v>756</v>
      </c>
      <c r="AX763">
        <f t="shared" si="266"/>
        <v>378</v>
      </c>
      <c r="AZ763">
        <f t="shared" si="267"/>
        <v>30680.858087397079</v>
      </c>
      <c r="BB763">
        <f t="shared" si="268"/>
        <v>-212424.10340905481</v>
      </c>
      <c r="BD763">
        <f t="shared" si="269"/>
        <v>935.0862177839108</v>
      </c>
      <c r="BF763">
        <f t="shared" si="270"/>
        <v>-2056.4922989440383</v>
      </c>
      <c r="BH763">
        <f t="shared" si="255"/>
        <v>-3.5929310818940743</v>
      </c>
      <c r="BJ763">
        <f t="shared" si="256"/>
        <v>26.868076501590352</v>
      </c>
      <c r="BN763" s="20">
        <f t="shared" si="257"/>
        <v>-0.52228700717006549</v>
      </c>
      <c r="BP763">
        <f t="shared" si="258"/>
        <v>10.754145484772321</v>
      </c>
      <c r="BR763">
        <f t="shared" si="259"/>
        <v>-0.7656050263176386</v>
      </c>
      <c r="BT763">
        <f t="shared" si="260"/>
        <v>3.3600262104976619</v>
      </c>
      <c r="BV763">
        <f t="shared" si="261"/>
        <v>-2.3050390484063703</v>
      </c>
      <c r="BX763">
        <f t="shared" si="262"/>
        <v>12.753904806320367</v>
      </c>
      <c r="CB763">
        <f t="shared" si="263"/>
        <v>220183.31451261186</v>
      </c>
      <c r="CD763">
        <f t="shared" si="264"/>
        <v>228125.03403571647</v>
      </c>
      <c r="CF763">
        <f t="shared" si="265"/>
        <v>200622.53173739515</v>
      </c>
    </row>
    <row r="764" spans="12:84" x14ac:dyDescent="0.25">
      <c r="L764">
        <v>753</v>
      </c>
      <c r="M764">
        <f t="shared" si="277"/>
        <v>4.7312385363062122</v>
      </c>
      <c r="P764">
        <f t="shared" si="271"/>
        <v>20094.242198576958</v>
      </c>
      <c r="Q764">
        <f t="shared" si="272"/>
        <v>2500.8882380959531</v>
      </c>
      <c r="V764">
        <f t="shared" si="273"/>
        <v>-19934.030460996128</v>
      </c>
      <c r="W764">
        <f t="shared" si="274"/>
        <v>6500.6217666671673</v>
      </c>
      <c r="AB764">
        <f t="shared" si="275"/>
        <v>-4905.7578014230412</v>
      </c>
      <c r="AC764">
        <f t="shared" si="276"/>
        <v>-19999.111761904045</v>
      </c>
      <c r="AW764">
        <v>757</v>
      </c>
      <c r="AX764">
        <f t="shared" si="266"/>
        <v>378.5</v>
      </c>
      <c r="AZ764">
        <f t="shared" si="267"/>
        <v>31147.952079903796</v>
      </c>
      <c r="BB764">
        <f t="shared" si="268"/>
        <v>-213448.99104896412</v>
      </c>
      <c r="BD764">
        <f t="shared" si="269"/>
        <v>933.2897522429638</v>
      </c>
      <c r="BF764">
        <f t="shared" si="270"/>
        <v>-2043.0582606932433</v>
      </c>
      <c r="BH764">
        <f t="shared" si="255"/>
        <v>-3.5966038490889334</v>
      </c>
      <c r="BJ764">
        <f t="shared" si="256"/>
        <v>26.592564457891193</v>
      </c>
      <c r="BN764" s="20">
        <f t="shared" si="257"/>
        <v>-0.537442136570489</v>
      </c>
      <c r="BP764">
        <f t="shared" si="258"/>
        <v>10.65193830860761</v>
      </c>
      <c r="BR764">
        <f t="shared" si="259"/>
        <v>-0.76156976818322131</v>
      </c>
      <c r="BT764">
        <f t="shared" si="260"/>
        <v>3.3270539561015076</v>
      </c>
      <c r="BV764">
        <f t="shared" si="261"/>
        <v>-2.2975919443352231</v>
      </c>
      <c r="BX764">
        <f t="shared" si="262"/>
        <v>12.613572193182074</v>
      </c>
      <c r="CB764">
        <f t="shared" si="263"/>
        <v>221230.04651523053</v>
      </c>
      <c r="CD764">
        <f t="shared" si="264"/>
        <v>229228.19329822451</v>
      </c>
      <c r="CF764">
        <f t="shared" si="265"/>
        <v>201714.3437832889</v>
      </c>
    </row>
    <row r="765" spans="12:84" x14ac:dyDescent="0.25">
      <c r="L765">
        <v>754</v>
      </c>
      <c r="M765">
        <f t="shared" si="277"/>
        <v>4.7375217216133914</v>
      </c>
      <c r="P765">
        <f t="shared" si="271"/>
        <v>20125.650477216604</v>
      </c>
      <c r="Q765">
        <f t="shared" si="272"/>
        <v>2501.5790535834985</v>
      </c>
      <c r="V765">
        <f t="shared" si="273"/>
        <v>-19912.044665948379</v>
      </c>
      <c r="W765">
        <f t="shared" si="274"/>
        <v>6501.1053375084484</v>
      </c>
      <c r="AB765">
        <f t="shared" si="275"/>
        <v>-4874.3495227833964</v>
      </c>
      <c r="AC765">
        <f t="shared" si="276"/>
        <v>-19998.420946416503</v>
      </c>
      <c r="AW765">
        <v>758</v>
      </c>
      <c r="AX765">
        <f t="shared" si="266"/>
        <v>379</v>
      </c>
      <c r="AZ765">
        <f t="shared" si="267"/>
        <v>31614.147380544142</v>
      </c>
      <c r="BB765">
        <f t="shared" si="268"/>
        <v>-214467.1961087535</v>
      </c>
      <c r="BD765">
        <f t="shared" si="269"/>
        <v>931.49145031841931</v>
      </c>
      <c r="BF765">
        <f t="shared" si="270"/>
        <v>-2029.7619784642977</v>
      </c>
      <c r="BH765">
        <f t="shared" si="255"/>
        <v>-3.5998452609591958</v>
      </c>
      <c r="BJ765">
        <f t="shared" si="256"/>
        <v>26.322742912161434</v>
      </c>
      <c r="BN765" s="20">
        <f t="shared" si="257"/>
        <v>-0.55210444797411096</v>
      </c>
      <c r="BP765">
        <f t="shared" si="258"/>
        <v>10.551706660901953</v>
      </c>
      <c r="BR765">
        <f t="shared" si="259"/>
        <v>-0.75759587519867122</v>
      </c>
      <c r="BT765">
        <f t="shared" si="260"/>
        <v>3.2947443776530339</v>
      </c>
      <c r="BV765">
        <f t="shared" si="261"/>
        <v>-2.2901449377864136</v>
      </c>
      <c r="BX765">
        <f t="shared" si="262"/>
        <v>12.476291873606447</v>
      </c>
      <c r="CB765">
        <f t="shared" si="263"/>
        <v>222270.83607112931</v>
      </c>
      <c r="CD765">
        <f t="shared" si="264"/>
        <v>230324.86261527683</v>
      </c>
      <c r="CF765">
        <f t="shared" si="265"/>
        <v>202799.79810614244</v>
      </c>
    </row>
    <row r="766" spans="12:84" x14ac:dyDescent="0.25">
      <c r="L766">
        <v>755</v>
      </c>
      <c r="M766">
        <f t="shared" si="277"/>
        <v>4.7438049069205706</v>
      </c>
      <c r="P766">
        <f t="shared" si="271"/>
        <v>20157.053795390555</v>
      </c>
      <c r="Q766">
        <f t="shared" si="272"/>
        <v>2502.46719817134</v>
      </c>
      <c r="V766">
        <f t="shared" si="273"/>
        <v>-19890.062343226611</v>
      </c>
      <c r="W766">
        <f t="shared" si="274"/>
        <v>6501.7270387199378</v>
      </c>
      <c r="AB766">
        <f t="shared" si="275"/>
        <v>-4842.946204609445</v>
      </c>
      <c r="AC766">
        <f t="shared" si="276"/>
        <v>-19997.53280182866</v>
      </c>
      <c r="AW766">
        <v>759</v>
      </c>
      <c r="AX766">
        <f t="shared" si="266"/>
        <v>379.5</v>
      </c>
      <c r="AZ766">
        <f t="shared" si="267"/>
        <v>32079.443125045731</v>
      </c>
      <c r="BB766">
        <f t="shared" si="268"/>
        <v>-215478.78675512163</v>
      </c>
      <c r="BD766">
        <f t="shared" si="269"/>
        <v>929.6915276879397</v>
      </c>
      <c r="BF766">
        <f t="shared" si="270"/>
        <v>-2016.6006070082169</v>
      </c>
      <c r="BH766">
        <f t="shared" si="255"/>
        <v>-3.6026768338567785</v>
      </c>
      <c r="BJ766">
        <f t="shared" si="256"/>
        <v>26.058445682822018</v>
      </c>
      <c r="BN766" s="20">
        <f t="shared" si="257"/>
        <v>-0.56629248859848469</v>
      </c>
      <c r="BP766">
        <f t="shared" si="258"/>
        <v>10.453396795620131</v>
      </c>
      <c r="BR766">
        <f t="shared" si="259"/>
        <v>-0.75368204614490064</v>
      </c>
      <c r="BT766">
        <f t="shared" si="260"/>
        <v>3.263078542445927</v>
      </c>
      <c r="BV766">
        <f t="shared" si="261"/>
        <v>-2.2827022991133932</v>
      </c>
      <c r="BX766">
        <f t="shared" si="262"/>
        <v>12.341970344755962</v>
      </c>
      <c r="CB766">
        <f t="shared" si="263"/>
        <v>223305.73725051762</v>
      </c>
      <c r="CD766">
        <f t="shared" si="264"/>
        <v>231415.10683785641</v>
      </c>
      <c r="CF766">
        <f t="shared" si="265"/>
        <v>203878.95683779882</v>
      </c>
    </row>
    <row r="767" spans="12:84" x14ac:dyDescent="0.25">
      <c r="L767">
        <v>756</v>
      </c>
      <c r="M767">
        <f t="shared" si="277"/>
        <v>4.7500880922277497</v>
      </c>
      <c r="P767">
        <f t="shared" si="271"/>
        <v>20188.450913349585</v>
      </c>
      <c r="Q767">
        <f t="shared" si="272"/>
        <v>2503.5526367970506</v>
      </c>
      <c r="V767">
        <f t="shared" si="273"/>
        <v>-19868.084360655292</v>
      </c>
      <c r="W767">
        <f t="shared" si="274"/>
        <v>6502.486845757936</v>
      </c>
      <c r="AB767">
        <f t="shared" si="275"/>
        <v>-4811.5490866504151</v>
      </c>
      <c r="AC767">
        <f t="shared" si="276"/>
        <v>-19996.447363202948</v>
      </c>
      <c r="AW767">
        <v>760</v>
      </c>
      <c r="AX767">
        <f t="shared" si="266"/>
        <v>380</v>
      </c>
      <c r="AZ767">
        <f t="shared" si="267"/>
        <v>32543.838554285467</v>
      </c>
      <c r="BB767">
        <f t="shared" si="268"/>
        <v>-216483.82975291539</v>
      </c>
      <c r="BD767">
        <f t="shared" si="269"/>
        <v>927.89018927101131</v>
      </c>
      <c r="BF767">
        <f t="shared" si="270"/>
        <v>-2003.571384166806</v>
      </c>
      <c r="BH767">
        <f t="shared" si="255"/>
        <v>-3.6051190004879556</v>
      </c>
      <c r="BJ767">
        <f t="shared" si="256"/>
        <v>25.799512878716317</v>
      </c>
      <c r="BN767" s="20">
        <f t="shared" si="257"/>
        <v>-0.58002399054143472</v>
      </c>
      <c r="BP767">
        <f t="shared" si="258"/>
        <v>10.356956858764331</v>
      </c>
      <c r="BR767">
        <f t="shared" si="259"/>
        <v>-0.74982701721379263</v>
      </c>
      <c r="BT767">
        <f t="shared" si="260"/>
        <v>3.2320382214811403</v>
      </c>
      <c r="BV767">
        <f t="shared" si="261"/>
        <v>-2.2752679927327284</v>
      </c>
      <c r="BX767">
        <f t="shared" si="262"/>
        <v>12.210517798470846</v>
      </c>
      <c r="CB767">
        <f t="shared" si="263"/>
        <v>224334.80308783782</v>
      </c>
      <c r="CD767">
        <f t="shared" si="264"/>
        <v>232498.98948074243</v>
      </c>
      <c r="CF767">
        <f t="shared" si="265"/>
        <v>204951.88085326771</v>
      </c>
    </row>
    <row r="768" spans="12:84" x14ac:dyDescent="0.25">
      <c r="L768">
        <v>757</v>
      </c>
      <c r="M768">
        <f t="shared" si="277"/>
        <v>4.7563712775349289</v>
      </c>
      <c r="P768">
        <f t="shared" si="271"/>
        <v>20219.840591589236</v>
      </c>
      <c r="Q768">
        <f t="shared" si="272"/>
        <v>2504.8353266093727</v>
      </c>
      <c r="V768">
        <f t="shared" si="273"/>
        <v>-19846.111585887535</v>
      </c>
      <c r="W768">
        <f t="shared" si="274"/>
        <v>6503.3847286265609</v>
      </c>
      <c r="AB768">
        <f t="shared" si="275"/>
        <v>-4780.1594084107655</v>
      </c>
      <c r="AC768">
        <f t="shared" si="276"/>
        <v>-19995.164673390627</v>
      </c>
      <c r="AW768">
        <v>761</v>
      </c>
      <c r="AX768">
        <f t="shared" si="266"/>
        <v>380.5</v>
      </c>
      <c r="AZ768">
        <f t="shared" si="267"/>
        <v>33007.333009045913</v>
      </c>
      <c r="BB768">
        <f t="shared" si="268"/>
        <v>-217482.39050588896</v>
      </c>
      <c r="BD768">
        <f t="shared" si="269"/>
        <v>926.08762977076731</v>
      </c>
      <c r="BF768">
        <f t="shared" si="270"/>
        <v>-1990.6716277274477</v>
      </c>
      <c r="BH768">
        <f t="shared" si="255"/>
        <v>-3.6071911706923823</v>
      </c>
      <c r="BJ768">
        <f t="shared" si="256"/>
        <v>25.545790607962413</v>
      </c>
      <c r="BN768" s="20">
        <f t="shared" si="257"/>
        <v>-0.5933159124186318</v>
      </c>
      <c r="BP768">
        <f t="shared" si="258"/>
        <v>10.262336807114435</v>
      </c>
      <c r="BR768">
        <f t="shared" si="259"/>
        <v>-0.74602956066258952</v>
      </c>
      <c r="BT768">
        <f t="shared" si="260"/>
        <v>3.2016058574126443</v>
      </c>
      <c r="BV768">
        <f t="shared" si="261"/>
        <v>-2.2678456976111607</v>
      </c>
      <c r="BX768">
        <f t="shared" si="262"/>
        <v>12.081847943435333</v>
      </c>
      <c r="CB768">
        <f t="shared" si="263"/>
        <v>225358.0856098856</v>
      </c>
      <c r="CD768">
        <f t="shared" si="264"/>
        <v>233576.57276149432</v>
      </c>
      <c r="CF768">
        <f t="shared" si="265"/>
        <v>206018.62980672362</v>
      </c>
    </row>
    <row r="769" spans="12:84" x14ac:dyDescent="0.25">
      <c r="L769">
        <v>758</v>
      </c>
      <c r="M769">
        <f t="shared" si="277"/>
        <v>4.7626544628421081</v>
      </c>
      <c r="P769">
        <f t="shared" si="271"/>
        <v>20251.221590898756</v>
      </c>
      <c r="Q769">
        <f t="shared" si="272"/>
        <v>2506.3152169699079</v>
      </c>
      <c r="V769">
        <f t="shared" si="273"/>
        <v>-19824.144886370872</v>
      </c>
      <c r="W769">
        <f t="shared" si="274"/>
        <v>6504.420651878936</v>
      </c>
      <c r="AB769">
        <f t="shared" si="275"/>
        <v>-4748.7784091012445</v>
      </c>
      <c r="AC769">
        <f t="shared" si="276"/>
        <v>-19993.68478303009</v>
      </c>
      <c r="AW769">
        <v>762</v>
      </c>
      <c r="AX769">
        <f t="shared" si="266"/>
        <v>381</v>
      </c>
      <c r="AZ769">
        <f t="shared" si="267"/>
        <v>33469.925925034964</v>
      </c>
      <c r="BB769">
        <f t="shared" si="268"/>
        <v>-218474.53309592669</v>
      </c>
      <c r="BD769">
        <f t="shared" si="269"/>
        <v>924.28403418542109</v>
      </c>
      <c r="BF769">
        <f t="shared" si="270"/>
        <v>-1977.8987324234665</v>
      </c>
      <c r="BH769">
        <f t="shared" si="255"/>
        <v>-3.6089117883996922</v>
      </c>
      <c r="BJ769">
        <f t="shared" si="256"/>
        <v>25.297130702696276</v>
      </c>
      <c r="BN769" s="20">
        <f t="shared" si="257"/>
        <v>-0.60618447857105495</v>
      </c>
      <c r="BP769">
        <f t="shared" si="258"/>
        <v>10.169488331075314</v>
      </c>
      <c r="BR769">
        <f t="shared" si="259"/>
        <v>-0.74228848352672716</v>
      </c>
      <c r="BT769">
        <f t="shared" si="260"/>
        <v>3.1717645342173078</v>
      </c>
      <c r="BV769">
        <f t="shared" si="261"/>
        <v>-2.2604388263019102</v>
      </c>
      <c r="BX769">
        <f t="shared" si="262"/>
        <v>11.955877837403653</v>
      </c>
      <c r="CB769">
        <f t="shared" si="263"/>
        <v>226375.63586293467</v>
      </c>
      <c r="CD769">
        <f t="shared" si="264"/>
        <v>234647.91763795906</v>
      </c>
      <c r="CF769">
        <f t="shared" si="265"/>
        <v>207079.26216616438</v>
      </c>
    </row>
    <row r="770" spans="12:84" x14ac:dyDescent="0.25">
      <c r="L770">
        <v>759</v>
      </c>
      <c r="M770">
        <f t="shared" si="277"/>
        <v>4.7689376481492873</v>
      </c>
      <c r="P770">
        <f t="shared" si="271"/>
        <v>20282.592672410028</v>
      </c>
      <c r="Q770">
        <f t="shared" si="272"/>
        <v>2507.9922494551192</v>
      </c>
      <c r="V770">
        <f t="shared" si="273"/>
        <v>-19802.18512931298</v>
      </c>
      <c r="W770">
        <f t="shared" si="274"/>
        <v>6505.5945746185835</v>
      </c>
      <c r="AB770">
        <f t="shared" si="275"/>
        <v>-4717.4073275899709</v>
      </c>
      <c r="AC770">
        <f t="shared" si="276"/>
        <v>-19992.007750544879</v>
      </c>
      <c r="AW770">
        <v>763</v>
      </c>
      <c r="AX770">
        <f t="shared" si="266"/>
        <v>381.5</v>
      </c>
      <c r="AZ770">
        <f t="shared" si="267"/>
        <v>33931.616828154125</v>
      </c>
      <c r="BB770">
        <f t="shared" si="268"/>
        <v>-219460.32032080059</v>
      </c>
      <c r="BD770">
        <f t="shared" si="269"/>
        <v>922.47957829122129</v>
      </c>
      <c r="BF770">
        <f t="shared" si="270"/>
        <v>-1965.2501670721183</v>
      </c>
      <c r="BH770">
        <f t="shared" si="255"/>
        <v>-3.6102983850318737</v>
      </c>
      <c r="BJ770">
        <f t="shared" si="256"/>
        <v>25.053390458709565</v>
      </c>
      <c r="BN770" s="20">
        <f t="shared" si="257"/>
        <v>-0.61864521600192468</v>
      </c>
      <c r="BP770">
        <f t="shared" si="258"/>
        <v>10.078364781392795</v>
      </c>
      <c r="BR770">
        <f t="shared" si="259"/>
        <v>-0.73860262638826812</v>
      </c>
      <c r="BT770">
        <f t="shared" si="260"/>
        <v>3.1424979484828341</v>
      </c>
      <c r="BV770">
        <f t="shared" si="261"/>
        <v>-2.2530505426416809</v>
      </c>
      <c r="BX770">
        <f t="shared" si="262"/>
        <v>11.832527728833936</v>
      </c>
      <c r="CB770">
        <f t="shared" si="263"/>
        <v>227387.50393890805</v>
      </c>
      <c r="CD770">
        <f t="shared" si="264"/>
        <v>235713.08384437053</v>
      </c>
      <c r="CF770">
        <f t="shared" si="265"/>
        <v>208133.8352467916</v>
      </c>
    </row>
    <row r="771" spans="12:84" x14ac:dyDescent="0.25">
      <c r="L771">
        <v>760</v>
      </c>
      <c r="M771">
        <f t="shared" si="277"/>
        <v>4.7752208334564665</v>
      </c>
      <c r="P771">
        <f t="shared" si="271"/>
        <v>20313.952597646472</v>
      </c>
      <c r="Q771">
        <f t="shared" si="272"/>
        <v>2509.8663578586365</v>
      </c>
      <c r="V771">
        <f t="shared" si="273"/>
        <v>-19780.233181647469</v>
      </c>
      <c r="W771">
        <f t="shared" si="274"/>
        <v>6506.9064505010447</v>
      </c>
      <c r="AB771">
        <f t="shared" si="275"/>
        <v>-4686.0474023535289</v>
      </c>
      <c r="AC771">
        <f t="shared" si="276"/>
        <v>-19990.133642141365</v>
      </c>
      <c r="AW771">
        <v>764</v>
      </c>
      <c r="AX771">
        <f t="shared" si="266"/>
        <v>382</v>
      </c>
      <c r="AZ771">
        <f t="shared" si="267"/>
        <v>34392.405330001609</v>
      </c>
      <c r="BB771">
        <f t="shared" si="268"/>
        <v>-220439.81373052931</v>
      </c>
      <c r="BD771">
        <f t="shared" si="269"/>
        <v>920.67442909870533</v>
      </c>
      <c r="BF771">
        <f t="shared" si="270"/>
        <v>-1952.7234718427635</v>
      </c>
      <c r="BH771">
        <f t="shared" si="255"/>
        <v>-3.6113676295982056</v>
      </c>
      <c r="BJ771">
        <f t="shared" si="256"/>
        <v>24.814432389054069</v>
      </c>
      <c r="BN771" s="20">
        <f t="shared" si="257"/>
        <v>-0.63071298919107766</v>
      </c>
      <c r="BP771">
        <f t="shared" si="258"/>
        <v>9.9889210995159985</v>
      </c>
      <c r="BR771">
        <f t="shared" si="259"/>
        <v>-0.73497086219687258</v>
      </c>
      <c r="BT771">
        <f t="shared" si="260"/>
        <v>3.1137903822134363</v>
      </c>
      <c r="BV771">
        <f t="shared" si="261"/>
        <v>-2.2456837782102554</v>
      </c>
      <c r="BX771">
        <f t="shared" si="262"/>
        <v>11.711720907324633</v>
      </c>
      <c r="CB771">
        <f t="shared" si="263"/>
        <v>228393.73900063781</v>
      </c>
      <c r="CD771">
        <f t="shared" si="264"/>
        <v>236772.12992610477</v>
      </c>
      <c r="CF771">
        <f t="shared" si="265"/>
        <v>209182.40524316981</v>
      </c>
    </row>
    <row r="772" spans="12:84" x14ac:dyDescent="0.25">
      <c r="L772">
        <v>761</v>
      </c>
      <c r="M772">
        <f t="shared" si="277"/>
        <v>4.7815040187636457</v>
      </c>
      <c r="P772">
        <f t="shared" si="271"/>
        <v>20345.300128571933</v>
      </c>
      <c r="Q772">
        <f t="shared" si="272"/>
        <v>2511.9374681938671</v>
      </c>
      <c r="V772">
        <f t="shared" si="273"/>
        <v>-19758.289909999647</v>
      </c>
      <c r="W772">
        <f t="shared" si="274"/>
        <v>6508.3562277357069</v>
      </c>
      <c r="AB772">
        <f t="shared" si="275"/>
        <v>-4654.6998714280689</v>
      </c>
      <c r="AC772">
        <f t="shared" si="276"/>
        <v>-19988.062531806132</v>
      </c>
      <c r="AW772">
        <v>765</v>
      </c>
      <c r="AX772">
        <f t="shared" si="266"/>
        <v>382.5</v>
      </c>
      <c r="AZ772">
        <f t="shared" si="267"/>
        <v>34852.291123597264</v>
      </c>
      <c r="BB772">
        <f t="shared" si="268"/>
        <v>-221413.07366240205</v>
      </c>
      <c r="BD772">
        <f t="shared" si="269"/>
        <v>918.86874528390626</v>
      </c>
      <c r="BF772">
        <f t="shared" si="270"/>
        <v>-1940.3162556482364</v>
      </c>
      <c r="BH772">
        <f t="shared" si="255"/>
        <v>-3.6121353757112962</v>
      </c>
      <c r="BJ772">
        <f t="shared" si="256"/>
        <v>24.580123990752632</v>
      </c>
      <c r="BN772" s="20">
        <f t="shared" si="257"/>
        <v>-0.64240203292401366</v>
      </c>
      <c r="BP772">
        <f t="shared" si="258"/>
        <v>9.9011137513977463</v>
      </c>
      <c r="BR772">
        <f t="shared" si="259"/>
        <v>-0.7313920951409052</v>
      </c>
      <c r="BT772">
        <f t="shared" si="260"/>
        <v>3.0856266770619634</v>
      </c>
      <c r="BV772">
        <f t="shared" si="261"/>
        <v>-2.2383412476463773</v>
      </c>
      <c r="BX772">
        <f t="shared" si="262"/>
        <v>11.593383562292921</v>
      </c>
      <c r="CB772">
        <f t="shared" si="263"/>
        <v>229394.38930625221</v>
      </c>
      <c r="CD772">
        <f t="shared" si="264"/>
        <v>237825.11327315326</v>
      </c>
      <c r="CF772">
        <f t="shared" si="265"/>
        <v>210225.02726021982</v>
      </c>
    </row>
    <row r="773" spans="12:84" x14ac:dyDescent="0.25">
      <c r="L773">
        <v>762</v>
      </c>
      <c r="M773">
        <f t="shared" si="277"/>
        <v>4.7877872040708249</v>
      </c>
      <c r="P773">
        <f t="shared" si="271"/>
        <v>20376.634027639564</v>
      </c>
      <c r="Q773">
        <f t="shared" si="272"/>
        <v>2514.2054986969224</v>
      </c>
      <c r="V773">
        <f t="shared" si="273"/>
        <v>-19736.356180652307</v>
      </c>
      <c r="W773">
        <f t="shared" si="274"/>
        <v>6509.9438490878456</v>
      </c>
      <c r="AB773">
        <f t="shared" si="275"/>
        <v>-4623.365972360436</v>
      </c>
      <c r="AC773">
        <f t="shared" si="276"/>
        <v>-19985.794501303077</v>
      </c>
      <c r="AW773">
        <v>766</v>
      </c>
      <c r="AX773">
        <f t="shared" si="266"/>
        <v>383</v>
      </c>
      <c r="AZ773">
        <f t="shared" si="267"/>
        <v>35311.273979317251</v>
      </c>
      <c r="BB773">
        <f t="shared" si="268"/>
        <v>-222380.15927472731</v>
      </c>
      <c r="BD773">
        <f t="shared" si="269"/>
        <v>917.06267759605066</v>
      </c>
      <c r="BF773">
        <f t="shared" si="270"/>
        <v>-1928.02619365286</v>
      </c>
      <c r="BH773">
        <f t="shared" si="255"/>
        <v>-3.6126167057349008</v>
      </c>
      <c r="BJ773">
        <f t="shared" si="256"/>
        <v>24.350337523814389</v>
      </c>
      <c r="BN773" s="20">
        <f t="shared" si="257"/>
        <v>-0.6537259832629746</v>
      </c>
      <c r="BP773">
        <f t="shared" si="258"/>
        <v>9.8149006645377419</v>
      </c>
      <c r="BR773">
        <f t="shared" si="259"/>
        <v>-0.72786525956596582</v>
      </c>
      <c r="BT773">
        <f t="shared" si="260"/>
        <v>3.0579922099015033</v>
      </c>
      <c r="BV773">
        <f t="shared" si="261"/>
        <v>-2.2310254629059605</v>
      </c>
      <c r="BX773">
        <f t="shared" si="262"/>
        <v>11.477444649375144</v>
      </c>
      <c r="CB773">
        <f t="shared" si="263"/>
        <v>230389.50223272698</v>
      </c>
      <c r="CD773">
        <f t="shared" si="264"/>
        <v>238872.09015237156</v>
      </c>
      <c r="CF773">
        <f t="shared" si="265"/>
        <v>211261.75534309764</v>
      </c>
    </row>
    <row r="774" spans="12:84" x14ac:dyDescent="0.25">
      <c r="L774">
        <v>763</v>
      </c>
      <c r="M774">
        <f t="shared" si="277"/>
        <v>4.7940703893780041</v>
      </c>
      <c r="P774">
        <f t="shared" si="271"/>
        <v>20407.953057840685</v>
      </c>
      <c r="Q774">
        <f t="shared" si="272"/>
        <v>2516.6703598298427</v>
      </c>
      <c r="V774">
        <f t="shared" si="273"/>
        <v>-19714.432859511518</v>
      </c>
      <c r="W774">
        <f t="shared" si="274"/>
        <v>6511.6692518808895</v>
      </c>
      <c r="AB774">
        <f t="shared" si="275"/>
        <v>-4592.0469421593134</v>
      </c>
      <c r="AC774">
        <f t="shared" si="276"/>
        <v>-19983.329640170159</v>
      </c>
      <c r="AW774">
        <v>767</v>
      </c>
      <c r="AX774">
        <f t="shared" si="266"/>
        <v>383.5</v>
      </c>
      <c r="AZ774">
        <f t="shared" si="267"/>
        <v>35769.353741027066</v>
      </c>
      <c r="BB774">
        <f t="shared" si="268"/>
        <v>-223341.12857936329</v>
      </c>
      <c r="BD774">
        <f t="shared" si="269"/>
        <v>915.25636924318326</v>
      </c>
      <c r="BF774">
        <f t="shared" si="270"/>
        <v>-1915.8510248909529</v>
      </c>
      <c r="BH774">
        <f t="shared" si="255"/>
        <v>-3.6128259722583462</v>
      </c>
      <c r="BJ774">
        <f t="shared" si="256"/>
        <v>24.124949801808711</v>
      </c>
      <c r="BN774" s="20">
        <f t="shared" si="257"/>
        <v>-0.6646979067784613</v>
      </c>
      <c r="BP774">
        <f t="shared" si="258"/>
        <v>9.730241168087769</v>
      </c>
      <c r="BR774">
        <f t="shared" si="259"/>
        <v>-0.72438931893866221</v>
      </c>
      <c r="BT774">
        <f t="shared" si="260"/>
        <v>3.0308728696570135</v>
      </c>
      <c r="BV774">
        <f t="shared" si="261"/>
        <v>-2.2237387465412226</v>
      </c>
      <c r="BX774">
        <f t="shared" si="262"/>
        <v>11.36383576406393</v>
      </c>
      <c r="CB774">
        <f t="shared" si="263"/>
        <v>231379.12429863628</v>
      </c>
      <c r="CD774">
        <f t="shared" si="264"/>
        <v>239913.11573855806</v>
      </c>
      <c r="CF774">
        <f t="shared" si="265"/>
        <v>212292.64250600815</v>
      </c>
    </row>
    <row r="775" spans="12:84" x14ac:dyDescent="0.25">
      <c r="L775">
        <v>764</v>
      </c>
      <c r="M775">
        <f t="shared" si="277"/>
        <v>4.8003535746851833</v>
      </c>
      <c r="P775">
        <f t="shared" si="271"/>
        <v>20439.255982753613</v>
      </c>
      <c r="Q775">
        <f t="shared" si="272"/>
        <v>2519.3319542841282</v>
      </c>
      <c r="V775">
        <f t="shared" si="273"/>
        <v>-19692.520812072471</v>
      </c>
      <c r="W775">
        <f t="shared" si="274"/>
        <v>6513.5323679988905</v>
      </c>
      <c r="AB775">
        <f t="shared" si="275"/>
        <v>-4560.7440172463876</v>
      </c>
      <c r="AC775">
        <f t="shared" si="276"/>
        <v>-19980.668045715873</v>
      </c>
      <c r="AW775">
        <v>768</v>
      </c>
      <c r="AX775">
        <f t="shared" si="266"/>
        <v>384</v>
      </c>
      <c r="AZ775">
        <f t="shared" si="267"/>
        <v>36226.530322402126</v>
      </c>
      <c r="BB775">
        <f t="shared" si="268"/>
        <v>-224296.03847308355</v>
      </c>
      <c r="BD775">
        <f t="shared" si="269"/>
        <v>913.44995625705405</v>
      </c>
      <c r="BF775">
        <f t="shared" si="270"/>
        <v>-1903.7885499900485</v>
      </c>
      <c r="BH775">
        <f t="shared" si="255"/>
        <v>-3.612776837077885</v>
      </c>
      <c r="BJ775">
        <f t="shared" si="256"/>
        <v>23.903841993301857</v>
      </c>
      <c r="BN775" s="20">
        <f t="shared" si="257"/>
        <v>-0.67533032815097915</v>
      </c>
      <c r="BP775">
        <f t="shared" si="258"/>
        <v>9.6470959358458206</v>
      </c>
      <c r="BR775">
        <f t="shared" si="259"/>
        <v>-0.72096326485325934</v>
      </c>
      <c r="BT775">
        <f t="shared" si="260"/>
        <v>3.0042550353215995</v>
      </c>
      <c r="BV775">
        <f t="shared" si="261"/>
        <v>-2.2164832440736464</v>
      </c>
      <c r="BX775">
        <f t="shared" si="262"/>
        <v>11.252491022134436</v>
      </c>
      <c r="CB775">
        <f t="shared" si="263"/>
        <v>232363.30118613623</v>
      </c>
      <c r="CD775">
        <f t="shared" si="264"/>
        <v>240948.24414441508</v>
      </c>
      <c r="CF775">
        <f t="shared" si="265"/>
        <v>213317.74075999964</v>
      </c>
    </row>
    <row r="776" spans="12:84" x14ac:dyDescent="0.25">
      <c r="L776">
        <v>765</v>
      </c>
      <c r="M776">
        <f t="shared" si="277"/>
        <v>4.8066367599923625</v>
      </c>
      <c r="P776">
        <f t="shared" si="271"/>
        <v>20470.541566592467</v>
      </c>
      <c r="Q776">
        <f t="shared" si="272"/>
        <v>2522.1901769845899</v>
      </c>
      <c r="V776">
        <f t="shared" si="273"/>
        <v>-19670.620903385272</v>
      </c>
      <c r="W776">
        <f t="shared" si="274"/>
        <v>6515.5331238892131</v>
      </c>
      <c r="AB776">
        <f t="shared" si="275"/>
        <v>-4529.4584334075334</v>
      </c>
      <c r="AC776">
        <f t="shared" si="276"/>
        <v>-19977.80982301541</v>
      </c>
      <c r="AW776">
        <v>769</v>
      </c>
      <c r="AX776">
        <f t="shared" si="266"/>
        <v>384.5</v>
      </c>
      <c r="AZ776">
        <f t="shared" si="267"/>
        <v>36682.80370342602</v>
      </c>
      <c r="BB776">
        <f t="shared" si="268"/>
        <v>-225244.94476782941</v>
      </c>
      <c r="BD776">
        <f t="shared" si="269"/>
        <v>911.64356783851508</v>
      </c>
      <c r="BF776">
        <f t="shared" si="270"/>
        <v>-1891.8366289933977</v>
      </c>
      <c r="BH776">
        <f t="shared" ref="BH776:BH839" si="278">BN776+BR776+BV776</f>
        <v>-3.6124823078517845</v>
      </c>
      <c r="BJ776">
        <f t="shared" ref="BJ776:BJ839" si="279">SUM(BP776,BT776,BX776)</f>
        <v>23.686899433509602</v>
      </c>
      <c r="BN776" s="20">
        <f t="shared" ref="BN776:BN839" si="280">$F$36*($F$32-AZ776)/(CB776^2+$F$37^2)^(3/2)</f>
        <v>-0.68563525624539312</v>
      </c>
      <c r="BP776">
        <f t="shared" ref="BP776:BP839" si="281">$F$36*($G$32-BB776)/(CB776^2+($F$37)^2)^(3/2)</f>
        <v>9.5654269319814187</v>
      </c>
      <c r="BR776">
        <f t="shared" ref="BR776:BR839" si="282">$F$47*($F$43-AZ776)/(CD776^2+($F$48)^2)^(3/2)</f>
        <v>-0.71758611607924239</v>
      </c>
      <c r="BT776">
        <f t="shared" ref="BT776:BT839" si="283">$F$47*($G$43-BB776)/(CD776^2+($F$48)^2)^(3/2)</f>
        <v>2.978125555088226</v>
      </c>
      <c r="BV776">
        <f t="shared" ref="BV776:BV839" si="284">$F$58*($F$54-AZ776)/(CF776^2+($F$59)^2)^(3/2)</f>
        <v>-2.2092609355271491</v>
      </c>
      <c r="BX776">
        <f t="shared" ref="BX776:BX839" si="285">$F$58*($G$54-BB776)/(CF776^2+($F$59)^2)^(3/2)</f>
        <v>11.143346946439959</v>
      </c>
      <c r="CB776">
        <f t="shared" ref="CB776:CB839" si="286">SQRT(($F$32-AZ776)^2+($G$32-BB776)^2)</f>
        <v>233342.07776221374</v>
      </c>
      <c r="CD776">
        <f t="shared" ref="CD776:CD839" si="287">SQRT(($F$43-AZ776)^2+($G$43-BB776)^2)</f>
        <v>241977.52844944142</v>
      </c>
      <c r="CF776">
        <f t="shared" ref="CF776:CF839" si="288">SQRT(($F$54-AZ776)^2+($G$54-BB776)^2)</f>
        <v>214337.10113978398</v>
      </c>
    </row>
    <row r="777" spans="12:84" x14ac:dyDescent="0.25">
      <c r="L777">
        <v>766</v>
      </c>
      <c r="M777">
        <f t="shared" si="277"/>
        <v>4.8129199452995417</v>
      </c>
      <c r="P777">
        <f t="shared" si="271"/>
        <v>20501.808574255967</v>
      </c>
      <c r="Q777">
        <f t="shared" si="272"/>
        <v>2525.244915093489</v>
      </c>
      <c r="V777">
        <f t="shared" si="273"/>
        <v>-19648.733998020823</v>
      </c>
      <c r="W777">
        <f t="shared" si="274"/>
        <v>6517.671440565442</v>
      </c>
      <c r="AB777">
        <f t="shared" si="275"/>
        <v>-4498.191425744033</v>
      </c>
      <c r="AC777">
        <f t="shared" si="276"/>
        <v>-19974.755084906512</v>
      </c>
      <c r="AW777">
        <v>770</v>
      </c>
      <c r="AX777">
        <f t="shared" ref="AX777:AX840" si="289">$F$17*AW777</f>
        <v>385</v>
      </c>
      <c r="AZ777">
        <f t="shared" ref="AZ777:AZ840" si="290">AZ776+BD776*$F$17+(BH776*0.5)*$F$17^2</f>
        <v>37138.1739270568</v>
      </c>
      <c r="BB777">
        <f t="shared" ref="BB777:BB840" si="291">BB776+(BF776*$F$17)+(BJ776*0.5)*$F$17^2</f>
        <v>-226187.9022198969</v>
      </c>
      <c r="BD777">
        <f t="shared" ref="BD777:BD840" si="292">BD776+BH776*$F$17</f>
        <v>909.83732668458924</v>
      </c>
      <c r="BF777">
        <f t="shared" ref="BF777:BF840" si="293">BF776+BJ776*$F$17</f>
        <v>-1879.9931792766429</v>
      </c>
      <c r="BH777">
        <f t="shared" si="278"/>
        <v>-3.6119547725835432</v>
      </c>
      <c r="BJ777">
        <f t="shared" si="279"/>
        <v>23.474011445559874</v>
      </c>
      <c r="BN777" s="20">
        <f t="shared" si="280"/>
        <v>-0.69562420875284292</v>
      </c>
      <c r="BP777">
        <f t="shared" si="281"/>
        <v>9.4851973593399244</v>
      </c>
      <c r="BR777">
        <f t="shared" si="282"/>
        <v>-0.71425691764770793</v>
      </c>
      <c r="BT777">
        <f t="shared" si="283"/>
        <v>2.9524717265312774</v>
      </c>
      <c r="BV777">
        <f t="shared" si="284"/>
        <v>-2.2020736461829924</v>
      </c>
      <c r="BX777">
        <f t="shared" si="285"/>
        <v>11.036342359688671</v>
      </c>
      <c r="CB777">
        <f t="shared" si="286"/>
        <v>234315.49809922976</v>
      </c>
      <c r="CD777">
        <f t="shared" si="287"/>
        <v>243001.02072780309</v>
      </c>
      <c r="CF777">
        <f t="shared" si="288"/>
        <v>215350.77372962379</v>
      </c>
    </row>
    <row r="778" spans="12:84" x14ac:dyDescent="0.25">
      <c r="L778">
        <v>767</v>
      </c>
      <c r="M778">
        <f t="shared" si="277"/>
        <v>4.8192031306067209</v>
      </c>
      <c r="P778">
        <f t="shared" si="271"/>
        <v>20533.055771376192</v>
      </c>
      <c r="Q778">
        <f t="shared" si="272"/>
        <v>2528.4960480149939</v>
      </c>
      <c r="V778">
        <f t="shared" si="273"/>
        <v>-19626.860960036665</v>
      </c>
      <c r="W778">
        <f t="shared" si="274"/>
        <v>6519.9472336104955</v>
      </c>
      <c r="AB778">
        <f t="shared" si="275"/>
        <v>-4466.9442286238091</v>
      </c>
      <c r="AC778">
        <f t="shared" si="276"/>
        <v>-19971.503951985007</v>
      </c>
      <c r="AW778">
        <v>771</v>
      </c>
      <c r="AX778">
        <f t="shared" si="289"/>
        <v>385.5</v>
      </c>
      <c r="AZ778">
        <f t="shared" si="290"/>
        <v>37592.641096052517</v>
      </c>
      <c r="BB778">
        <f t="shared" si="291"/>
        <v>-227124.96455810452</v>
      </c>
      <c r="BD778">
        <f t="shared" si="292"/>
        <v>908.03134929829753</v>
      </c>
      <c r="BF778">
        <f t="shared" si="293"/>
        <v>-1868.2561735538629</v>
      </c>
      <c r="BH778">
        <f t="shared" si="278"/>
        <v>-3.6112060320765722</v>
      </c>
      <c r="BJ778">
        <f t="shared" si="279"/>
        <v>23.265071170803139</v>
      </c>
      <c r="BN778" s="20">
        <f t="shared" si="280"/>
        <v>-0.70530823548887112</v>
      </c>
      <c r="BP778">
        <f t="shared" si="281"/>
        <v>9.4063716101868931</v>
      </c>
      <c r="BR778">
        <f t="shared" si="282"/>
        <v>-0.71097473997478799</v>
      </c>
      <c r="BT778">
        <f t="shared" si="283"/>
        <v>2.9272812777774235</v>
      </c>
      <c r="BV778">
        <f t="shared" si="284"/>
        <v>-2.1949230566129132</v>
      </c>
      <c r="BX778">
        <f t="shared" si="285"/>
        <v>10.931418282838822</v>
      </c>
      <c r="CB778">
        <f t="shared" si="286"/>
        <v>235283.60549478646</v>
      </c>
      <c r="CD778">
        <f t="shared" si="287"/>
        <v>244018.77207522589</v>
      </c>
      <c r="CF778">
        <f t="shared" si="288"/>
        <v>216358.80768832649</v>
      </c>
    </row>
    <row r="779" spans="12:84" x14ac:dyDescent="0.25">
      <c r="L779">
        <v>768</v>
      </c>
      <c r="M779">
        <f t="shared" si="277"/>
        <v>4.8254863159139001</v>
      </c>
      <c r="P779">
        <f t="shared" ref="P779:P842" si="294">COS(M779)*$F$33+$F$32</f>
        <v>20564.281924367297</v>
      </c>
      <c r="Q779">
        <f t="shared" ref="Q779:Q842" si="295">SIN(M779)*$F$33+$G$32</f>
        <v>2531.9434473999454</v>
      </c>
      <c r="V779">
        <f t="shared" si="273"/>
        <v>-19605.002652942891</v>
      </c>
      <c r="W779">
        <f t="shared" si="274"/>
        <v>6522.3604131799621</v>
      </c>
      <c r="AB779">
        <f t="shared" si="275"/>
        <v>-4435.7180756327025</v>
      </c>
      <c r="AC779">
        <f t="shared" si="276"/>
        <v>-19968.056552600054</v>
      </c>
      <c r="AW779">
        <v>772</v>
      </c>
      <c r="AX779">
        <f t="shared" si="289"/>
        <v>386</v>
      </c>
      <c r="AZ779">
        <f t="shared" si="290"/>
        <v>38046.205369947653</v>
      </c>
      <c r="BB779">
        <f t="shared" si="291"/>
        <v>-228056.1845109851</v>
      </c>
      <c r="BD779">
        <f t="shared" si="292"/>
        <v>906.22574628225925</v>
      </c>
      <c r="BF779">
        <f t="shared" si="293"/>
        <v>-1856.6236379684615</v>
      </c>
      <c r="BH779">
        <f t="shared" si="278"/>
        <v>-3.6102473304929266</v>
      </c>
      <c r="BJ779">
        <f t="shared" si="279"/>
        <v>23.059975407642586</v>
      </c>
      <c r="BN779" s="20">
        <f t="shared" si="280"/>
        <v>-0.71469794043013413</v>
      </c>
      <c r="BP779">
        <f t="shared" si="281"/>
        <v>9.3289152192591978</v>
      </c>
      <c r="BR779">
        <f t="shared" si="282"/>
        <v>-0.70773867802033075</v>
      </c>
      <c r="BT779">
        <f t="shared" si="283"/>
        <v>2.9025423496088987</v>
      </c>
      <c r="BV779">
        <f t="shared" si="284"/>
        <v>-2.1878107120424617</v>
      </c>
      <c r="BX779">
        <f t="shared" si="285"/>
        <v>10.82851783877449</v>
      </c>
      <c r="CB779">
        <f t="shared" si="286"/>
        <v>236246.44249094542</v>
      </c>
      <c r="CD779">
        <f t="shared" si="287"/>
        <v>245030.83263495294</v>
      </c>
      <c r="CF779">
        <f t="shared" si="288"/>
        <v>217361.25127338275</v>
      </c>
    </row>
    <row r="780" spans="12:84" x14ac:dyDescent="0.25">
      <c r="L780">
        <v>769</v>
      </c>
      <c r="M780">
        <f t="shared" si="277"/>
        <v>4.8317695012210793</v>
      </c>
      <c r="P780">
        <f t="shared" si="294"/>
        <v>20595.485800474235</v>
      </c>
      <c r="Q780">
        <f t="shared" si="295"/>
        <v>2535.5869771509178</v>
      </c>
      <c r="V780">
        <f t="shared" ref="V780:V843" si="296">COS(M780)*$F$44+$F$43</f>
        <v>-19583.159939668036</v>
      </c>
      <c r="W780">
        <f t="shared" ref="W780:W843" si="297">SIN(M780)*$F$44+$G$43</f>
        <v>6524.9108840056433</v>
      </c>
      <c r="AB780">
        <f t="shared" ref="AB780:AB843" si="298">COS(M780)*$F$55+$F$54</f>
        <v>-4404.5141995257636</v>
      </c>
      <c r="AC780">
        <f t="shared" ref="AC780:AC843" si="299">SIN(M780)*$F$55+$G$54</f>
        <v>-19964.413022849083</v>
      </c>
      <c r="AW780">
        <v>773</v>
      </c>
      <c r="AX780">
        <f t="shared" si="289"/>
        <v>386.5</v>
      </c>
      <c r="AZ780">
        <f t="shared" si="290"/>
        <v>38498.866962172469</v>
      </c>
      <c r="BB780">
        <f t="shared" si="291"/>
        <v>-228981.61383304338</v>
      </c>
      <c r="BD780">
        <f t="shared" si="292"/>
        <v>904.42062261701278</v>
      </c>
      <c r="BF780">
        <f t="shared" si="293"/>
        <v>-1845.0936502646402</v>
      </c>
      <c r="BH780">
        <f t="shared" si="278"/>
        <v>-3.6090893841393497</v>
      </c>
      <c r="BJ780">
        <f t="shared" si="279"/>
        <v>22.858624458392455</v>
      </c>
      <c r="BN780" s="20">
        <f t="shared" si="280"/>
        <v>-0.72380350256651438</v>
      </c>
      <c r="BP780">
        <f t="shared" si="281"/>
        <v>9.2527948189988631</v>
      </c>
      <c r="BR780">
        <f t="shared" si="282"/>
        <v>-0.70454785048017154</v>
      </c>
      <c r="BT780">
        <f t="shared" si="283"/>
        <v>2.8782434784460014</v>
      </c>
      <c r="BV780">
        <f t="shared" si="284"/>
        <v>-2.1807380310926638</v>
      </c>
      <c r="BX780">
        <f t="shared" si="285"/>
        <v>10.72758616094759</v>
      </c>
      <c r="CB780">
        <f t="shared" si="286"/>
        <v>237204.05089282268</v>
      </c>
      <c r="CD780">
        <f t="shared" si="287"/>
        <v>246037.25162280572</v>
      </c>
      <c r="CF780">
        <f t="shared" si="288"/>
        <v>218358.15186428576</v>
      </c>
    </row>
    <row r="781" spans="12:84" x14ac:dyDescent="0.25">
      <c r="L781">
        <v>770</v>
      </c>
      <c r="M781">
        <f t="shared" ref="M781:M844" si="300">M780+$O$5</f>
        <v>4.8380526865282585</v>
      </c>
      <c r="P781">
        <f t="shared" si="294"/>
        <v>20626.666167821408</v>
      </c>
      <c r="Q781">
        <f t="shared" si="295"/>
        <v>2539.4264934275961</v>
      </c>
      <c r="V781">
        <f t="shared" si="296"/>
        <v>-19561.333682525015</v>
      </c>
      <c r="W781">
        <f t="shared" si="297"/>
        <v>6527.5985453993171</v>
      </c>
      <c r="AB781">
        <f t="shared" si="298"/>
        <v>-4373.3338321785932</v>
      </c>
      <c r="AC781">
        <f t="shared" si="299"/>
        <v>-19960.573506572404</v>
      </c>
      <c r="AW781">
        <v>774</v>
      </c>
      <c r="AX781">
        <f t="shared" si="289"/>
        <v>387</v>
      </c>
      <c r="AZ781">
        <f t="shared" si="290"/>
        <v>38950.626137307954</v>
      </c>
      <c r="BB781">
        <f t="shared" si="291"/>
        <v>-229901.30333011842</v>
      </c>
      <c r="BD781">
        <f t="shared" si="292"/>
        <v>902.61607792494306</v>
      </c>
      <c r="BF781">
        <f t="shared" si="293"/>
        <v>-1833.664338035444</v>
      </c>
      <c r="BH781">
        <f t="shared" si="278"/>
        <v>-3.6077424085948966</v>
      </c>
      <c r="BJ781">
        <f t="shared" si="279"/>
        <v>22.660921983704895</v>
      </c>
      <c r="BN781" s="20">
        <f t="shared" si="280"/>
        <v>-0.73263469564033923</v>
      </c>
      <c r="BP781">
        <f t="shared" si="281"/>
        <v>9.177978096853991</v>
      </c>
      <c r="BR781">
        <f t="shared" si="282"/>
        <v>-0.70140139901038123</v>
      </c>
      <c r="BT781">
        <f t="shared" si="283"/>
        <v>2.8543735801589398</v>
      </c>
      <c r="BV781">
        <f t="shared" si="284"/>
        <v>-2.1737063139441761</v>
      </c>
      <c r="BX781">
        <f t="shared" si="285"/>
        <v>10.628570306691962</v>
      </c>
      <c r="CB781">
        <f t="shared" si="286"/>
        <v>238156.47178658596</v>
      </c>
      <c r="CD781">
        <f t="shared" si="287"/>
        <v>247038.07735138756</v>
      </c>
      <c r="CF781">
        <f t="shared" si="288"/>
        <v>219349.5559850646</v>
      </c>
    </row>
    <row r="782" spans="12:84" x14ac:dyDescent="0.25">
      <c r="L782">
        <v>771</v>
      </c>
      <c r="M782">
        <f t="shared" si="300"/>
        <v>4.8443358718354377</v>
      </c>
      <c r="P782">
        <f t="shared" si="294"/>
        <v>20657.821795461296</v>
      </c>
      <c r="Q782">
        <f t="shared" si="295"/>
        <v>2543.4618446524519</v>
      </c>
      <c r="V782">
        <f t="shared" si="296"/>
        <v>-19539.524743177091</v>
      </c>
      <c r="W782">
        <f t="shared" si="297"/>
        <v>6530.4232912567159</v>
      </c>
      <c r="AB782">
        <f t="shared" si="298"/>
        <v>-4342.1782045387035</v>
      </c>
      <c r="AC782">
        <f t="shared" si="299"/>
        <v>-19956.538155347549</v>
      </c>
      <c r="AW782">
        <v>775</v>
      </c>
      <c r="AX782">
        <f t="shared" si="289"/>
        <v>387.5</v>
      </c>
      <c r="AZ782">
        <f t="shared" si="290"/>
        <v>39401.483208469355</v>
      </c>
      <c r="BB782">
        <f t="shared" si="291"/>
        <v>-230815.30288388819</v>
      </c>
      <c r="BD782">
        <f t="shared" si="292"/>
        <v>900.81220672064558</v>
      </c>
      <c r="BF782">
        <f t="shared" si="293"/>
        <v>-1822.3338770435914</v>
      </c>
      <c r="BH782">
        <f t="shared" si="278"/>
        <v>-3.6062161442864067</v>
      </c>
      <c r="BJ782">
        <f t="shared" si="279"/>
        <v>22.466774864134752</v>
      </c>
      <c r="BN782" s="20">
        <f t="shared" si="280"/>
        <v>-0.74120090683944995</v>
      </c>
      <c r="BP782">
        <f t="shared" si="281"/>
        <v>9.1044337545362222</v>
      </c>
      <c r="BR782">
        <f t="shared" si="282"/>
        <v>-0.69829848748211909</v>
      </c>
      <c r="BT782">
        <f t="shared" si="283"/>
        <v>2.830921934662928</v>
      </c>
      <c r="BV782">
        <f t="shared" si="284"/>
        <v>-2.1667167499648379</v>
      </c>
      <c r="BX782">
        <f t="shared" si="285"/>
        <v>10.531419174935602</v>
      </c>
      <c r="CB782">
        <f t="shared" si="286"/>
        <v>239103.74555687723</v>
      </c>
      <c r="CD782">
        <f t="shared" si="287"/>
        <v>248033.35725346475</v>
      </c>
      <c r="CF782">
        <f t="shared" si="288"/>
        <v>220335.50932606478</v>
      </c>
    </row>
    <row r="783" spans="12:84" x14ac:dyDescent="0.25">
      <c r="L783">
        <v>772</v>
      </c>
      <c r="M783">
        <f t="shared" si="300"/>
        <v>4.8506190571426169</v>
      </c>
      <c r="P783">
        <f t="shared" si="294"/>
        <v>20688.951453423073</v>
      </c>
      <c r="Q783">
        <f t="shared" si="295"/>
        <v>2547.6928715167278</v>
      </c>
      <c r="V783">
        <f t="shared" si="296"/>
        <v>-19517.733982603848</v>
      </c>
      <c r="W783">
        <f t="shared" si="297"/>
        <v>6533.3850100617092</v>
      </c>
      <c r="AB783">
        <f t="shared" si="298"/>
        <v>-4311.0485465769279</v>
      </c>
      <c r="AC783">
        <f t="shared" si="299"/>
        <v>-19952.307128483273</v>
      </c>
      <c r="AW783">
        <v>776</v>
      </c>
      <c r="AX783">
        <f t="shared" si="289"/>
        <v>388</v>
      </c>
      <c r="AZ783">
        <f t="shared" si="290"/>
        <v>39851.438534811641</v>
      </c>
      <c r="BB783">
        <f t="shared" si="291"/>
        <v>-231723.66147555195</v>
      </c>
      <c r="BD783">
        <f t="shared" si="292"/>
        <v>899.00909864850234</v>
      </c>
      <c r="BF783">
        <f t="shared" si="293"/>
        <v>-1811.1004896115242</v>
      </c>
      <c r="BH783">
        <f t="shared" si="278"/>
        <v>-3.6045198806103298</v>
      </c>
      <c r="BJ783">
        <f t="shared" si="279"/>
        <v>22.276093068439145</v>
      </c>
      <c r="BN783" s="20">
        <f t="shared" si="280"/>
        <v>-0.74951115450649852</v>
      </c>
      <c r="BP783">
        <f t="shared" si="281"/>
        <v>9.0321314691320431</v>
      </c>
      <c r="BR783">
        <f t="shared" si="282"/>
        <v>-0.69523830126550279</v>
      </c>
      <c r="BT783">
        <f t="shared" si="283"/>
        <v>2.807878171252197</v>
      </c>
      <c r="BV783">
        <f t="shared" si="284"/>
        <v>-2.1597704248383285</v>
      </c>
      <c r="BX783">
        <f t="shared" si="285"/>
        <v>10.436083428054905</v>
      </c>
      <c r="CB783">
        <f t="shared" si="286"/>
        <v>240045.9119036833</v>
      </c>
      <c r="CD783">
        <f t="shared" si="287"/>
        <v>249023.13790456014</v>
      </c>
      <c r="CF783">
        <f t="shared" si="288"/>
        <v>221316.05676500662</v>
      </c>
    </row>
    <row r="784" spans="12:84" x14ac:dyDescent="0.25">
      <c r="L784">
        <v>773</v>
      </c>
      <c r="M784">
        <f t="shared" si="300"/>
        <v>4.8569022424497961</v>
      </c>
      <c r="P784">
        <f t="shared" si="294"/>
        <v>20720.053912761141</v>
      </c>
      <c r="Q784">
        <f t="shared" si="295"/>
        <v>2552.1194069867279</v>
      </c>
      <c r="V784">
        <f t="shared" si="296"/>
        <v>-19495.962261067201</v>
      </c>
      <c r="W784">
        <f t="shared" si="297"/>
        <v>6536.4835848907096</v>
      </c>
      <c r="AB784">
        <f t="shared" si="298"/>
        <v>-4279.946087238859</v>
      </c>
      <c r="AC784">
        <f t="shared" si="299"/>
        <v>-19947.880593013273</v>
      </c>
      <c r="AW784">
        <v>777</v>
      </c>
      <c r="AX784">
        <f t="shared" si="289"/>
        <v>388.5</v>
      </c>
      <c r="AZ784">
        <f t="shared" si="290"/>
        <v>40300.492519150815</v>
      </c>
      <c r="BB784">
        <f t="shared" si="291"/>
        <v>-232626.42720872414</v>
      </c>
      <c r="BD784">
        <f t="shared" si="292"/>
        <v>897.20683870819721</v>
      </c>
      <c r="BF784">
        <f t="shared" si="293"/>
        <v>-1799.9624430773047</v>
      </c>
      <c r="BH784">
        <f t="shared" si="278"/>
        <v>-3.6026624786929937</v>
      </c>
      <c r="BJ784">
        <f t="shared" si="279"/>
        <v>22.088789528236475</v>
      </c>
      <c r="BN784" s="20">
        <f t="shared" si="280"/>
        <v>-0.75757410492274857</v>
      </c>
      <c r="BP784">
        <f t="shared" si="281"/>
        <v>8.9610418559714979</v>
      </c>
      <c r="BR784">
        <f t="shared" si="282"/>
        <v>-0.69222004654134228</v>
      </c>
      <c r="BT784">
        <f t="shared" si="283"/>
        <v>2.7852322546327986</v>
      </c>
      <c r="BV784">
        <f t="shared" si="284"/>
        <v>-2.1528683272289029</v>
      </c>
      <c r="BX784">
        <f t="shared" si="285"/>
        <v>10.34251541763218</v>
      </c>
      <c r="CB784">
        <f t="shared" si="286"/>
        <v>240983.00985867612</v>
      </c>
      <c r="CD784">
        <f t="shared" si="287"/>
        <v>250007.46504479117</v>
      </c>
      <c r="CF784">
        <f t="shared" si="288"/>
        <v>222291.24238735036</v>
      </c>
    </row>
    <row r="785" spans="12:84" x14ac:dyDescent="0.25">
      <c r="L785">
        <v>774</v>
      </c>
      <c r="M785">
        <f t="shared" si="300"/>
        <v>4.8631854277569753</v>
      </c>
      <c r="P785">
        <f t="shared" si="294"/>
        <v>20751.127945603665</v>
      </c>
      <c r="Q785">
        <f t="shared" si="295"/>
        <v>2556.7412763104112</v>
      </c>
      <c r="V785">
        <f t="shared" si="296"/>
        <v>-19474.210438077436</v>
      </c>
      <c r="W785">
        <f t="shared" si="297"/>
        <v>6539.7188934172882</v>
      </c>
      <c r="AB785">
        <f t="shared" si="298"/>
        <v>-4248.8720543963364</v>
      </c>
      <c r="AC785">
        <f t="shared" si="299"/>
        <v>-19943.258723689589</v>
      </c>
      <c r="AW785">
        <v>778</v>
      </c>
      <c r="AX785">
        <f t="shared" si="289"/>
        <v>389</v>
      </c>
      <c r="AZ785">
        <f t="shared" si="290"/>
        <v>40748.645605695077</v>
      </c>
      <c r="BB785">
        <f t="shared" si="291"/>
        <v>-233523.64733157176</v>
      </c>
      <c r="BD785">
        <f t="shared" si="292"/>
        <v>895.40550746885071</v>
      </c>
      <c r="BF785">
        <f t="shared" si="293"/>
        <v>-1788.9180483131863</v>
      </c>
      <c r="BH785">
        <f t="shared" si="278"/>
        <v>-3.6006523928742933</v>
      </c>
      <c r="BJ785">
        <f t="shared" si="279"/>
        <v>21.904780018669449</v>
      </c>
      <c r="BN785" s="20">
        <f t="shared" si="280"/>
        <v>-0.76539808822071653</v>
      </c>
      <c r="BP785">
        <f t="shared" si="281"/>
        <v>8.891136433162341</v>
      </c>
      <c r="BR785">
        <f t="shared" si="282"/>
        <v>-0.68924294963935873</v>
      </c>
      <c r="BT785">
        <f t="shared" si="283"/>
        <v>2.7629744716154154</v>
      </c>
      <c r="BV785">
        <f t="shared" si="284"/>
        <v>-2.1460113550142181</v>
      </c>
      <c r="BX785">
        <f t="shared" si="285"/>
        <v>10.250669113891695</v>
      </c>
      <c r="CB785">
        <f t="shared" si="286"/>
        <v>241915.07780104282</v>
      </c>
      <c r="CD785">
        <f t="shared" si="287"/>
        <v>250986.38359998353</v>
      </c>
      <c r="CF785">
        <f t="shared" si="288"/>
        <v>223261.10950599666</v>
      </c>
    </row>
    <row r="786" spans="12:84" x14ac:dyDescent="0.25">
      <c r="L786">
        <v>775</v>
      </c>
      <c r="M786">
        <f t="shared" si="300"/>
        <v>4.8694686130641545</v>
      </c>
      <c r="P786">
        <f t="shared" si="294"/>
        <v>20782.172325201031</v>
      </c>
      <c r="Q786">
        <f t="shared" si="295"/>
        <v>2561.5582970242913</v>
      </c>
      <c r="V786">
        <f t="shared" si="296"/>
        <v>-19452.479372359277</v>
      </c>
      <c r="W786">
        <f t="shared" si="297"/>
        <v>6543.090807917004</v>
      </c>
      <c r="AB786">
        <f t="shared" si="298"/>
        <v>-4217.8276747989694</v>
      </c>
      <c r="AC786">
        <f t="shared" si="299"/>
        <v>-19938.44170297571</v>
      </c>
      <c r="AW786">
        <v>779</v>
      </c>
      <c r="AX786">
        <f t="shared" si="289"/>
        <v>389.5</v>
      </c>
      <c r="AZ786">
        <f t="shared" si="290"/>
        <v>41195.898277880391</v>
      </c>
      <c r="BB786">
        <f t="shared" si="291"/>
        <v>-234415.36825822602</v>
      </c>
      <c r="BD786">
        <f t="shared" si="292"/>
        <v>893.60518127241357</v>
      </c>
      <c r="BF786">
        <f t="shared" si="293"/>
        <v>-1777.9656583038516</v>
      </c>
      <c r="BH786">
        <f t="shared" si="278"/>
        <v>-3.5984976909945754</v>
      </c>
      <c r="BJ786">
        <f t="shared" si="279"/>
        <v>21.723983044742987</v>
      </c>
      <c r="BN786" s="20">
        <f t="shared" si="280"/>
        <v>-0.77299111347657068</v>
      </c>
      <c r="BP786">
        <f t="shared" si="281"/>
        <v>8.8223875877045757</v>
      </c>
      <c r="BR786">
        <f t="shared" si="282"/>
        <v>-0.68630625640172427</v>
      </c>
      <c r="BT786">
        <f t="shared" si="283"/>
        <v>2.7410954184323804</v>
      </c>
      <c r="BV786">
        <f t="shared" si="284"/>
        <v>-2.1392003211162804</v>
      </c>
      <c r="BX786">
        <f t="shared" si="285"/>
        <v>10.160500038606031</v>
      </c>
      <c r="CB786">
        <f t="shared" si="286"/>
        <v>242842.15347282556</v>
      </c>
      <c r="CD786">
        <f t="shared" si="287"/>
        <v>251959.93770208969</v>
      </c>
      <c r="CF786">
        <f t="shared" si="288"/>
        <v>224225.70068034844</v>
      </c>
    </row>
    <row r="787" spans="12:84" x14ac:dyDescent="0.25">
      <c r="L787">
        <v>776</v>
      </c>
      <c r="M787">
        <f t="shared" si="300"/>
        <v>4.8757517983713337</v>
      </c>
      <c r="P787">
        <f t="shared" si="294"/>
        <v>20813.185825974291</v>
      </c>
      <c r="Q787">
        <f t="shared" si="295"/>
        <v>2566.5702789606385</v>
      </c>
      <c r="V787">
        <f t="shared" si="296"/>
        <v>-19430.769921817995</v>
      </c>
      <c r="W787">
        <f t="shared" si="297"/>
        <v>6546.5991952724471</v>
      </c>
      <c r="AB787">
        <f t="shared" si="298"/>
        <v>-4186.8141740257079</v>
      </c>
      <c r="AC787">
        <f t="shared" si="299"/>
        <v>-19933.429721039363</v>
      </c>
      <c r="AW787">
        <v>780</v>
      </c>
      <c r="AX787">
        <f t="shared" si="289"/>
        <v>390</v>
      </c>
      <c r="AZ787">
        <f t="shared" si="290"/>
        <v>41642.251056305227</v>
      </c>
      <c r="BB787">
        <f t="shared" si="291"/>
        <v>-235301.63558949737</v>
      </c>
      <c r="BD787">
        <f t="shared" si="292"/>
        <v>891.80593242691634</v>
      </c>
      <c r="BF787">
        <f t="shared" si="293"/>
        <v>-1767.1036667814801</v>
      </c>
      <c r="BH787">
        <f t="shared" si="278"/>
        <v>-3.5962060735587098</v>
      </c>
      <c r="BJ787">
        <f t="shared" si="279"/>
        <v>21.546319733026188</v>
      </c>
      <c r="BN787" s="20">
        <f t="shared" si="280"/>
        <v>-0.78036088302980666</v>
      </c>
      <c r="BP787">
        <f t="shared" si="281"/>
        <v>8.7547685431040545</v>
      </c>
      <c r="BR787">
        <f t="shared" si="282"/>
        <v>-0.68340923157082678</v>
      </c>
      <c r="BT787">
        <f t="shared" si="283"/>
        <v>2.7195859886453282</v>
      </c>
      <c r="BV787">
        <f t="shared" si="284"/>
        <v>-2.1324359589580761</v>
      </c>
      <c r="BX787">
        <f t="shared" si="285"/>
        <v>10.071965201276804</v>
      </c>
      <c r="CB787">
        <f t="shared" si="286"/>
        <v>243764.27399378936</v>
      </c>
      <c r="CD787">
        <f t="shared" si="287"/>
        <v>252928.17070894086</v>
      </c>
      <c r="CF787">
        <f t="shared" si="288"/>
        <v>225185.05773475979</v>
      </c>
    </row>
    <row r="788" spans="12:84" x14ac:dyDescent="0.25">
      <c r="L788">
        <v>777</v>
      </c>
      <c r="M788">
        <f t="shared" si="300"/>
        <v>4.8820349836785129</v>
      </c>
      <c r="P788">
        <f t="shared" si="294"/>
        <v>20844.167223563541</v>
      </c>
      <c r="Q788">
        <f t="shared" si="295"/>
        <v>2571.7770242549877</v>
      </c>
      <c r="V788">
        <f t="shared" si="296"/>
        <v>-19409.08294350552</v>
      </c>
      <c r="W788">
        <f t="shared" si="297"/>
        <v>6550.2439169784921</v>
      </c>
      <c r="AB788">
        <f t="shared" si="298"/>
        <v>-4155.8327764364585</v>
      </c>
      <c r="AC788">
        <f t="shared" si="299"/>
        <v>-19928.222975745011</v>
      </c>
      <c r="AW788">
        <v>781</v>
      </c>
      <c r="AX788">
        <f t="shared" si="289"/>
        <v>390.5</v>
      </c>
      <c r="AZ788">
        <f t="shared" si="290"/>
        <v>42087.704496759492</v>
      </c>
      <c r="BB788">
        <f t="shared" si="291"/>
        <v>-236182.49413292148</v>
      </c>
      <c r="BD788">
        <f t="shared" si="292"/>
        <v>890.00782939013698</v>
      </c>
      <c r="BF788">
        <f t="shared" si="293"/>
        <v>-1756.3305069149669</v>
      </c>
      <c r="BH788">
        <f t="shared" si="278"/>
        <v>-3.5937848918459636</v>
      </c>
      <c r="BJ788">
        <f t="shared" si="279"/>
        <v>21.371713728425394</v>
      </c>
      <c r="BN788" s="20">
        <f t="shared" si="280"/>
        <v>-0.78751480607467383</v>
      </c>
      <c r="BP788">
        <f t="shared" si="281"/>
        <v>8.6882533284087931</v>
      </c>
      <c r="BR788">
        <f t="shared" si="282"/>
        <v>-0.68055115820006884</v>
      </c>
      <c r="BT788">
        <f t="shared" si="283"/>
        <v>2.6984373616113579</v>
      </c>
      <c r="BV788">
        <f t="shared" si="284"/>
        <v>-2.1257189275712212</v>
      </c>
      <c r="BX788">
        <f t="shared" si="285"/>
        <v>9.9850230384052434</v>
      </c>
      <c r="CB788">
        <f t="shared" si="286"/>
        <v>244681.47587583633</v>
      </c>
      <c r="CD788">
        <f t="shared" si="287"/>
        <v>253891.12522335799</v>
      </c>
      <c r="CF788">
        <f t="shared" si="288"/>
        <v>226139.22177639595</v>
      </c>
    </row>
    <row r="789" spans="12:84" x14ac:dyDescent="0.25">
      <c r="L789">
        <v>778</v>
      </c>
      <c r="M789">
        <f t="shared" si="300"/>
        <v>4.888318168985692</v>
      </c>
      <c r="P789">
        <f t="shared" si="294"/>
        <v>20875.11529487625</v>
      </c>
      <c r="Q789">
        <f t="shared" si="295"/>
        <v>2577.1783273539504</v>
      </c>
      <c r="V789">
        <f t="shared" si="296"/>
        <v>-19387.419293586623</v>
      </c>
      <c r="W789">
        <f t="shared" si="297"/>
        <v>6554.0248291477656</v>
      </c>
      <c r="AB789">
        <f t="shared" si="298"/>
        <v>-4124.884705123749</v>
      </c>
      <c r="AC789">
        <f t="shared" si="299"/>
        <v>-19922.821672646049</v>
      </c>
      <c r="AW789">
        <v>782</v>
      </c>
      <c r="AX789">
        <f t="shared" si="289"/>
        <v>391</v>
      </c>
      <c r="AZ789">
        <f t="shared" si="290"/>
        <v>42532.25918834308</v>
      </c>
      <c r="BB789">
        <f t="shared" si="291"/>
        <v>-237057.98792216292</v>
      </c>
      <c r="BD789">
        <f t="shared" si="292"/>
        <v>888.21093694421404</v>
      </c>
      <c r="BF789">
        <f t="shared" si="293"/>
        <v>-1745.6446500507543</v>
      </c>
      <c r="BH789">
        <f t="shared" si="278"/>
        <v>-3.5912411650306222</v>
      </c>
      <c r="BJ789">
        <f t="shared" si="279"/>
        <v>21.200091095758268</v>
      </c>
      <c r="BN789" s="20">
        <f t="shared" si="280"/>
        <v>-0.79446001156504942</v>
      </c>
      <c r="BP789">
        <f t="shared" si="281"/>
        <v>8.6228167485967084</v>
      </c>
      <c r="BR789">
        <f t="shared" si="282"/>
        <v>-0.67773133708688083</v>
      </c>
      <c r="BT789">
        <f t="shared" si="283"/>
        <v>2.6776409914787629</v>
      </c>
      <c r="BV789">
        <f t="shared" si="284"/>
        <v>-2.1190498163786922</v>
      </c>
      <c r="BX789">
        <f t="shared" si="285"/>
        <v>9.8996333556827949</v>
      </c>
      <c r="CB789">
        <f t="shared" si="286"/>
        <v>245593.79503698269</v>
      </c>
      <c r="CD789">
        <f t="shared" si="287"/>
        <v>254848.84311164866</v>
      </c>
      <c r="CF789">
        <f t="shared" si="288"/>
        <v>227088.2332125275</v>
      </c>
    </row>
    <row r="790" spans="12:84" x14ac:dyDescent="0.25">
      <c r="L790">
        <v>779</v>
      </c>
      <c r="M790">
        <f t="shared" si="300"/>
        <v>4.8946013542928712</v>
      </c>
      <c r="P790">
        <f t="shared" si="294"/>
        <v>20906.028818135557</v>
      </c>
      <c r="Q790">
        <f t="shared" si="295"/>
        <v>2582.7739750233277</v>
      </c>
      <c r="V790">
        <f t="shared" si="296"/>
        <v>-19365.779827305112</v>
      </c>
      <c r="W790">
        <f t="shared" si="297"/>
        <v>6557.9417825163291</v>
      </c>
      <c r="AB790">
        <f t="shared" si="298"/>
        <v>-4093.9711818644441</v>
      </c>
      <c r="AC790">
        <f t="shared" si="299"/>
        <v>-19917.226024976673</v>
      </c>
      <c r="AW790">
        <v>783</v>
      </c>
      <c r="AX790">
        <f t="shared" si="289"/>
        <v>391.5</v>
      </c>
      <c r="AZ790">
        <f t="shared" si="290"/>
        <v>42975.915751669563</v>
      </c>
      <c r="BB790">
        <f t="shared" si="291"/>
        <v>-237928.1602358013</v>
      </c>
      <c r="BD790">
        <f t="shared" si="292"/>
        <v>886.41531636169873</v>
      </c>
      <c r="BF790">
        <f t="shared" si="293"/>
        <v>-1735.0446045028752</v>
      </c>
      <c r="BH790">
        <f t="shared" si="278"/>
        <v>-3.5885815963725758</v>
      </c>
      <c r="BJ790">
        <f t="shared" si="279"/>
        <v>21.031380225868446</v>
      </c>
      <c r="BN790" s="20">
        <f t="shared" si="280"/>
        <v>-0.80120336047173335</v>
      </c>
      <c r="BP790">
        <f t="shared" si="281"/>
        <v>8.5584343562467247</v>
      </c>
      <c r="BR790">
        <f t="shared" si="282"/>
        <v>-0.67494908622671523</v>
      </c>
      <c r="BT790">
        <f t="shared" si="283"/>
        <v>2.6571885966833029</v>
      </c>
      <c r="BV790">
        <f t="shared" si="284"/>
        <v>-2.112429149674127</v>
      </c>
      <c r="BX790">
        <f t="shared" si="285"/>
        <v>9.8157572729384164</v>
      </c>
      <c r="CB790">
        <f t="shared" si="286"/>
        <v>246501.26681491514</v>
      </c>
      <c r="CD790">
        <f t="shared" si="287"/>
        <v>255801.36552151269</v>
      </c>
      <c r="CF790">
        <f t="shared" si="288"/>
        <v>228032.13176728055</v>
      </c>
    </row>
    <row r="791" spans="12:84" x14ac:dyDescent="0.25">
      <c r="L791">
        <v>780</v>
      </c>
      <c r="M791">
        <f t="shared" si="300"/>
        <v>4.9008845396000504</v>
      </c>
      <c r="P791">
        <f t="shared" si="294"/>
        <v>20936.906572928492</v>
      </c>
      <c r="Q791">
        <f t="shared" si="295"/>
        <v>2588.5637463565317</v>
      </c>
      <c r="V791">
        <f t="shared" si="296"/>
        <v>-19344.165398950056</v>
      </c>
      <c r="W791">
        <f t="shared" si="297"/>
        <v>6561.9946224495725</v>
      </c>
      <c r="AB791">
        <f t="shared" si="298"/>
        <v>-4063.0934270715097</v>
      </c>
      <c r="AC791">
        <f t="shared" si="299"/>
        <v>-19911.436253643467</v>
      </c>
      <c r="AW791">
        <v>784</v>
      </c>
      <c r="AX791">
        <f t="shared" si="289"/>
        <v>392</v>
      </c>
      <c r="AZ791">
        <f t="shared" si="290"/>
        <v>43418.674837150866</v>
      </c>
      <c r="BB791">
        <f t="shared" si="291"/>
        <v>-238793.05361552449</v>
      </c>
      <c r="BD791">
        <f t="shared" si="292"/>
        <v>884.62102556351249</v>
      </c>
      <c r="BF791">
        <f t="shared" si="293"/>
        <v>-1724.5289143899411</v>
      </c>
      <c r="BH791">
        <f t="shared" si="278"/>
        <v>-3.5858125885345009</v>
      </c>
      <c r="BJ791">
        <f t="shared" si="279"/>
        <v>20.865511746042493</v>
      </c>
      <c r="BN791" s="20">
        <f t="shared" si="280"/>
        <v>-0.80775145742867815</v>
      </c>
      <c r="BP791">
        <f t="shared" si="281"/>
        <v>8.4950824244290626</v>
      </c>
      <c r="BR791">
        <f t="shared" si="282"/>
        <v>-0.67220374028734986</v>
      </c>
      <c r="BT791">
        <f t="shared" si="283"/>
        <v>2.6370721499197463</v>
      </c>
      <c r="BV791">
        <f t="shared" si="284"/>
        <v>-2.105857390818473</v>
      </c>
      <c r="BX791">
        <f t="shared" si="285"/>
        <v>9.7333571716936866</v>
      </c>
      <c r="CB791">
        <f t="shared" si="286"/>
        <v>247403.92598014249</v>
      </c>
      <c r="CD791">
        <f t="shared" si="287"/>
        <v>256748.73289938067</v>
      </c>
      <c r="CF791">
        <f t="shared" si="288"/>
        <v>228970.9564978641</v>
      </c>
    </row>
    <row r="792" spans="12:84" x14ac:dyDescent="0.25">
      <c r="L792">
        <v>781</v>
      </c>
      <c r="M792">
        <f t="shared" si="300"/>
        <v>4.9071677249072296</v>
      </c>
      <c r="P792">
        <f t="shared" si="294"/>
        <v>20967.747340254165</v>
      </c>
      <c r="Q792">
        <f t="shared" si="295"/>
        <v>2594.5474127833031</v>
      </c>
      <c r="V792">
        <f t="shared" si="296"/>
        <v>-19322.576861822083</v>
      </c>
      <c r="W792">
        <f t="shared" si="297"/>
        <v>6566.1831889483119</v>
      </c>
      <c r="AB792">
        <f t="shared" si="298"/>
        <v>-4032.2526597458332</v>
      </c>
      <c r="AC792">
        <f t="shared" si="299"/>
        <v>-19905.452587216696</v>
      </c>
      <c r="AW792">
        <v>785</v>
      </c>
      <c r="AX792">
        <f t="shared" si="289"/>
        <v>392.5</v>
      </c>
      <c r="AZ792">
        <f t="shared" si="290"/>
        <v>43860.537123359056</v>
      </c>
      <c r="BB792">
        <f t="shared" si="291"/>
        <v>-239652.7098837512</v>
      </c>
      <c r="BD792">
        <f t="shared" si="292"/>
        <v>882.82811926924524</v>
      </c>
      <c r="BF792">
        <f t="shared" si="293"/>
        <v>-1714.0961585169198</v>
      </c>
      <c r="BH792">
        <f t="shared" si="278"/>
        <v>-3.5829402580774472</v>
      </c>
      <c r="BJ792">
        <f t="shared" si="279"/>
        <v>20.70241843450059</v>
      </c>
      <c r="BN792" s="20">
        <f t="shared" si="280"/>
        <v>-0.81411066180246461</v>
      </c>
      <c r="BP792">
        <f t="shared" si="281"/>
        <v>8.4327379207550379</v>
      </c>
      <c r="BR792">
        <f t="shared" si="282"/>
        <v>-0.66949465010247311</v>
      </c>
      <c r="BT792">
        <f t="shared" si="283"/>
        <v>2.6172838685633129</v>
      </c>
      <c r="BV792">
        <f t="shared" si="284"/>
        <v>-2.0993349461725095</v>
      </c>
      <c r="BX792">
        <f t="shared" si="285"/>
        <v>9.6523966451822396</v>
      </c>
      <c r="CB792">
        <f t="shared" si="286"/>
        <v>248301.80674875664</v>
      </c>
      <c r="CD792">
        <f t="shared" si="287"/>
        <v>257690.98500720659</v>
      </c>
      <c r="CF792">
        <f t="shared" si="288"/>
        <v>229904.74581029429</v>
      </c>
    </row>
    <row r="793" spans="12:84" x14ac:dyDescent="0.25">
      <c r="L793">
        <v>782</v>
      </c>
      <c r="M793">
        <f t="shared" si="300"/>
        <v>4.9134509102144088</v>
      </c>
      <c r="P793">
        <f t="shared" si="294"/>
        <v>20998.5499025719</v>
      </c>
      <c r="Q793">
        <f t="shared" si="295"/>
        <v>2600.7247380787376</v>
      </c>
      <c r="V793">
        <f t="shared" si="296"/>
        <v>-19301.015068199671</v>
      </c>
      <c r="W793">
        <f t="shared" si="297"/>
        <v>6570.5073166551165</v>
      </c>
      <c r="AB793">
        <f t="shared" si="298"/>
        <v>-4001.4500974281009</v>
      </c>
      <c r="AC793">
        <f t="shared" si="299"/>
        <v>-19899.275261921262</v>
      </c>
      <c r="AW793">
        <v>786</v>
      </c>
      <c r="AX793">
        <f t="shared" si="289"/>
        <v>393</v>
      </c>
      <c r="AZ793">
        <f t="shared" si="290"/>
        <v>44301.503315461421</v>
      </c>
      <c r="BB793">
        <f t="shared" si="291"/>
        <v>-240507.17016070537</v>
      </c>
      <c r="BD793">
        <f t="shared" si="292"/>
        <v>881.03664914020646</v>
      </c>
      <c r="BF793">
        <f t="shared" si="293"/>
        <v>-1703.7449492996695</v>
      </c>
      <c r="BH793">
        <f t="shared" si="278"/>
        <v>-3.5799704491838709</v>
      </c>
      <c r="BJ793">
        <f t="shared" si="279"/>
        <v>20.542035138748524</v>
      </c>
      <c r="BN793" s="20">
        <f t="shared" si="280"/>
        <v>-0.82028709821709311</v>
      </c>
      <c r="BP793">
        <f t="shared" si="281"/>
        <v>8.3713784825288737</v>
      </c>
      <c r="BR793">
        <f t="shared" si="282"/>
        <v>-0.66682118218376496</v>
      </c>
      <c r="BT793">
        <f t="shared" si="283"/>
        <v>2.5978162055179386</v>
      </c>
      <c r="BV793">
        <f t="shared" si="284"/>
        <v>-2.0928621687830127</v>
      </c>
      <c r="BX793">
        <f t="shared" si="285"/>
        <v>9.5728404507017117</v>
      </c>
      <c r="CB793">
        <f t="shared" si="286"/>
        <v>249194.94279481767</v>
      </c>
      <c r="CD793">
        <f t="shared" si="287"/>
        <v>258628.16093873631</v>
      </c>
      <c r="CF793">
        <f t="shared" si="288"/>
        <v>230833.53747463512</v>
      </c>
    </row>
    <row r="794" spans="12:84" x14ac:dyDescent="0.25">
      <c r="L794">
        <v>783</v>
      </c>
      <c r="M794">
        <f t="shared" si="300"/>
        <v>4.919734095521588</v>
      </c>
      <c r="P794">
        <f t="shared" si="294"/>
        <v>21029.31304384927</v>
      </c>
      <c r="Q794">
        <f t="shared" si="295"/>
        <v>2607.0954783726102</v>
      </c>
      <c r="V794">
        <f t="shared" si="296"/>
        <v>-19279.480869305513</v>
      </c>
      <c r="W794">
        <f t="shared" si="297"/>
        <v>6574.9668348608266</v>
      </c>
      <c r="AB794">
        <f t="shared" si="298"/>
        <v>-3970.686956150731</v>
      </c>
      <c r="AC794">
        <f t="shared" si="299"/>
        <v>-19892.904521627388</v>
      </c>
      <c r="AW794">
        <v>787</v>
      </c>
      <c r="AX794">
        <f t="shared" si="289"/>
        <v>393.5</v>
      </c>
      <c r="AZ794">
        <f t="shared" si="290"/>
        <v>44741.574143725375</v>
      </c>
      <c r="BB794">
        <f t="shared" si="291"/>
        <v>-241356.47488096287</v>
      </c>
      <c r="BD794">
        <f t="shared" si="292"/>
        <v>879.24666391561448</v>
      </c>
      <c r="BF794">
        <f t="shared" si="293"/>
        <v>-1693.4739317302954</v>
      </c>
      <c r="BH794">
        <f t="shared" si="278"/>
        <v>-3.5769087466535718</v>
      </c>
      <c r="BJ794">
        <f t="shared" si="279"/>
        <v>20.384298697589813</v>
      </c>
      <c r="BN794" s="20">
        <f t="shared" si="280"/>
        <v>-0.82628666656425109</v>
      </c>
      <c r="BP794">
        <f t="shared" si="281"/>
        <v>8.3109823929480822</v>
      </c>
      <c r="BR794">
        <f t="shared" si="282"/>
        <v>-0.66418271825070263</v>
      </c>
      <c r="BT794">
        <f t="shared" si="283"/>
        <v>2.5786618404695139</v>
      </c>
      <c r="BV794">
        <f t="shared" si="284"/>
        <v>-2.0864393618386181</v>
      </c>
      <c r="BX794">
        <f t="shared" si="285"/>
        <v>9.4946544641722159</v>
      </c>
      <c r="CB794">
        <f t="shared" si="286"/>
        <v>250083.36726237665</v>
      </c>
      <c r="CD794">
        <f t="shared" si="287"/>
        <v>259560.29913527146</v>
      </c>
      <c r="CF794">
        <f t="shared" si="288"/>
        <v>231757.36863977314</v>
      </c>
    </row>
    <row r="795" spans="12:84" x14ac:dyDescent="0.25">
      <c r="L795">
        <v>784</v>
      </c>
      <c r="M795">
        <f t="shared" si="300"/>
        <v>4.9260172808287672</v>
      </c>
      <c r="P795">
        <f t="shared" si="294"/>
        <v>21060.035549610133</v>
      </c>
      <c r="Q795">
        <f t="shared" si="295"/>
        <v>2613.6593821590022</v>
      </c>
      <c r="V795">
        <f t="shared" si="296"/>
        <v>-19257.975115272908</v>
      </c>
      <c r="W795">
        <f t="shared" si="297"/>
        <v>6579.5615675113022</v>
      </c>
      <c r="AB795">
        <f t="shared" si="298"/>
        <v>-3939.9644503898662</v>
      </c>
      <c r="AC795">
        <f t="shared" si="299"/>
        <v>-19886.340617840997</v>
      </c>
      <c r="AW795">
        <v>788</v>
      </c>
      <c r="AX795">
        <f t="shared" si="289"/>
        <v>394</v>
      </c>
      <c r="AZ795">
        <f t="shared" si="290"/>
        <v>45180.75036208985</v>
      </c>
      <c r="BB795">
        <f t="shared" si="291"/>
        <v>-242200.66380949083</v>
      </c>
      <c r="BD795">
        <f t="shared" si="292"/>
        <v>877.4582095422877</v>
      </c>
      <c r="BF795">
        <f t="shared" si="293"/>
        <v>-1683.2817823815005</v>
      </c>
      <c r="BH795">
        <f t="shared" si="278"/>
        <v>-3.5737604882154699</v>
      </c>
      <c r="BJ795">
        <f t="shared" si="279"/>
        <v>20.229147866609875</v>
      </c>
      <c r="BN795" s="20">
        <f t="shared" si="280"/>
        <v>-0.83211505152727427</v>
      </c>
      <c r="BP795">
        <f t="shared" si="281"/>
        <v>8.2515285583008566</v>
      </c>
      <c r="BR795">
        <f t="shared" si="282"/>
        <v>-0.66157865477730671</v>
      </c>
      <c r="BT795">
        <f t="shared" si="283"/>
        <v>2.5598136715233282</v>
      </c>
      <c r="BV795">
        <f t="shared" si="284"/>
        <v>-2.0800667819108889</v>
      </c>
      <c r="BX795">
        <f t="shared" si="285"/>
        <v>9.4178056367856904</v>
      </c>
      <c r="CB795">
        <f t="shared" si="286"/>
        <v>250967.11277714904</v>
      </c>
      <c r="CD795">
        <f t="shared" si="287"/>
        <v>260487.43740094817</v>
      </c>
      <c r="CF795">
        <f t="shared" si="288"/>
        <v>232676.27584774443</v>
      </c>
    </row>
    <row r="796" spans="12:84" x14ac:dyDescent="0.25">
      <c r="L796">
        <v>785</v>
      </c>
      <c r="M796">
        <f t="shared" si="300"/>
        <v>4.9323004661359464</v>
      </c>
      <c r="P796">
        <f t="shared" si="294"/>
        <v>21090.716206982572</v>
      </c>
      <c r="Q796">
        <f t="shared" si="295"/>
        <v>2620.4161903062313</v>
      </c>
      <c r="V796">
        <f t="shared" si="296"/>
        <v>-19236.498655112198</v>
      </c>
      <c r="W796">
        <f t="shared" si="297"/>
        <v>6584.2913332143617</v>
      </c>
      <c r="AB796">
        <f t="shared" si="298"/>
        <v>-3909.2837930174287</v>
      </c>
      <c r="AC796">
        <f t="shared" si="299"/>
        <v>-19879.58380969377</v>
      </c>
      <c r="AW796">
        <v>789</v>
      </c>
      <c r="AX796">
        <f t="shared" si="289"/>
        <v>394.5</v>
      </c>
      <c r="AZ796">
        <f t="shared" si="290"/>
        <v>45619.032746799967</v>
      </c>
      <c r="BB796">
        <f t="shared" si="291"/>
        <v>-243039.77605719827</v>
      </c>
      <c r="BD796">
        <f t="shared" si="292"/>
        <v>875.67132929818001</v>
      </c>
      <c r="BF796">
        <f t="shared" si="293"/>
        <v>-1673.1672084481957</v>
      </c>
      <c r="BH796">
        <f t="shared" si="278"/>
        <v>-3.5705307761945821</v>
      </c>
      <c r="BJ796">
        <f t="shared" si="279"/>
        <v>20.076523246952878</v>
      </c>
      <c r="BN796" s="20">
        <f t="shared" si="280"/>
        <v>-0.83777773164548042</v>
      </c>
      <c r="BP796">
        <f t="shared" si="281"/>
        <v>8.1929964861137883</v>
      </c>
      <c r="BR796">
        <f t="shared" si="282"/>
        <v>-0.65900840255512194</v>
      </c>
      <c r="BT796">
        <f t="shared" si="283"/>
        <v>2.5412648072062933</v>
      </c>
      <c r="BV796">
        <f t="shared" si="284"/>
        <v>-2.0737446419939798</v>
      </c>
      <c r="BX796">
        <f t="shared" si="285"/>
        <v>9.3422619536327964</v>
      </c>
      <c r="CB796">
        <f t="shared" si="286"/>
        <v>251846.21145785111</v>
      </c>
      <c r="CD796">
        <f t="shared" si="287"/>
        <v>261409.61291754871</v>
      </c>
      <c r="CF796">
        <f t="shared" si="288"/>
        <v>233590.2950476298</v>
      </c>
    </row>
    <row r="797" spans="12:84" x14ac:dyDescent="0.25">
      <c r="L797">
        <v>786</v>
      </c>
      <c r="M797">
        <f t="shared" si="300"/>
        <v>4.9385836514431256</v>
      </c>
      <c r="P797">
        <f t="shared" si="294"/>
        <v>21121.353804746763</v>
      </c>
      <c r="Q797">
        <f t="shared" si="295"/>
        <v>2627.3656360670811</v>
      </c>
      <c r="V797">
        <f t="shared" si="296"/>
        <v>-19215.052336677265</v>
      </c>
      <c r="W797">
        <f t="shared" si="297"/>
        <v>6589.1559452469573</v>
      </c>
      <c r="AB797">
        <f t="shared" si="298"/>
        <v>-3878.6461952532372</v>
      </c>
      <c r="AC797">
        <f t="shared" si="299"/>
        <v>-19872.634363932921</v>
      </c>
      <c r="AW797">
        <v>790</v>
      </c>
      <c r="AX797">
        <f t="shared" si="289"/>
        <v>395</v>
      </c>
      <c r="AZ797">
        <f t="shared" si="290"/>
        <v>46056.422095102032</v>
      </c>
      <c r="BB797">
        <f t="shared" si="291"/>
        <v>-243873.85009601648</v>
      </c>
      <c r="BD797">
        <f t="shared" si="292"/>
        <v>873.88606391008273</v>
      </c>
      <c r="BF797">
        <f t="shared" si="293"/>
        <v>-1663.1289468247192</v>
      </c>
      <c r="BH797">
        <f t="shared" si="278"/>
        <v>-3.5672244885722737</v>
      </c>
      <c r="BJ797">
        <f t="shared" si="279"/>
        <v>19.926367217225973</v>
      </c>
      <c r="BN797" s="20">
        <f t="shared" si="280"/>
        <v>-0.84327998794367709</v>
      </c>
      <c r="BP797">
        <f t="shared" si="281"/>
        <v>8.1353662642029132</v>
      </c>
      <c r="BR797">
        <f t="shared" si="282"/>
        <v>-0.65647138627180401</v>
      </c>
      <c r="BT797">
        <f t="shared" si="283"/>
        <v>2.5230085588158091</v>
      </c>
      <c r="BV797">
        <f t="shared" si="284"/>
        <v>-2.0674731143567926</v>
      </c>
      <c r="BX797">
        <f t="shared" si="285"/>
        <v>9.2679923942072531</v>
      </c>
      <c r="CB797">
        <f t="shared" si="286"/>
        <v>252720.69492721147</v>
      </c>
      <c r="CD797">
        <f t="shared" si="287"/>
        <v>262326.86225886387</v>
      </c>
      <c r="CF797">
        <f t="shared" si="288"/>
        <v>234499.46160903451</v>
      </c>
    </row>
    <row r="798" spans="12:84" x14ac:dyDescent="0.25">
      <c r="L798">
        <v>787</v>
      </c>
      <c r="M798">
        <f t="shared" si="300"/>
        <v>4.9448668367503048</v>
      </c>
      <c r="P798">
        <f t="shared" si="294"/>
        <v>21151.947133382808</v>
      </c>
      <c r="Q798">
        <f t="shared" si="295"/>
        <v>2634.5074450893326</v>
      </c>
      <c r="V798">
        <f t="shared" si="296"/>
        <v>-19193.637006632034</v>
      </c>
      <c r="W798">
        <f t="shared" si="297"/>
        <v>6594.1552115625327</v>
      </c>
      <c r="AB798">
        <f t="shared" si="298"/>
        <v>-3848.0528666171917</v>
      </c>
      <c r="AC798">
        <f t="shared" si="299"/>
        <v>-19865.492554910667</v>
      </c>
      <c r="AW798">
        <v>791</v>
      </c>
      <c r="AX798">
        <f t="shared" si="289"/>
        <v>395.5</v>
      </c>
      <c r="AZ798">
        <f t="shared" si="290"/>
        <v>46492.919223996003</v>
      </c>
      <c r="BB798">
        <f t="shared" si="291"/>
        <v>-244702.92377352668</v>
      </c>
      <c r="BD798">
        <f t="shared" si="292"/>
        <v>872.10245166579659</v>
      </c>
      <c r="BF798">
        <f t="shared" si="293"/>
        <v>-1653.1657632161061</v>
      </c>
      <c r="BH798">
        <f t="shared" si="278"/>
        <v>-3.5638462894738816</v>
      </c>
      <c r="BJ798">
        <f t="shared" si="279"/>
        <v>19.77862386837003</v>
      </c>
      <c r="BN798" s="20">
        <f t="shared" si="280"/>
        <v>-0.84862691215039454</v>
      </c>
      <c r="BP798">
        <f t="shared" si="281"/>
        <v>8.078618540586298</v>
      </c>
      <c r="BR798">
        <f t="shared" si="282"/>
        <v>-0.65396704410454021</v>
      </c>
      <c r="BT798">
        <f t="shared" si="283"/>
        <v>2.505038433097496</v>
      </c>
      <c r="BV798">
        <f t="shared" si="284"/>
        <v>-2.0612523332189467</v>
      </c>
      <c r="BX798">
        <f t="shared" si="285"/>
        <v>9.1949668946862353</v>
      </c>
      <c r="CB798">
        <f t="shared" si="286"/>
        <v>253590.594322669</v>
      </c>
      <c r="CD798">
        <f t="shared" si="287"/>
        <v>263239.22140462237</v>
      </c>
      <c r="CF798">
        <f t="shared" si="288"/>
        <v>235403.81033516765</v>
      </c>
    </row>
    <row r="799" spans="12:84" x14ac:dyDescent="0.25">
      <c r="L799">
        <v>788</v>
      </c>
      <c r="M799">
        <f t="shared" si="300"/>
        <v>4.951150022057484</v>
      </c>
      <c r="P799">
        <f t="shared" si="294"/>
        <v>21182.494985118476</v>
      </c>
      <c r="Q799">
        <f t="shared" si="295"/>
        <v>2641.8413354265949</v>
      </c>
      <c r="V799">
        <f t="shared" si="296"/>
        <v>-19172.253510417067</v>
      </c>
      <c r="W799">
        <f t="shared" si="297"/>
        <v>6599.2889347986165</v>
      </c>
      <c r="AB799">
        <f t="shared" si="298"/>
        <v>-3817.505014881523</v>
      </c>
      <c r="AC799">
        <f t="shared" si="299"/>
        <v>-19858.158664573406</v>
      </c>
      <c r="AW799">
        <v>792</v>
      </c>
      <c r="AX799">
        <f t="shared" si="289"/>
        <v>396</v>
      </c>
      <c r="AZ799">
        <f t="shared" si="290"/>
        <v>46928.524969042715</v>
      </c>
      <c r="BB799">
        <f t="shared" si="291"/>
        <v>-245527.03432715117</v>
      </c>
      <c r="BD799">
        <f t="shared" si="292"/>
        <v>870.3205285210596</v>
      </c>
      <c r="BF799">
        <f t="shared" si="293"/>
        <v>-1643.276451281921</v>
      </c>
      <c r="BH799">
        <f t="shared" si="278"/>
        <v>-3.5604006391173004</v>
      </c>
      <c r="BJ799">
        <f t="shared" si="279"/>
        <v>19.633238941350964</v>
      </c>
      <c r="BN799" s="20">
        <f t="shared" si="280"/>
        <v>-0.85382341452678756</v>
      </c>
      <c r="BP799">
        <f t="shared" si="281"/>
        <v>8.0227345042165119</v>
      </c>
      <c r="BR799">
        <f t="shared" si="282"/>
        <v>-0.65149482732784736</v>
      </c>
      <c r="BT799">
        <f t="shared" si="283"/>
        <v>2.4873481252360756</v>
      </c>
      <c r="BV799">
        <f t="shared" si="284"/>
        <v>-2.0550823972626655</v>
      </c>
      <c r="BX799">
        <f t="shared" si="285"/>
        <v>9.1231563118983772</v>
      </c>
      <c r="CB799">
        <f t="shared" si="286"/>
        <v>254455.9403067684</v>
      </c>
      <c r="CD799">
        <f t="shared" si="287"/>
        <v>264146.72575400374</v>
      </c>
      <c r="CF799">
        <f t="shared" si="288"/>
        <v>236303.37547553575</v>
      </c>
    </row>
    <row r="800" spans="12:84" x14ac:dyDescent="0.25">
      <c r="L800">
        <v>789</v>
      </c>
      <c r="M800">
        <f t="shared" si="300"/>
        <v>4.9574332073646632</v>
      </c>
      <c r="P800">
        <f t="shared" si="294"/>
        <v>21212.996153976888</v>
      </c>
      <c r="Q800">
        <f t="shared" si="295"/>
        <v>2649.3670175494335</v>
      </c>
      <c r="V800">
        <f t="shared" si="296"/>
        <v>-19150.902692216179</v>
      </c>
      <c r="W800">
        <f t="shared" si="297"/>
        <v>6604.5569122846036</v>
      </c>
      <c r="AB800">
        <f t="shared" si="298"/>
        <v>-3787.0038460231108</v>
      </c>
      <c r="AC800">
        <f t="shared" si="299"/>
        <v>-19850.632982450566</v>
      </c>
      <c r="AW800">
        <v>793</v>
      </c>
      <c r="AX800">
        <f t="shared" si="289"/>
        <v>396.5</v>
      </c>
      <c r="AZ800">
        <f t="shared" si="290"/>
        <v>47363.240183223352</v>
      </c>
      <c r="BB800">
        <f t="shared" si="291"/>
        <v>-246346.21839792444</v>
      </c>
      <c r="BD800">
        <f t="shared" si="292"/>
        <v>868.54032820150098</v>
      </c>
      <c r="BF800">
        <f t="shared" si="293"/>
        <v>-1633.4598318112455</v>
      </c>
      <c r="BH800">
        <f t="shared" si="278"/>
        <v>-3.5568918032525403</v>
      </c>
      <c r="BJ800">
        <f t="shared" si="279"/>
        <v>19.490159767529029</v>
      </c>
      <c r="BN800" s="20">
        <f t="shared" si="280"/>
        <v>-0.85887423132704155</v>
      </c>
      <c r="BP800">
        <f t="shared" si="281"/>
        <v>7.9676958664955517</v>
      </c>
      <c r="BR800">
        <f t="shared" si="282"/>
        <v>-0.64905419993505431</v>
      </c>
      <c r="BT800">
        <f t="shared" si="283"/>
        <v>2.4699315121436025</v>
      </c>
      <c r="BV800">
        <f t="shared" si="284"/>
        <v>-2.0489633719904443</v>
      </c>
      <c r="BX800">
        <f t="shared" si="285"/>
        <v>9.0525323888898725</v>
      </c>
      <c r="CB800">
        <f t="shared" si="286"/>
        <v>255316.76307726355</v>
      </c>
      <c r="CD800">
        <f t="shared" si="287"/>
        <v>265049.41013874946</v>
      </c>
      <c r="CF800">
        <f t="shared" si="288"/>
        <v>237198.19073826447</v>
      </c>
    </row>
    <row r="801" spans="12:84" x14ac:dyDescent="0.25">
      <c r="L801">
        <v>790</v>
      </c>
      <c r="M801">
        <f t="shared" si="300"/>
        <v>4.9637163926718424</v>
      </c>
      <c r="P801">
        <f t="shared" si="294"/>
        <v>21243.449435824125</v>
      </c>
      <c r="Q801">
        <f t="shared" si="295"/>
        <v>2657.0841943568057</v>
      </c>
      <c r="V801">
        <f t="shared" si="296"/>
        <v>-19129.585394923113</v>
      </c>
      <c r="W801">
        <f t="shared" si="297"/>
        <v>6609.9589360497639</v>
      </c>
      <c r="AB801">
        <f t="shared" si="298"/>
        <v>-3756.5505641758755</v>
      </c>
      <c r="AC801">
        <f t="shared" si="299"/>
        <v>-19842.915805643195</v>
      </c>
      <c r="AW801">
        <v>794</v>
      </c>
      <c r="AX801">
        <f t="shared" si="289"/>
        <v>397</v>
      </c>
      <c r="AZ801">
        <f t="shared" si="290"/>
        <v>47797.065735848693</v>
      </c>
      <c r="BB801">
        <f t="shared" si="291"/>
        <v>-247160.51204385914</v>
      </c>
      <c r="BD801">
        <f t="shared" si="292"/>
        <v>866.76188229987474</v>
      </c>
      <c r="BF801">
        <f t="shared" si="293"/>
        <v>-1623.7147519274811</v>
      </c>
      <c r="BH801">
        <f t="shared" si="278"/>
        <v>-3.5533238621213257</v>
      </c>
      <c r="BJ801">
        <f t="shared" si="279"/>
        <v>19.349335211573937</v>
      </c>
      <c r="BN801" s="20">
        <f t="shared" si="280"/>
        <v>-0.86378393190963576</v>
      </c>
      <c r="BP801">
        <f t="shared" si="281"/>
        <v>7.9134848435343192</v>
      </c>
      <c r="BR801">
        <f t="shared" si="282"/>
        <v>-0.64664463827288809</v>
      </c>
      <c r="BT801">
        <f t="shared" si="283"/>
        <v>2.4527826460304007</v>
      </c>
      <c r="BV801">
        <f t="shared" si="284"/>
        <v>-2.0428952919388017</v>
      </c>
      <c r="BX801">
        <f t="shared" si="285"/>
        <v>8.9830677220092188</v>
      </c>
      <c r="CB801">
        <f t="shared" si="286"/>
        <v>256173.09237693882</v>
      </c>
      <c r="CD801">
        <f t="shared" si="287"/>
        <v>265947.30883588729</v>
      </c>
      <c r="CF801">
        <f t="shared" si="288"/>
        <v>238088.28930206204</v>
      </c>
    </row>
    <row r="802" spans="12:84" x14ac:dyDescent="0.25">
      <c r="L802">
        <v>791</v>
      </c>
      <c r="M802">
        <f t="shared" si="300"/>
        <v>4.9699995779790216</v>
      </c>
      <c r="P802">
        <f t="shared" si="294"/>
        <v>21273.85362841676</v>
      </c>
      <c r="Q802">
        <f t="shared" si="295"/>
        <v>2664.9925611877852</v>
      </c>
      <c r="V802">
        <f t="shared" si="296"/>
        <v>-19108.302460108269</v>
      </c>
      <c r="W802">
        <f t="shared" si="297"/>
        <v>6615.4947928314496</v>
      </c>
      <c r="AB802">
        <f t="shared" si="298"/>
        <v>-3726.1463715832406</v>
      </c>
      <c r="AC802">
        <f t="shared" si="299"/>
        <v>-19835.007438812216</v>
      </c>
      <c r="AW802">
        <v>795</v>
      </c>
      <c r="AX802">
        <f t="shared" si="289"/>
        <v>397.5</v>
      </c>
      <c r="AZ802">
        <f t="shared" si="290"/>
        <v>48230.002511515864</v>
      </c>
      <c r="BB802">
        <f t="shared" si="291"/>
        <v>-247969.95075292143</v>
      </c>
      <c r="BD802">
        <f t="shared" si="292"/>
        <v>864.98522036881411</v>
      </c>
      <c r="BF802">
        <f t="shared" si="293"/>
        <v>-1614.0400843216942</v>
      </c>
      <c r="BH802">
        <f t="shared" si="278"/>
        <v>-3.549700718963674</v>
      </c>
      <c r="BJ802">
        <f t="shared" si="279"/>
        <v>19.210715616801622</v>
      </c>
      <c r="BN802" s="20">
        <f t="shared" si="280"/>
        <v>-0.86855692551800812</v>
      </c>
      <c r="BP802">
        <f t="shared" si="281"/>
        <v>7.8600841391239236</v>
      </c>
      <c r="BR802">
        <f t="shared" si="282"/>
        <v>-0.64426563068875131</v>
      </c>
      <c r="BT802">
        <f t="shared" si="283"/>
        <v>2.435895748245438</v>
      </c>
      <c r="BV802">
        <f t="shared" si="284"/>
        <v>-2.0368781627569148</v>
      </c>
      <c r="BX802">
        <f t="shared" si="285"/>
        <v>8.9147357294322624</v>
      </c>
      <c r="CB802">
        <f t="shared" si="286"/>
        <v>257024.95750315825</v>
      </c>
      <c r="CD802">
        <f t="shared" si="287"/>
        <v>266840.45558008284</v>
      </c>
      <c r="CF802">
        <f t="shared" si="288"/>
        <v>238973.70382783673</v>
      </c>
    </row>
    <row r="803" spans="12:84" x14ac:dyDescent="0.25">
      <c r="L803">
        <v>792</v>
      </c>
      <c r="M803">
        <f t="shared" si="300"/>
        <v>4.9762827632862008</v>
      </c>
      <c r="P803">
        <f t="shared" si="294"/>
        <v>21304.20753144933</v>
      </c>
      <c r="Q803">
        <f t="shared" si="295"/>
        <v>2673.0918058335892</v>
      </c>
      <c r="V803">
        <f t="shared" si="296"/>
        <v>-19087.054727985469</v>
      </c>
      <c r="W803">
        <f t="shared" si="297"/>
        <v>6621.1642640835125</v>
      </c>
      <c r="AB803">
        <f t="shared" si="298"/>
        <v>-3695.7924685506687</v>
      </c>
      <c r="AC803">
        <f t="shared" si="299"/>
        <v>-19826.908194166412</v>
      </c>
      <c r="AW803">
        <v>796</v>
      </c>
      <c r="AX803">
        <f t="shared" si="289"/>
        <v>398</v>
      </c>
      <c r="AZ803">
        <f t="shared" si="290"/>
        <v>48662.051409110405</v>
      </c>
      <c r="BB803">
        <f t="shared" si="291"/>
        <v>-248774.56945563018</v>
      </c>
      <c r="BD803">
        <f t="shared" si="292"/>
        <v>863.21037000933222</v>
      </c>
      <c r="BF803">
        <f t="shared" si="293"/>
        <v>-1604.4347265132933</v>
      </c>
      <c r="BH803">
        <f t="shared" si="278"/>
        <v>-3.5460261080967612</v>
      </c>
      <c r="BJ803">
        <f t="shared" si="279"/>
        <v>19.074252752813294</v>
      </c>
      <c r="BN803" s="20">
        <f t="shared" si="280"/>
        <v>-0.87319746774770723</v>
      </c>
      <c r="BP803">
        <f t="shared" si="281"/>
        <v>7.8074769283841592</v>
      </c>
      <c r="BR803">
        <f t="shared" si="282"/>
        <v>-0.64191667719006562</v>
      </c>
      <c r="BT803">
        <f t="shared" si="283"/>
        <v>2.4192652033726958</v>
      </c>
      <c r="BV803">
        <f t="shared" si="284"/>
        <v>-2.0309119631589883</v>
      </c>
      <c r="BX803">
        <f t="shared" si="285"/>
        <v>8.8475106210564416</v>
      </c>
      <c r="CB803">
        <f t="shared" si="286"/>
        <v>257872.3873171517</v>
      </c>
      <c r="CD803">
        <f t="shared" si="287"/>
        <v>267728.8835756316</v>
      </c>
      <c r="CF803">
        <f t="shared" si="288"/>
        <v>239854.46646998107</v>
      </c>
    </row>
    <row r="804" spans="12:84" x14ac:dyDescent="0.25">
      <c r="L804">
        <v>793</v>
      </c>
      <c r="M804">
        <f t="shared" si="300"/>
        <v>4.98256594859338</v>
      </c>
      <c r="P804">
        <f t="shared" si="294"/>
        <v>21334.509946601724</v>
      </c>
      <c r="Q804">
        <f t="shared" si="295"/>
        <v>2681.3816085499084</v>
      </c>
      <c r="V804">
        <f t="shared" si="296"/>
        <v>-19065.843037378792</v>
      </c>
      <c r="W804">
        <f t="shared" si="297"/>
        <v>6626.9671259849365</v>
      </c>
      <c r="AB804">
        <f t="shared" si="298"/>
        <v>-3665.4900533982768</v>
      </c>
      <c r="AC804">
        <f t="shared" si="299"/>
        <v>-19818.618391450091</v>
      </c>
      <c r="AW804">
        <v>797</v>
      </c>
      <c r="AX804">
        <f t="shared" si="289"/>
        <v>398.5</v>
      </c>
      <c r="AZ804">
        <f t="shared" si="290"/>
        <v>49093.213340851558</v>
      </c>
      <c r="BB804">
        <f t="shared" si="291"/>
        <v>-249574.40253729271</v>
      </c>
      <c r="BD804">
        <f t="shared" si="292"/>
        <v>861.4373569552838</v>
      </c>
      <c r="BF804">
        <f t="shared" si="293"/>
        <v>-1594.8976001368867</v>
      </c>
      <c r="BH804">
        <f t="shared" si="278"/>
        <v>-3.5423036025896932</v>
      </c>
      <c r="BJ804">
        <f t="shared" si="279"/>
        <v>18.939899765325265</v>
      </c>
      <c r="BN804" s="20">
        <f t="shared" si="280"/>
        <v>-0.87770966671641315</v>
      </c>
      <c r="BP804">
        <f t="shared" si="281"/>
        <v>7.7556468420591402</v>
      </c>
      <c r="BR804">
        <f t="shared" si="282"/>
        <v>-0.6395972891152516</v>
      </c>
      <c r="BT804">
        <f t="shared" si="283"/>
        <v>2.4028855535714655</v>
      </c>
      <c r="BV804">
        <f t="shared" si="284"/>
        <v>-2.0249966467580287</v>
      </c>
      <c r="BX804">
        <f t="shared" si="285"/>
        <v>8.7813673696946601</v>
      </c>
      <c r="CB804">
        <f t="shared" si="286"/>
        <v>258715.41025304681</v>
      </c>
      <c r="CD804">
        <f t="shared" si="287"/>
        <v>268612.62550810399</v>
      </c>
      <c r="CF804">
        <f t="shared" si="288"/>
        <v>240730.6088873343</v>
      </c>
    </row>
    <row r="805" spans="12:84" x14ac:dyDescent="0.25">
      <c r="L805">
        <v>794</v>
      </c>
      <c r="M805">
        <f t="shared" si="300"/>
        <v>4.9888491339005592</v>
      </c>
      <c r="P805">
        <f t="shared" si="294"/>
        <v>21364.759677586469</v>
      </c>
      <c r="Q805">
        <f t="shared" si="295"/>
        <v>2689.8616420695262</v>
      </c>
      <c r="V805">
        <f t="shared" si="296"/>
        <v>-19044.668225689471</v>
      </c>
      <c r="W805">
        <f t="shared" si="297"/>
        <v>6632.903149448668</v>
      </c>
      <c r="AB805">
        <f t="shared" si="298"/>
        <v>-3635.2403224135301</v>
      </c>
      <c r="AC805">
        <f t="shared" si="299"/>
        <v>-19810.138357930475</v>
      </c>
      <c r="AW805">
        <v>798</v>
      </c>
      <c r="AX805">
        <f t="shared" si="289"/>
        <v>399</v>
      </c>
      <c r="AZ805">
        <f t="shared" si="290"/>
        <v>49523.489231378873</v>
      </c>
      <c r="BB805">
        <f t="shared" si="291"/>
        <v>-250369.48384989047</v>
      </c>
      <c r="BD805">
        <f t="shared" si="292"/>
        <v>859.66620515398893</v>
      </c>
      <c r="BF805">
        <f t="shared" si="293"/>
        <v>-1585.4276502542241</v>
      </c>
      <c r="BH805">
        <f t="shared" si="278"/>
        <v>-3.5385366215565903</v>
      </c>
      <c r="BJ805">
        <f t="shared" si="279"/>
        <v>18.807611128084584</v>
      </c>
      <c r="BN805" s="20">
        <f t="shared" si="280"/>
        <v>-0.88209748895224771</v>
      </c>
      <c r="BP805">
        <f t="shared" si="281"/>
        <v>7.7045779514312835</v>
      </c>
      <c r="BR805">
        <f t="shared" si="282"/>
        <v>-0.63730698881584558</v>
      </c>
      <c r="BT805">
        <f t="shared" si="283"/>
        <v>2.386751493148823</v>
      </c>
      <c r="BV805">
        <f t="shared" si="284"/>
        <v>-2.019132143788497</v>
      </c>
      <c r="BX805">
        <f t="shared" si="285"/>
        <v>8.7162816835044783</v>
      </c>
      <c r="CB805">
        <f t="shared" si="286"/>
        <v>259554.0543266552</v>
      </c>
      <c r="CD805">
        <f t="shared" si="287"/>
        <v>269491.71355565655</v>
      </c>
      <c r="CF805">
        <f t="shared" si="288"/>
        <v>241602.16225383442</v>
      </c>
    </row>
    <row r="806" spans="12:84" x14ac:dyDescent="0.25">
      <c r="L806">
        <v>795</v>
      </c>
      <c r="M806">
        <f t="shared" si="300"/>
        <v>4.9951323192077384</v>
      </c>
      <c r="P806">
        <f t="shared" si="294"/>
        <v>21394.955530195988</v>
      </c>
      <c r="Q806">
        <f t="shared" si="295"/>
        <v>2698.531571615239</v>
      </c>
      <c r="V806">
        <f t="shared" si="296"/>
        <v>-19023.531128862807</v>
      </c>
      <c r="W806">
        <f t="shared" si="297"/>
        <v>6638.9721001306671</v>
      </c>
      <c r="AB806">
        <f t="shared" si="298"/>
        <v>-3605.0444698040114</v>
      </c>
      <c r="AC806">
        <f t="shared" si="299"/>
        <v>-19801.46842838476</v>
      </c>
      <c r="AW806">
        <v>799</v>
      </c>
      <c r="AX806">
        <f t="shared" si="289"/>
        <v>399.5</v>
      </c>
      <c r="AZ806">
        <f t="shared" si="290"/>
        <v>49952.880016878175</v>
      </c>
      <c r="BB806">
        <f t="shared" si="291"/>
        <v>-251159.84672362657</v>
      </c>
      <c r="BD806">
        <f t="shared" si="292"/>
        <v>857.8969368432106</v>
      </c>
      <c r="BF806">
        <f t="shared" si="293"/>
        <v>-1576.0238446901817</v>
      </c>
      <c r="BH806">
        <f t="shared" si="278"/>
        <v>-3.5347284370890786</v>
      </c>
      <c r="BJ806">
        <f t="shared" si="279"/>
        <v>18.677342596770494</v>
      </c>
      <c r="BN806" s="20">
        <f t="shared" si="280"/>
        <v>-0.88636476501462047</v>
      </c>
      <c r="BP806">
        <f t="shared" si="281"/>
        <v>7.6542547538238441</v>
      </c>
      <c r="BR806">
        <f t="shared" si="282"/>
        <v>-0.63504530934939984</v>
      </c>
      <c r="BT806">
        <f t="shared" si="283"/>
        <v>2.3708578633536108</v>
      </c>
      <c r="BV806">
        <f t="shared" si="284"/>
        <v>-2.0133183627250584</v>
      </c>
      <c r="BX806">
        <f t="shared" si="285"/>
        <v>8.6522299795930397</v>
      </c>
      <c r="CB806">
        <f t="shared" si="286"/>
        <v>260388.34714402157</v>
      </c>
      <c r="CD806">
        <f t="shared" si="287"/>
        <v>270366.17940002016</v>
      </c>
      <c r="CF806">
        <f t="shared" si="288"/>
        <v>242469.15726887039</v>
      </c>
    </row>
    <row r="807" spans="12:84" x14ac:dyDescent="0.25">
      <c r="L807">
        <v>796</v>
      </c>
      <c r="M807">
        <f t="shared" si="300"/>
        <v>5.0014155045149176</v>
      </c>
      <c r="P807">
        <f t="shared" si="294"/>
        <v>21425.09631234972</v>
      </c>
      <c r="Q807">
        <f t="shared" si="295"/>
        <v>2707.3910549130733</v>
      </c>
      <c r="V807">
        <f t="shared" si="296"/>
        <v>-19002.432581355195</v>
      </c>
      <c r="W807">
        <f t="shared" si="297"/>
        <v>6645.1737384391508</v>
      </c>
      <c r="AB807">
        <f t="shared" si="298"/>
        <v>-3574.9036876502787</v>
      </c>
      <c r="AC807">
        <f t="shared" si="299"/>
        <v>-19792.608945086926</v>
      </c>
      <c r="AW807">
        <v>800</v>
      </c>
      <c r="AX807">
        <f t="shared" si="289"/>
        <v>400</v>
      </c>
      <c r="AZ807">
        <f t="shared" si="290"/>
        <v>50381.386644245147</v>
      </c>
      <c r="BB807">
        <f t="shared" si="291"/>
        <v>-251945.52397814707</v>
      </c>
      <c r="BD807">
        <f t="shared" si="292"/>
        <v>856.12957262466603</v>
      </c>
      <c r="BF807">
        <f t="shared" si="293"/>
        <v>-1566.6851733917965</v>
      </c>
      <c r="BH807">
        <f t="shared" si="278"/>
        <v>-3.5308821808474105</v>
      </c>
      <c r="BJ807">
        <f t="shared" si="279"/>
        <v>18.549051164786107</v>
      </c>
      <c r="BN807" s="20">
        <f t="shared" si="280"/>
        <v>-0.89051519486144204</v>
      </c>
      <c r="BP807">
        <f t="shared" si="281"/>
        <v>7.6046621586672138</v>
      </c>
      <c r="BR807">
        <f t="shared" si="282"/>
        <v>-0.63281179418258937</v>
      </c>
      <c r="BT807">
        <f t="shared" si="283"/>
        <v>2.3551996473809673</v>
      </c>
      <c r="BV807">
        <f t="shared" si="284"/>
        <v>-2.0075551918033789</v>
      </c>
      <c r="BX807">
        <f t="shared" si="285"/>
        <v>8.5891893587379275</v>
      </c>
      <c r="CB807">
        <f t="shared" si="286"/>
        <v>261218.31590974322</v>
      </c>
      <c r="CD807">
        <f t="shared" si="287"/>
        <v>271236.0542371769</v>
      </c>
      <c r="CF807">
        <f t="shared" si="288"/>
        <v>243331.62416734503</v>
      </c>
    </row>
    <row r="808" spans="12:84" x14ac:dyDescent="0.25">
      <c r="L808">
        <v>797</v>
      </c>
      <c r="M808">
        <f t="shared" si="300"/>
        <v>5.0076986898220968</v>
      </c>
      <c r="P808">
        <f t="shared" si="294"/>
        <v>21455.1808341412</v>
      </c>
      <c r="Q808">
        <f t="shared" si="295"/>
        <v>2716.4397422057982</v>
      </c>
      <c r="V808">
        <f t="shared" si="296"/>
        <v>-18981.37341610116</v>
      </c>
      <c r="W808">
        <f t="shared" si="297"/>
        <v>6651.5078195440583</v>
      </c>
      <c r="AB808">
        <f t="shared" si="298"/>
        <v>-3544.8191658588021</v>
      </c>
      <c r="AC808">
        <f t="shared" si="299"/>
        <v>-19783.560257794201</v>
      </c>
      <c r="AW808">
        <v>801</v>
      </c>
      <c r="AX808">
        <f t="shared" si="289"/>
        <v>400.5</v>
      </c>
      <c r="AZ808">
        <f t="shared" si="290"/>
        <v>50809.010070284872</v>
      </c>
      <c r="BB808">
        <f t="shared" si="291"/>
        <v>-252726.54793344735</v>
      </c>
      <c r="BD808">
        <f t="shared" si="292"/>
        <v>854.36413153424235</v>
      </c>
      <c r="BF808">
        <f t="shared" si="293"/>
        <v>-1557.4106478094034</v>
      </c>
      <c r="BH808">
        <f t="shared" si="278"/>
        <v>-3.5270008503292796</v>
      </c>
      <c r="BJ808">
        <f t="shared" si="279"/>
        <v>18.42269502085302</v>
      </c>
      <c r="BN808" s="20">
        <f t="shared" si="280"/>
        <v>-0.89455235297548719</v>
      </c>
      <c r="BP808">
        <f t="shared" si="281"/>
        <v>7.5557854741030726</v>
      </c>
      <c r="BR808">
        <f t="shared" si="282"/>
        <v>-0.6306059969042892</v>
      </c>
      <c r="BT808">
        <f t="shared" si="283"/>
        <v>2.339771965578159</v>
      </c>
      <c r="BV808">
        <f t="shared" si="284"/>
        <v>-2.0018425004495031</v>
      </c>
      <c r="BX808">
        <f t="shared" si="285"/>
        <v>8.5271375811717878</v>
      </c>
      <c r="CB808">
        <f t="shared" si="286"/>
        <v>262043.98743506728</v>
      </c>
      <c r="CD808">
        <f t="shared" si="287"/>
        <v>272101.36878773634</v>
      </c>
      <c r="CF808">
        <f t="shared" si="288"/>
        <v>244189.59272945847</v>
      </c>
    </row>
    <row r="809" spans="12:84" x14ac:dyDescent="0.25">
      <c r="L809">
        <v>798</v>
      </c>
      <c r="M809">
        <f t="shared" si="300"/>
        <v>5.013981875129276</v>
      </c>
      <c r="P809">
        <f t="shared" si="294"/>
        <v>21485.207907885011</v>
      </c>
      <c r="Q809">
        <f t="shared" si="295"/>
        <v>2725.6772762667351</v>
      </c>
      <c r="V809">
        <f t="shared" si="296"/>
        <v>-18960.354464480493</v>
      </c>
      <c r="W809">
        <f t="shared" si="297"/>
        <v>6657.9740933867142</v>
      </c>
      <c r="AB809">
        <f t="shared" si="298"/>
        <v>-3514.792092114988</v>
      </c>
      <c r="AC809">
        <f t="shared" si="299"/>
        <v>-19774.322723733265</v>
      </c>
      <c r="AW809">
        <v>802</v>
      </c>
      <c r="AX809">
        <f t="shared" si="289"/>
        <v>401</v>
      </c>
      <c r="AZ809">
        <f t="shared" si="290"/>
        <v>51235.751260945697</v>
      </c>
      <c r="BB809">
        <f t="shared" si="291"/>
        <v>-253502.95042047443</v>
      </c>
      <c r="BD809">
        <f t="shared" si="292"/>
        <v>852.60063110907765</v>
      </c>
      <c r="BF809">
        <f t="shared" si="293"/>
        <v>-1548.1993002989768</v>
      </c>
      <c r="BH809">
        <f t="shared" si="278"/>
        <v>-3.5230873148333082</v>
      </c>
      <c r="BJ809">
        <f t="shared" si="279"/>
        <v>18.298233508322518</v>
      </c>
      <c r="BN809" s="20">
        <f t="shared" si="280"/>
        <v>-0.89847969326206134</v>
      </c>
      <c r="BP809">
        <f t="shared" si="281"/>
        <v>7.5076103941026497</v>
      </c>
      <c r="BR809">
        <f t="shared" si="282"/>
        <v>-0.62842748094813505</v>
      </c>
      <c r="BT809">
        <f t="shared" si="283"/>
        <v>2.3245700708420061</v>
      </c>
      <c r="BV809">
        <f t="shared" si="284"/>
        <v>-1.9961801406231114</v>
      </c>
      <c r="BX809">
        <f t="shared" si="285"/>
        <v>8.46605304337786</v>
      </c>
      <c r="CB809">
        <f t="shared" si="286"/>
        <v>262865.38814577379</v>
      </c>
      <c r="CD809">
        <f t="shared" si="287"/>
        <v>272962.15330702224</v>
      </c>
      <c r="CF809">
        <f t="shared" si="288"/>
        <v>245043.09229022198</v>
      </c>
    </row>
    <row r="810" spans="12:84" x14ac:dyDescent="0.25">
      <c r="L810">
        <v>799</v>
      </c>
      <c r="M810">
        <f t="shared" si="300"/>
        <v>5.0202650604364552</v>
      </c>
      <c r="P810">
        <f t="shared" si="294"/>
        <v>21515.176348163706</v>
      </c>
      <c r="Q810">
        <f t="shared" si="295"/>
        <v>2735.1032924138535</v>
      </c>
      <c r="V810">
        <f t="shared" si="296"/>
        <v>-18939.376556285406</v>
      </c>
      <c r="W810">
        <f t="shared" si="297"/>
        <v>6664.5723046896974</v>
      </c>
      <c r="AB810">
        <f t="shared" si="298"/>
        <v>-3484.8236518362946</v>
      </c>
      <c r="AC810">
        <f t="shared" si="299"/>
        <v>-19764.896707586147</v>
      </c>
      <c r="AW810">
        <v>803</v>
      </c>
      <c r="AX810">
        <f t="shared" si="289"/>
        <v>401.5</v>
      </c>
      <c r="AZ810">
        <f t="shared" si="290"/>
        <v>51661.611190585878</v>
      </c>
      <c r="BB810">
        <f t="shared" si="291"/>
        <v>-254274.76279143538</v>
      </c>
      <c r="BD810">
        <f t="shared" si="292"/>
        <v>850.83908745166104</v>
      </c>
      <c r="BF810">
        <f t="shared" si="293"/>
        <v>-1539.0501835448156</v>
      </c>
      <c r="BH810">
        <f t="shared" si="278"/>
        <v>-3.5191443211337177</v>
      </c>
      <c r="BJ810">
        <f t="shared" si="279"/>
        <v>18.175627086123882</v>
      </c>
      <c r="BN810" s="20">
        <f t="shared" si="280"/>
        <v>-0.90230055372941176</v>
      </c>
      <c r="BP810">
        <f t="shared" si="281"/>
        <v>7.4601229860762128</v>
      </c>
      <c r="BR810">
        <f t="shared" si="282"/>
        <v>-0.62627581932420973</v>
      </c>
      <c r="BT810">
        <f t="shared" si="283"/>
        <v>2.3095893441991171</v>
      </c>
      <c r="BV810">
        <f t="shared" si="284"/>
        <v>-1.9905679480800964</v>
      </c>
      <c r="BX810">
        <f t="shared" si="285"/>
        <v>8.4059147558485545</v>
      </c>
      <c r="CB810">
        <f t="shared" si="286"/>
        <v>263682.54408985074</v>
      </c>
      <c r="CD810">
        <f t="shared" si="287"/>
        <v>273818.43759487808</v>
      </c>
      <c r="CF810">
        <f t="shared" si="288"/>
        <v>245892.15174871034</v>
      </c>
    </row>
    <row r="811" spans="12:84" x14ac:dyDescent="0.25">
      <c r="L811">
        <v>800</v>
      </c>
      <c r="M811">
        <f t="shared" si="300"/>
        <v>5.0265482457436343</v>
      </c>
      <c r="P811">
        <f t="shared" si="294"/>
        <v>21545.08497187457</v>
      </c>
      <c r="Q811">
        <f t="shared" si="295"/>
        <v>2744.7174185241784</v>
      </c>
      <c r="V811">
        <f t="shared" si="296"/>
        <v>-18918.4405196878</v>
      </c>
      <c r="W811">
        <f t="shared" si="297"/>
        <v>6671.3021929669248</v>
      </c>
      <c r="AB811">
        <f t="shared" si="298"/>
        <v>-3454.9150281254288</v>
      </c>
      <c r="AC811">
        <f t="shared" si="299"/>
        <v>-19755.282581475822</v>
      </c>
      <c r="AW811">
        <v>804</v>
      </c>
      <c r="AX811">
        <f t="shared" si="289"/>
        <v>402</v>
      </c>
      <c r="AZ811">
        <f t="shared" si="290"/>
        <v>52086.590841271565</v>
      </c>
      <c r="BB811">
        <f t="shared" si="291"/>
        <v>-255042.01592982202</v>
      </c>
      <c r="BD811">
        <f t="shared" si="292"/>
        <v>849.07951529109414</v>
      </c>
      <c r="BF811">
        <f t="shared" si="293"/>
        <v>-1529.9623700017537</v>
      </c>
      <c r="BH811">
        <f t="shared" si="278"/>
        <v>-3.5151744988817546</v>
      </c>
      <c r="BJ811">
        <f t="shared" si="279"/>
        <v>18.054837291274659</v>
      </c>
      <c r="BN811" s="20">
        <f t="shared" si="280"/>
        <v>-0.90601816096273047</v>
      </c>
      <c r="BP811">
        <f t="shared" si="281"/>
        <v>7.41330967895244</v>
      </c>
      <c r="BR811">
        <f t="shared" si="282"/>
        <v>-0.62415059435956821</v>
      </c>
      <c r="BT811">
        <f t="shared" si="283"/>
        <v>2.2948252905607722</v>
      </c>
      <c r="BV811">
        <f t="shared" si="284"/>
        <v>-1.9850057435594559</v>
      </c>
      <c r="BX811">
        <f t="shared" si="285"/>
        <v>8.3467023217614464</v>
      </c>
      <c r="CB811">
        <f t="shared" si="286"/>
        <v>264495.48094496829</v>
      </c>
      <c r="CD811">
        <f t="shared" si="287"/>
        <v>274670.25100520242</v>
      </c>
      <c r="CF811">
        <f t="shared" si="288"/>
        <v>246736.79957706286</v>
      </c>
    </row>
    <row r="812" spans="12:84" x14ac:dyDescent="0.25">
      <c r="L812">
        <v>801</v>
      </c>
      <c r="M812">
        <f t="shared" si="300"/>
        <v>5.0328314310508135</v>
      </c>
      <c r="P812">
        <f t="shared" si="294"/>
        <v>21574.932598276358</v>
      </c>
      <c r="Q812">
        <f t="shared" si="295"/>
        <v>2754.5192750484712</v>
      </c>
      <c r="V812">
        <f t="shared" si="296"/>
        <v>-18897.547181206552</v>
      </c>
      <c r="W812">
        <f t="shared" si="297"/>
        <v>6678.1634925339295</v>
      </c>
      <c r="AB812">
        <f t="shared" si="298"/>
        <v>-3425.0674017236433</v>
      </c>
      <c r="AC812">
        <f t="shared" si="299"/>
        <v>-19745.480724951529</v>
      </c>
      <c r="AW812">
        <v>805</v>
      </c>
      <c r="AX812">
        <f t="shared" si="289"/>
        <v>402.5</v>
      </c>
      <c r="AZ812">
        <f t="shared" si="290"/>
        <v>52510.691202104746</v>
      </c>
      <c r="BB812">
        <f t="shared" si="291"/>
        <v>-255804.74026016149</v>
      </c>
      <c r="BD812">
        <f t="shared" si="292"/>
        <v>847.32192804165322</v>
      </c>
      <c r="BF812">
        <f t="shared" si="293"/>
        <v>-1520.9349513561165</v>
      </c>
      <c r="BH812">
        <f t="shared" si="278"/>
        <v>-3.5111803657479532</v>
      </c>
      <c r="BJ812">
        <f t="shared" si="279"/>
        <v>17.935826702879439</v>
      </c>
      <c r="BN812" s="20">
        <f t="shared" si="280"/>
        <v>-0.90963563440200801</v>
      </c>
      <c r="BP812">
        <f t="shared" si="281"/>
        <v>7.3671572517074591</v>
      </c>
      <c r="BR812">
        <f t="shared" si="282"/>
        <v>-0.622051397447137</v>
      </c>
      <c r="BT812">
        <f t="shared" si="283"/>
        <v>2.280273534644051</v>
      </c>
      <c r="BV812">
        <f t="shared" si="284"/>
        <v>-1.9794933338988083</v>
      </c>
      <c r="BX812">
        <f t="shared" si="285"/>
        <v>8.2883959165279286</v>
      </c>
      <c r="CB812">
        <f t="shared" si="286"/>
        <v>265304.22402575822</v>
      </c>
      <c r="CD812">
        <f t="shared" si="287"/>
        <v>275517.62245522317</v>
      </c>
      <c r="CF812">
        <f t="shared" si="288"/>
        <v>247577.06382924021</v>
      </c>
    </row>
    <row r="813" spans="12:84" x14ac:dyDescent="0.25">
      <c r="L813">
        <v>802</v>
      </c>
      <c r="M813">
        <f t="shared" si="300"/>
        <v>5.0391146163579927</v>
      </c>
      <c r="P813">
        <f t="shared" si="294"/>
        <v>21604.718049035881</v>
      </c>
      <c r="Q813">
        <f t="shared" si="295"/>
        <v>2764.5084750262213</v>
      </c>
      <c r="V813">
        <f t="shared" si="296"/>
        <v>-18876.697365674885</v>
      </c>
      <c r="W813">
        <f t="shared" si="297"/>
        <v>6685.1559325183553</v>
      </c>
      <c r="AB813">
        <f t="shared" si="298"/>
        <v>-3395.2819509641213</v>
      </c>
      <c r="AC813">
        <f t="shared" si="299"/>
        <v>-19735.491524973779</v>
      </c>
      <c r="AW813">
        <v>806</v>
      </c>
      <c r="AX813">
        <f t="shared" si="289"/>
        <v>403</v>
      </c>
      <c r="AZ813">
        <f t="shared" si="290"/>
        <v>52933.913268579854</v>
      </c>
      <c r="BB813">
        <f t="shared" si="291"/>
        <v>-256562.96575750166</v>
      </c>
      <c r="BD813">
        <f t="shared" si="292"/>
        <v>845.56633785877921</v>
      </c>
      <c r="BF813">
        <f t="shared" si="293"/>
        <v>-1511.9670380046769</v>
      </c>
      <c r="BH813">
        <f t="shared" si="278"/>
        <v>-3.5071643323193822</v>
      </c>
      <c r="BJ813">
        <f t="shared" si="279"/>
        <v>17.818558907550432</v>
      </c>
      <c r="BN813" s="20">
        <f t="shared" si="280"/>
        <v>-0.91315599043327189</v>
      </c>
      <c r="BP813">
        <f t="shared" si="281"/>
        <v>7.3216528223230002</v>
      </c>
      <c r="BR813">
        <f t="shared" si="282"/>
        <v>-0.61997782880286079</v>
      </c>
      <c r="BT813">
        <f t="shared" si="283"/>
        <v>2.2659298170523785</v>
      </c>
      <c r="BV813">
        <f t="shared" si="284"/>
        <v>-1.9740305130832496</v>
      </c>
      <c r="BX813">
        <f t="shared" si="285"/>
        <v>8.230976268175052</v>
      </c>
      <c r="CB813">
        <f t="shared" si="286"/>
        <v>266108.79829090548</v>
      </c>
      <c r="CD813">
        <f t="shared" si="287"/>
        <v>276360.58043451805</v>
      </c>
      <c r="CF813">
        <f t="shared" si="288"/>
        <v>248412.97214954629</v>
      </c>
    </row>
    <row r="814" spans="12:84" x14ac:dyDescent="0.25">
      <c r="L814">
        <v>803</v>
      </c>
      <c r="M814">
        <f t="shared" si="300"/>
        <v>5.0453978016651719</v>
      </c>
      <c r="P814">
        <f t="shared" si="294"/>
        <v>21634.440148274542</v>
      </c>
      <c r="Q814">
        <f t="shared" si="295"/>
        <v>2774.6846241009171</v>
      </c>
      <c r="V814">
        <f t="shared" si="296"/>
        <v>-18855.891896207821</v>
      </c>
      <c r="W814">
        <f t="shared" si="297"/>
        <v>6692.2792368706414</v>
      </c>
      <c r="AB814">
        <f t="shared" si="298"/>
        <v>-3365.5598517254575</v>
      </c>
      <c r="AC814">
        <f t="shared" si="299"/>
        <v>-19725.315375899081</v>
      </c>
      <c r="AW814">
        <v>807</v>
      </c>
      <c r="AX814">
        <f t="shared" si="289"/>
        <v>403.5</v>
      </c>
      <c r="AZ814">
        <f t="shared" si="290"/>
        <v>53356.258041967703</v>
      </c>
      <c r="BB814">
        <f t="shared" si="291"/>
        <v>-257316.72195664054</v>
      </c>
      <c r="BD814">
        <f t="shared" si="292"/>
        <v>843.81275569261948</v>
      </c>
      <c r="BF814">
        <f t="shared" si="293"/>
        <v>-1503.0577585509016</v>
      </c>
      <c r="BH814">
        <f t="shared" si="278"/>
        <v>-3.5031287067643695</v>
      </c>
      <c r="BJ814">
        <f t="shared" si="279"/>
        <v>17.702998466184575</v>
      </c>
      <c r="BN814" s="20">
        <f t="shared" si="280"/>
        <v>-0.91658214630254353</v>
      </c>
      <c r="BP814">
        <f t="shared" si="281"/>
        <v>7.2767838371567812</v>
      </c>
      <c r="BR814">
        <f t="shared" si="282"/>
        <v>-0.61792949723056989</v>
      </c>
      <c r="BT814">
        <f t="shared" si="283"/>
        <v>2.2517899905075374</v>
      </c>
      <c r="BV814">
        <f t="shared" si="284"/>
        <v>-1.9686170632312561</v>
      </c>
      <c r="BX814">
        <f t="shared" si="285"/>
        <v>8.1744246385202537</v>
      </c>
      <c r="CB814">
        <f t="shared" si="286"/>
        <v>266909.22835005721</v>
      </c>
      <c r="CD814">
        <f t="shared" si="287"/>
        <v>277199.15301379189</v>
      </c>
      <c r="CF814">
        <f t="shared" si="288"/>
        <v>249244.5517809217</v>
      </c>
    </row>
    <row r="815" spans="12:84" x14ac:dyDescent="0.25">
      <c r="L815">
        <v>804</v>
      </c>
      <c r="M815">
        <f t="shared" si="300"/>
        <v>5.0516809869723511</v>
      </c>
      <c r="P815">
        <f t="shared" si="294"/>
        <v>21664.097722614762</v>
      </c>
      <c r="Q815">
        <f t="shared" si="295"/>
        <v>2785.0473205356166</v>
      </c>
      <c r="V815">
        <f t="shared" si="296"/>
        <v>-18835.131594169667</v>
      </c>
      <c r="W815">
        <f t="shared" si="297"/>
        <v>6699.5331243749315</v>
      </c>
      <c r="AB815">
        <f t="shared" si="298"/>
        <v>-3335.9022773852384</v>
      </c>
      <c r="AC815">
        <f t="shared" si="299"/>
        <v>-19714.952679464383</v>
      </c>
      <c r="AW815">
        <v>808</v>
      </c>
      <c r="AX815">
        <f t="shared" si="289"/>
        <v>404</v>
      </c>
      <c r="AZ815">
        <f t="shared" si="290"/>
        <v>53777.726528725667</v>
      </c>
      <c r="BB815">
        <f t="shared" si="291"/>
        <v>-258066.03796110774</v>
      </c>
      <c r="BD815">
        <f t="shared" si="292"/>
        <v>842.06119133923733</v>
      </c>
      <c r="BF815">
        <f t="shared" si="293"/>
        <v>-1494.2062593178093</v>
      </c>
      <c r="BH815">
        <f t="shared" si="278"/>
        <v>-3.4990756992769736</v>
      </c>
      <c r="BJ815">
        <f t="shared" si="279"/>
        <v>17.589110882035399</v>
      </c>
      <c r="BN815" s="20">
        <f t="shared" si="280"/>
        <v>-0.91991692386089818</v>
      </c>
      <c r="BP815">
        <f t="shared" si="281"/>
        <v>7.2325380607054548</v>
      </c>
      <c r="BR815">
        <f t="shared" si="282"/>
        <v>-0.61590601989444138</v>
      </c>
      <c r="BT815">
        <f t="shared" si="283"/>
        <v>2.2378500162269752</v>
      </c>
      <c r="BV815">
        <f t="shared" si="284"/>
        <v>-1.9632527555216341</v>
      </c>
      <c r="BX815">
        <f t="shared" si="285"/>
        <v>8.1187228051029692</v>
      </c>
      <c r="CB815">
        <f t="shared" si="286"/>
        <v>267705.53847055516</v>
      </c>
      <c r="CD815">
        <f t="shared" si="287"/>
        <v>278033.367853417</v>
      </c>
      <c r="CF815">
        <f t="shared" si="288"/>
        <v>250071.82957301752</v>
      </c>
    </row>
    <row r="816" spans="12:84" x14ac:dyDescent="0.25">
      <c r="L816">
        <v>805</v>
      </c>
      <c r="M816">
        <f t="shared" si="300"/>
        <v>5.0579641722795303</v>
      </c>
      <c r="P816">
        <f t="shared" si="294"/>
        <v>21693.689601226284</v>
      </c>
      <c r="Q816">
        <f t="shared" si="295"/>
        <v>2795.5961552288109</v>
      </c>
      <c r="V816">
        <f t="shared" si="296"/>
        <v>-18814.417279141602</v>
      </c>
      <c r="W816">
        <f t="shared" si="297"/>
        <v>6706.9173086601677</v>
      </c>
      <c r="AB816">
        <f t="shared" si="298"/>
        <v>-3306.3103987737159</v>
      </c>
      <c r="AC816">
        <f t="shared" si="299"/>
        <v>-19704.40384477119</v>
      </c>
      <c r="AW816">
        <v>809</v>
      </c>
      <c r="AX816">
        <f t="shared" si="289"/>
        <v>404.5</v>
      </c>
      <c r="AZ816">
        <f t="shared" si="290"/>
        <v>54198.319739932878</v>
      </c>
      <c r="BB816">
        <f t="shared" si="291"/>
        <v>-258810.94245190639</v>
      </c>
      <c r="BD816">
        <f t="shared" si="292"/>
        <v>840.31165348959883</v>
      </c>
      <c r="BF816">
        <f t="shared" si="293"/>
        <v>-1485.4117038767915</v>
      </c>
      <c r="BH816">
        <f t="shared" si="278"/>
        <v>-3.4950074263127435</v>
      </c>
      <c r="BJ816">
        <f t="shared" si="279"/>
        <v>17.476862570023094</v>
      </c>
      <c r="BN816" s="20">
        <f t="shared" si="280"/>
        <v>-0.92316305314910041</v>
      </c>
      <c r="BP816">
        <f t="shared" si="281"/>
        <v>7.1889035657457363</v>
      </c>
      <c r="BR816">
        <f t="shared" si="282"/>
        <v>-0.61390702209869552</v>
      </c>
      <c r="BT816">
        <f t="shared" si="283"/>
        <v>2.2241059604396769</v>
      </c>
      <c r="BV816">
        <f t="shared" si="284"/>
        <v>-1.9579373510649478</v>
      </c>
      <c r="BX816">
        <f t="shared" si="285"/>
        <v>8.0638530438376819</v>
      </c>
      <c r="CB816">
        <f t="shared" si="286"/>
        <v>268497.75258399703</v>
      </c>
      <c r="CD816">
        <f t="shared" si="287"/>
        <v>278863.25221174525</v>
      </c>
      <c r="CF816">
        <f t="shared" si="288"/>
        <v>250894.83199005542</v>
      </c>
    </row>
    <row r="817" spans="12:84" x14ac:dyDescent="0.25">
      <c r="L817">
        <v>806</v>
      </c>
      <c r="M817">
        <f t="shared" si="300"/>
        <v>5.0642473575867095</v>
      </c>
      <c r="P817">
        <f t="shared" si="294"/>
        <v>21723.21461587241</v>
      </c>
      <c r="Q817">
        <f t="shared" si="295"/>
        <v>2806.3307117305649</v>
      </c>
      <c r="V817">
        <f t="shared" si="296"/>
        <v>-18793.749768889313</v>
      </c>
      <c r="W817">
        <f t="shared" si="297"/>
        <v>6714.4314982113956</v>
      </c>
      <c r="AB817">
        <f t="shared" si="298"/>
        <v>-3276.7853841275892</v>
      </c>
      <c r="AC817">
        <f t="shared" si="299"/>
        <v>-19693.669288269433</v>
      </c>
      <c r="AW817">
        <v>810</v>
      </c>
      <c r="AX817">
        <f t="shared" si="289"/>
        <v>405</v>
      </c>
      <c r="AZ817">
        <f t="shared" si="290"/>
        <v>54618.038690749388</v>
      </c>
      <c r="BB817">
        <f t="shared" si="291"/>
        <v>-259551.46369602354</v>
      </c>
      <c r="BD817">
        <f t="shared" si="292"/>
        <v>838.56414977644249</v>
      </c>
      <c r="BF817">
        <f t="shared" si="293"/>
        <v>-1476.67327259178</v>
      </c>
      <c r="BH817">
        <f t="shared" si="278"/>
        <v>-3.4909259146262692</v>
      </c>
      <c r="BJ817">
        <f t="shared" si="279"/>
        <v>17.366220827225334</v>
      </c>
      <c r="BN817" s="20">
        <f t="shared" si="280"/>
        <v>-0.92632317582926038</v>
      </c>
      <c r="BP817">
        <f t="shared" si="281"/>
        <v>7.1458687238354912</v>
      </c>
      <c r="BR817">
        <f t="shared" si="282"/>
        <v>-0.61193213707428662</v>
      </c>
      <c r="BT817">
        <f t="shared" si="283"/>
        <v>2.2105539910345926</v>
      </c>
      <c r="BV817">
        <f t="shared" si="284"/>
        <v>-1.9526706017227222</v>
      </c>
      <c r="BX817">
        <f t="shared" si="285"/>
        <v>8.0097981123552504</v>
      </c>
      <c r="CB817">
        <f t="shared" si="286"/>
        <v>269285.89429263247</v>
      </c>
      <c r="CD817">
        <f t="shared" si="287"/>
        <v>279688.83295319974</v>
      </c>
      <c r="CF817">
        <f t="shared" si="288"/>
        <v>251713.58511848183</v>
      </c>
    </row>
    <row r="818" spans="12:84" x14ac:dyDescent="0.25">
      <c r="L818">
        <v>807</v>
      </c>
      <c r="M818">
        <f t="shared" si="300"/>
        <v>5.0705305428938887</v>
      </c>
      <c r="P818">
        <f t="shared" si="294"/>
        <v>21752.671600956121</v>
      </c>
      <c r="Q818">
        <f t="shared" si="295"/>
        <v>2817.2505662589729</v>
      </c>
      <c r="V818">
        <f t="shared" si="296"/>
        <v>-18773.129879330718</v>
      </c>
      <c r="W818">
        <f t="shared" si="297"/>
        <v>6722.0753963812804</v>
      </c>
      <c r="AB818">
        <f t="shared" si="298"/>
        <v>-3247.3283990438808</v>
      </c>
      <c r="AC818">
        <f t="shared" si="299"/>
        <v>-19682.749433741028</v>
      </c>
      <c r="AW818">
        <v>811</v>
      </c>
      <c r="AX818">
        <f t="shared" si="289"/>
        <v>405.5</v>
      </c>
      <c r="AZ818">
        <f t="shared" si="290"/>
        <v>55036.884399898285</v>
      </c>
      <c r="BB818">
        <f t="shared" si="291"/>
        <v>-260287.62955471603</v>
      </c>
      <c r="BD818">
        <f t="shared" si="292"/>
        <v>836.81868681912931</v>
      </c>
      <c r="BF818">
        <f t="shared" si="293"/>
        <v>-1467.9901621781673</v>
      </c>
      <c r="BH818">
        <f t="shared" si="278"/>
        <v>-3.4868331051209633</v>
      </c>
      <c r="BJ818">
        <f t="shared" si="279"/>
        <v>17.257153804498106</v>
      </c>
      <c r="BN818" s="20">
        <f t="shared" si="280"/>
        <v>-0.92939984847097235</v>
      </c>
      <c r="BP818">
        <f t="shared" si="281"/>
        <v>7.1034221961606976</v>
      </c>
      <c r="BR818">
        <f t="shared" si="282"/>
        <v>-0.60998100577229175</v>
      </c>
      <c r="BT818">
        <f t="shared" si="283"/>
        <v>2.1971903743356616</v>
      </c>
      <c r="BV818">
        <f t="shared" si="284"/>
        <v>-1.947452250877699</v>
      </c>
      <c r="BX818">
        <f t="shared" si="285"/>
        <v>7.9565412340017474</v>
      </c>
      <c r="CB818">
        <f t="shared" si="286"/>
        <v>270069.98687559797</v>
      </c>
      <c r="CD818">
        <f t="shared" si="287"/>
        <v>280510.13655615214</v>
      </c>
      <c r="CF818">
        <f t="shared" si="288"/>
        <v>252528.11467442263</v>
      </c>
    </row>
    <row r="819" spans="12:84" x14ac:dyDescent="0.25">
      <c r="L819">
        <v>808</v>
      </c>
      <c r="M819">
        <f t="shared" si="300"/>
        <v>5.0768137282010679</v>
      </c>
      <c r="P819">
        <f t="shared" si="294"/>
        <v>21782.059393566076</v>
      </c>
      <c r="Q819">
        <f t="shared" si="295"/>
        <v>2828.3552877168722</v>
      </c>
      <c r="V819">
        <f t="shared" si="296"/>
        <v>-18752.558424503746</v>
      </c>
      <c r="W819">
        <f t="shared" si="297"/>
        <v>6729.8487014018101</v>
      </c>
      <c r="AB819">
        <f t="shared" si="298"/>
        <v>-3217.9406064339237</v>
      </c>
      <c r="AC819">
        <f t="shared" si="299"/>
        <v>-19671.644712283127</v>
      </c>
      <c r="AW819">
        <v>812</v>
      </c>
      <c r="AX819">
        <f t="shared" si="289"/>
        <v>406</v>
      </c>
      <c r="AZ819">
        <f t="shared" si="290"/>
        <v>55454.857889169711</v>
      </c>
      <c r="BB819">
        <f t="shared" si="291"/>
        <v>-261019.46749157956</v>
      </c>
      <c r="BD819">
        <f t="shared" si="292"/>
        <v>835.07527026656885</v>
      </c>
      <c r="BF819">
        <f t="shared" si="293"/>
        <v>-1459.3615852759183</v>
      </c>
      <c r="BH819">
        <f t="shared" si="278"/>
        <v>-3.482730856520508</v>
      </c>
      <c r="BJ819">
        <f t="shared" si="279"/>
        <v>17.149630479176288</v>
      </c>
      <c r="BN819" s="20">
        <f t="shared" si="280"/>
        <v>-0.93239554569893124</v>
      </c>
      <c r="BP819">
        <f t="shared" si="281"/>
        <v>7.0615529247143423</v>
      </c>
      <c r="BR819">
        <f t="shared" si="282"/>
        <v>-0.60805327666381082</v>
      </c>
      <c r="BT819">
        <f t="shared" si="283"/>
        <v>2.1840114719981414</v>
      </c>
      <c r="BV819">
        <f t="shared" si="284"/>
        <v>-1.9422820341577662</v>
      </c>
      <c r="BX819">
        <f t="shared" si="285"/>
        <v>7.904066082463804</v>
      </c>
      <c r="CB819">
        <f t="shared" si="286"/>
        <v>270850.05329499696</v>
      </c>
      <c r="CD819">
        <f t="shared" si="287"/>
        <v>281327.18912059348</v>
      </c>
      <c r="CF819">
        <f t="shared" si="288"/>
        <v>253338.44601094417</v>
      </c>
    </row>
    <row r="820" spans="12:84" x14ac:dyDescent="0.25">
      <c r="L820">
        <v>809</v>
      </c>
      <c r="M820">
        <f t="shared" si="300"/>
        <v>5.0830969135082471</v>
      </c>
      <c r="P820">
        <f t="shared" si="294"/>
        <v>21811.37683352255</v>
      </c>
      <c r="Q820">
        <f t="shared" si="295"/>
        <v>2839.6444377088756</v>
      </c>
      <c r="V820">
        <f t="shared" si="296"/>
        <v>-18732.036216534216</v>
      </c>
      <c r="W820">
        <f t="shared" si="297"/>
        <v>6737.7511063962129</v>
      </c>
      <c r="AB820">
        <f t="shared" si="298"/>
        <v>-3188.6231664774505</v>
      </c>
      <c r="AC820">
        <f t="shared" si="299"/>
        <v>-19660.355562291123</v>
      </c>
      <c r="AW820">
        <v>813</v>
      </c>
      <c r="AX820">
        <f t="shared" si="289"/>
        <v>406.5</v>
      </c>
      <c r="AZ820">
        <f t="shared" si="290"/>
        <v>55871.960182945928</v>
      </c>
      <c r="BB820">
        <f t="shared" si="291"/>
        <v>-261747.00458040761</v>
      </c>
      <c r="BD820">
        <f t="shared" si="292"/>
        <v>833.33390483830863</v>
      </c>
      <c r="BF820">
        <f t="shared" si="293"/>
        <v>-1450.7867700363302</v>
      </c>
      <c r="BH820">
        <f t="shared" si="278"/>
        <v>-3.4786209488711086</v>
      </c>
      <c r="BJ820">
        <f t="shared" si="279"/>
        <v>17.043620628806146</v>
      </c>
      <c r="BN820" s="20">
        <f t="shared" si="280"/>
        <v>-0.93531266320837103</v>
      </c>
      <c r="BP820">
        <f t="shared" si="281"/>
        <v>7.0202501237917128</v>
      </c>
      <c r="BR820">
        <f t="shared" si="282"/>
        <v>-0.60614860554607519</v>
      </c>
      <c r="BT820">
        <f t="shared" si="283"/>
        <v>2.1710137380207244</v>
      </c>
      <c r="BV820">
        <f t="shared" si="284"/>
        <v>-1.9371596801166624</v>
      </c>
      <c r="BX820">
        <f t="shared" si="285"/>
        <v>7.8523567669937071</v>
      </c>
      <c r="CB820">
        <f t="shared" si="286"/>
        <v>271626.11620182788</v>
      </c>
      <c r="CD820">
        <f t="shared" si="287"/>
        <v>282140.01637560496</v>
      </c>
      <c r="CF820">
        <f t="shared" si="288"/>
        <v>254144.60412512763</v>
      </c>
    </row>
    <row r="821" spans="12:84" x14ac:dyDescent="0.25">
      <c r="L821">
        <v>810</v>
      </c>
      <c r="M821">
        <f t="shared" si="300"/>
        <v>5.0893800988154263</v>
      </c>
      <c r="P821">
        <f t="shared" si="294"/>
        <v>21840.622763423209</v>
      </c>
      <c r="Q821">
        <f t="shared" si="295"/>
        <v>2851.117570558672</v>
      </c>
      <c r="V821">
        <f t="shared" si="296"/>
        <v>-18711.564065603754</v>
      </c>
      <c r="W821">
        <f t="shared" si="297"/>
        <v>6745.7822993910704</v>
      </c>
      <c r="AB821">
        <f t="shared" si="298"/>
        <v>-3159.37723657679</v>
      </c>
      <c r="AC821">
        <f t="shared" si="299"/>
        <v>-19648.882429441328</v>
      </c>
      <c r="AW821">
        <v>814</v>
      </c>
      <c r="AX821">
        <f t="shared" si="289"/>
        <v>407</v>
      </c>
      <c r="AZ821">
        <f t="shared" si="290"/>
        <v>56288.192307746474</v>
      </c>
      <c r="BB821">
        <f t="shared" si="291"/>
        <v>-262470.2675128472</v>
      </c>
      <c r="BD821">
        <f t="shared" si="292"/>
        <v>831.59459436387306</v>
      </c>
      <c r="BF821">
        <f t="shared" si="293"/>
        <v>-1442.264959721927</v>
      </c>
      <c r="BH821">
        <f t="shared" si="278"/>
        <v>-3.4745050868830565</v>
      </c>
      <c r="BJ821">
        <f t="shared" si="279"/>
        <v>16.93909480586559</v>
      </c>
      <c r="BN821" s="20">
        <f t="shared" si="280"/>
        <v>-0.93815352065480162</v>
      </c>
      <c r="BP821">
        <f t="shared" si="281"/>
        <v>6.9795032717909633</v>
      </c>
      <c r="BR821">
        <f t="shared" si="282"/>
        <v>-0.60426665535460566</v>
      </c>
      <c r="BT821">
        <f t="shared" si="283"/>
        <v>2.1581937158687197</v>
      </c>
      <c r="BV821">
        <f t="shared" si="284"/>
        <v>-1.9320849108736491</v>
      </c>
      <c r="BX821">
        <f t="shared" si="285"/>
        <v>7.8013978182059072</v>
      </c>
      <c r="CB821">
        <f t="shared" si="286"/>
        <v>272398.19794176734</v>
      </c>
      <c r="CD821">
        <f t="shared" si="287"/>
        <v>282948.64368663484</v>
      </c>
      <c r="CF821">
        <f t="shared" si="288"/>
        <v>254946.61366496215</v>
      </c>
    </row>
    <row r="822" spans="12:84" x14ac:dyDescent="0.25">
      <c r="L822">
        <v>811</v>
      </c>
      <c r="M822">
        <f t="shared" si="300"/>
        <v>5.0956632841226055</v>
      </c>
      <c r="P822">
        <f t="shared" si="294"/>
        <v>21869.796028688819</v>
      </c>
      <c r="Q822">
        <f t="shared" si="295"/>
        <v>2862.7742333266206</v>
      </c>
      <c r="V822">
        <f t="shared" si="296"/>
        <v>-18691.142779917827</v>
      </c>
      <c r="W822">
        <f t="shared" si="297"/>
        <v>6753.9419633286343</v>
      </c>
      <c r="AB822">
        <f t="shared" si="298"/>
        <v>-3130.203971311179</v>
      </c>
      <c r="AC822">
        <f t="shared" si="299"/>
        <v>-19637.225766673379</v>
      </c>
      <c r="AW822">
        <v>815</v>
      </c>
      <c r="AX822">
        <f t="shared" si="289"/>
        <v>407.5</v>
      </c>
      <c r="AZ822">
        <f t="shared" si="290"/>
        <v>56703.555291792552</v>
      </c>
      <c r="BB822">
        <f t="shared" si="291"/>
        <v>-263189.28260585741</v>
      </c>
      <c r="BD822">
        <f t="shared" si="292"/>
        <v>829.85734182043154</v>
      </c>
      <c r="BF822">
        <f t="shared" si="293"/>
        <v>-1433.7954123189941</v>
      </c>
      <c r="BH822">
        <f t="shared" si="278"/>
        <v>-3.4703849031197334</v>
      </c>
      <c r="BJ822">
        <f t="shared" si="279"/>
        <v>16.836024313428812</v>
      </c>
      <c r="BN822" s="20">
        <f t="shared" si="280"/>
        <v>-0.94092036442373006</v>
      </c>
      <c r="BP822">
        <f t="shared" si="281"/>
        <v>6.9393021033048354</v>
      </c>
      <c r="BR822">
        <f t="shared" si="282"/>
        <v>-0.60240709598113451</v>
      </c>
      <c r="BT822">
        <f t="shared" si="283"/>
        <v>2.1455480357032881</v>
      </c>
      <c r="BV822">
        <f t="shared" si="284"/>
        <v>-1.9270574427148688</v>
      </c>
      <c r="BX822">
        <f t="shared" si="285"/>
        <v>7.7511741744206892</v>
      </c>
      <c r="CB822">
        <f t="shared" si="286"/>
        <v>273166.32056081039</v>
      </c>
      <c r="CD822">
        <f t="shared" si="287"/>
        <v>283753.09606258769</v>
      </c>
      <c r="CF822">
        <f t="shared" si="288"/>
        <v>255744.49893606207</v>
      </c>
    </row>
    <row r="823" spans="12:84" x14ac:dyDescent="0.25">
      <c r="L823">
        <v>812</v>
      </c>
      <c r="M823">
        <f t="shared" si="300"/>
        <v>5.1019464694297847</v>
      </c>
      <c r="P823">
        <f t="shared" si="294"/>
        <v>21898.895477608821</v>
      </c>
      <c r="Q823">
        <f t="shared" si="295"/>
        <v>2874.6139658276352</v>
      </c>
      <c r="V823">
        <f t="shared" si="296"/>
        <v>-18670.773165673825</v>
      </c>
      <c r="W823">
        <f t="shared" si="297"/>
        <v>6762.2297760793444</v>
      </c>
      <c r="AB823">
        <f t="shared" si="298"/>
        <v>-3101.1045223911774</v>
      </c>
      <c r="AC823">
        <f t="shared" si="299"/>
        <v>-19625.386034172363</v>
      </c>
      <c r="AW823">
        <v>816</v>
      </c>
      <c r="AX823">
        <f t="shared" si="289"/>
        <v>408</v>
      </c>
      <c r="AZ823">
        <f t="shared" si="290"/>
        <v>57118.050164589877</v>
      </c>
      <c r="BB823">
        <f t="shared" si="291"/>
        <v>-263904.07580897777</v>
      </c>
      <c r="BD823">
        <f t="shared" si="292"/>
        <v>828.12214936887165</v>
      </c>
      <c r="BF823">
        <f t="shared" si="293"/>
        <v>-1425.3774001622796</v>
      </c>
      <c r="BH823">
        <f t="shared" si="278"/>
        <v>-3.466261961041603</v>
      </c>
      <c r="BJ823">
        <f t="shared" si="279"/>
        <v>16.734381181734651</v>
      </c>
      <c r="BN823" s="20">
        <f t="shared" si="280"/>
        <v>-0.9436153702860538</v>
      </c>
      <c r="BP823">
        <f t="shared" si="281"/>
        <v>6.8996366014923325</v>
      </c>
      <c r="BR823">
        <f t="shared" si="282"/>
        <v>-0.60056960409714433</v>
      </c>
      <c r="BT823">
        <f t="shared" si="283"/>
        <v>2.133073411712429</v>
      </c>
      <c r="BV823">
        <f t="shared" si="284"/>
        <v>-1.9220769866584051</v>
      </c>
      <c r="BX823">
        <f t="shared" si="285"/>
        <v>7.7016711685298889</v>
      </c>
      <c r="CB823">
        <f t="shared" si="286"/>
        <v>273930.50581077376</v>
      </c>
      <c r="CD823">
        <f t="shared" si="287"/>
        <v>284553.39816273225</v>
      </c>
      <c r="CF823">
        <f t="shared" si="288"/>
        <v>256538.28390821486</v>
      </c>
    </row>
    <row r="824" spans="12:84" x14ac:dyDescent="0.25">
      <c r="L824">
        <v>813</v>
      </c>
      <c r="M824">
        <f t="shared" si="300"/>
        <v>5.1082296547369639</v>
      </c>
      <c r="P824">
        <f t="shared" si="294"/>
        <v>21927.919961386797</v>
      </c>
      <c r="Q824">
        <f t="shared" si="295"/>
        <v>2886.6363006493493</v>
      </c>
      <c r="V824">
        <f t="shared" si="296"/>
        <v>-18650.456027029242</v>
      </c>
      <c r="W824">
        <f t="shared" si="297"/>
        <v>6770.6454104545446</v>
      </c>
      <c r="AB824">
        <f t="shared" si="298"/>
        <v>-3072.0800386132014</v>
      </c>
      <c r="AC824">
        <f t="shared" si="299"/>
        <v>-19613.363699350652</v>
      </c>
      <c r="AW824">
        <v>817</v>
      </c>
      <c r="AX824">
        <f t="shared" si="289"/>
        <v>408.5</v>
      </c>
      <c r="AZ824">
        <f t="shared" si="290"/>
        <v>57531.67795652918</v>
      </c>
      <c r="BB824">
        <f t="shared" si="291"/>
        <v>-264614.6727114112</v>
      </c>
      <c r="BD824">
        <f t="shared" si="292"/>
        <v>826.38901838835079</v>
      </c>
      <c r="BF824">
        <f t="shared" si="293"/>
        <v>-1417.0102095714124</v>
      </c>
      <c r="BH824">
        <f t="shared" si="278"/>
        <v>-3.4621377579125712</v>
      </c>
      <c r="BJ824">
        <f t="shared" si="279"/>
        <v>16.634138145620689</v>
      </c>
      <c r="BN824" s="20">
        <f t="shared" si="280"/>
        <v>-0.94624064594443047</v>
      </c>
      <c r="BP824">
        <f t="shared" si="281"/>
        <v>6.8604969907189988</v>
      </c>
      <c r="BR824">
        <f t="shared" si="282"/>
        <v>-0.5987538629827861</v>
      </c>
      <c r="BT824">
        <f t="shared" si="283"/>
        <v>2.1207666395392915</v>
      </c>
      <c r="BV824">
        <f t="shared" si="284"/>
        <v>-1.9171432489853548</v>
      </c>
      <c r="BX824">
        <f t="shared" si="285"/>
        <v>7.6528745153623978</v>
      </c>
      <c r="CB824">
        <f t="shared" si="286"/>
        <v>274690.77515466564</v>
      </c>
      <c r="CD824">
        <f t="shared" si="287"/>
        <v>285349.57430343301</v>
      </c>
      <c r="CF824">
        <f t="shared" si="288"/>
        <v>257327.99222176356</v>
      </c>
    </row>
    <row r="825" spans="12:84" x14ac:dyDescent="0.25">
      <c r="L825">
        <v>814</v>
      </c>
      <c r="M825">
        <f t="shared" si="300"/>
        <v>5.1145128400441431</v>
      </c>
      <c r="P825">
        <f t="shared" si="294"/>
        <v>21956.868334185827</v>
      </c>
      <c r="Q825">
        <f t="shared" si="295"/>
        <v>2898.8407631705695</v>
      </c>
      <c r="V825">
        <f t="shared" si="296"/>
        <v>-18630.192166069923</v>
      </c>
      <c r="W825">
        <f t="shared" si="297"/>
        <v>6779.1885342193982</v>
      </c>
      <c r="AB825">
        <f t="shared" si="298"/>
        <v>-3043.1316658141732</v>
      </c>
      <c r="AC825">
        <f t="shared" si="299"/>
        <v>-19601.15923682943</v>
      </c>
      <c r="AW825">
        <v>818</v>
      </c>
      <c r="AX825">
        <f t="shared" si="289"/>
        <v>409</v>
      </c>
      <c r="AZ825">
        <f t="shared" si="290"/>
        <v>57944.439698503615</v>
      </c>
      <c r="BB825">
        <f t="shared" si="291"/>
        <v>-265321.09854892874</v>
      </c>
      <c r="BD825">
        <f t="shared" si="292"/>
        <v>824.65794950939448</v>
      </c>
      <c r="BF825">
        <f t="shared" si="293"/>
        <v>-1408.6931404986019</v>
      </c>
      <c r="BH825">
        <f t="shared" si="278"/>
        <v>-3.4580137275753264</v>
      </c>
      <c r="BJ825">
        <f t="shared" si="279"/>
        <v>16.535268622785352</v>
      </c>
      <c r="BN825" s="20">
        <f t="shared" si="280"/>
        <v>-0.94879823347562153</v>
      </c>
      <c r="BP825">
        <f t="shared" si="281"/>
        <v>6.821873729454758</v>
      </c>
      <c r="BR825">
        <f t="shared" si="282"/>
        <v>-0.5969595623609727</v>
      </c>
      <c r="BT825">
        <f t="shared" si="283"/>
        <v>2.1086245938036554</v>
      </c>
      <c r="BV825">
        <f t="shared" si="284"/>
        <v>-1.9122559317387324</v>
      </c>
      <c r="BX825">
        <f t="shared" si="285"/>
        <v>7.6047702995269404</v>
      </c>
      <c r="CB825">
        <f t="shared" si="286"/>
        <v>275447.1497719257</v>
      </c>
      <c r="CD825">
        <f t="shared" si="287"/>
        <v>286141.64846471162</v>
      </c>
      <c r="CF825">
        <f t="shared" si="288"/>
        <v>258113.6471938302</v>
      </c>
    </row>
    <row r="826" spans="12:84" x14ac:dyDescent="0.25">
      <c r="L826">
        <v>815</v>
      </c>
      <c r="M826">
        <f t="shared" si="300"/>
        <v>5.1207960253513223</v>
      </c>
      <c r="P826">
        <f t="shared" si="294"/>
        <v>21985.739453173715</v>
      </c>
      <c r="Q826">
        <f t="shared" si="295"/>
        <v>2911.2268715800128</v>
      </c>
      <c r="V826">
        <f t="shared" si="296"/>
        <v>-18609.982382778398</v>
      </c>
      <c r="W826">
        <f t="shared" si="297"/>
        <v>6787.8588101060086</v>
      </c>
      <c r="AB826">
        <f t="shared" si="298"/>
        <v>-3014.2605468262836</v>
      </c>
      <c r="AC826">
        <f t="shared" si="299"/>
        <v>-19588.773128419987</v>
      </c>
      <c r="AW826">
        <v>819</v>
      </c>
      <c r="AX826">
        <f t="shared" si="289"/>
        <v>409.5</v>
      </c>
      <c r="AZ826">
        <f t="shared" si="290"/>
        <v>58356.336421542364</v>
      </c>
      <c r="BB826">
        <f t="shared" si="291"/>
        <v>-266023.37821060017</v>
      </c>
      <c r="BD826">
        <f t="shared" si="292"/>
        <v>822.92894264560687</v>
      </c>
      <c r="BF826">
        <f t="shared" si="293"/>
        <v>-1400.4255061872093</v>
      </c>
      <c r="BH826">
        <f t="shared" si="278"/>
        <v>-3.4538912431022508</v>
      </c>
      <c r="BJ826">
        <f t="shared" si="279"/>
        <v>16.437746692843174</v>
      </c>
      <c r="BN826" s="20">
        <f t="shared" si="280"/>
        <v>-0.95129011167350197</v>
      </c>
      <c r="BP826">
        <f t="shared" si="281"/>
        <v>6.7837575034183182</v>
      </c>
      <c r="BR826">
        <f t="shared" si="282"/>
        <v>-0.59518639823652286</v>
      </c>
      <c r="BT826">
        <f t="shared" si="283"/>
        <v>2.0966442257129057</v>
      </c>
      <c r="BV826">
        <f t="shared" si="284"/>
        <v>-1.9074147331922258</v>
      </c>
      <c r="BX826">
        <f t="shared" si="285"/>
        <v>7.557344963711949</v>
      </c>
      <c r="CB826">
        <f t="shared" si="286"/>
        <v>276199.65056353994</v>
      </c>
      <c r="CD826">
        <f t="shared" si="287"/>
        <v>286929.6442966428</v>
      </c>
      <c r="CF826">
        <f t="shared" si="288"/>
        <v>258895.27182438399</v>
      </c>
    </row>
    <row r="827" spans="12:84" x14ac:dyDescent="0.25">
      <c r="L827">
        <v>816</v>
      </c>
      <c r="M827">
        <f t="shared" si="300"/>
        <v>5.1270792106585015</v>
      </c>
      <c r="P827">
        <f t="shared" si="294"/>
        <v>22014.532178568126</v>
      </c>
      <c r="Q827">
        <f t="shared" si="295"/>
        <v>2923.7941368953298</v>
      </c>
      <c r="V827">
        <f t="shared" si="296"/>
        <v>-18589.827475002312</v>
      </c>
      <c r="W827">
        <f t="shared" si="297"/>
        <v>6796.6558958267306</v>
      </c>
      <c r="AB827">
        <f t="shared" si="298"/>
        <v>-2985.4678214318747</v>
      </c>
      <c r="AC827">
        <f t="shared" si="299"/>
        <v>-19576.205863104671</v>
      </c>
      <c r="AW827">
        <v>820</v>
      </c>
      <c r="AX827">
        <f t="shared" si="289"/>
        <v>410</v>
      </c>
      <c r="AZ827">
        <f t="shared" si="290"/>
        <v>58767.369156459783</v>
      </c>
      <c r="BB827">
        <f t="shared" si="291"/>
        <v>-266721.53624535719</v>
      </c>
      <c r="BD827">
        <f t="shared" si="292"/>
        <v>821.20199702405569</v>
      </c>
      <c r="BF827">
        <f t="shared" si="293"/>
        <v>-1392.2066328407877</v>
      </c>
      <c r="BH827">
        <f t="shared" si="278"/>
        <v>-3.4497716193281036</v>
      </c>
      <c r="BJ827">
        <f t="shared" si="279"/>
        <v>16.341547077141065</v>
      </c>
      <c r="BN827" s="20">
        <f t="shared" si="280"/>
        <v>-0.95371819829749183</v>
      </c>
      <c r="BP827">
        <f t="shared" si="281"/>
        <v>6.7461392189599696</v>
      </c>
      <c r="BR827">
        <f t="shared" si="282"/>
        <v>-0.59343407274013504</v>
      </c>
      <c r="BT827">
        <f t="shared" si="283"/>
        <v>2.0848225607586097</v>
      </c>
      <c r="BV827">
        <f t="shared" si="284"/>
        <v>-1.9026193482904765</v>
      </c>
      <c r="BX827">
        <f t="shared" si="285"/>
        <v>7.5105852974224874</v>
      </c>
      <c r="CB827">
        <f t="shared" si="286"/>
        <v>276948.29815703322</v>
      </c>
      <c r="CD827">
        <f t="shared" si="287"/>
        <v>287713.58512559073</v>
      </c>
      <c r="CF827">
        <f t="shared" si="288"/>
        <v>259672.88880215987</v>
      </c>
    </row>
    <row r="828" spans="12:84" x14ac:dyDescent="0.25">
      <c r="L828">
        <v>817</v>
      </c>
      <c r="M828">
        <f t="shared" si="300"/>
        <v>5.1333623959656807</v>
      </c>
      <c r="P828">
        <f t="shared" si="294"/>
        <v>22043.245373681555</v>
      </c>
      <c r="Q828">
        <f t="shared" si="295"/>
        <v>2936.5420629824011</v>
      </c>
      <c r="V828">
        <f t="shared" si="296"/>
        <v>-18569.728238422911</v>
      </c>
      <c r="W828">
        <f t="shared" si="297"/>
        <v>6805.5794440876807</v>
      </c>
      <c r="AB828">
        <f t="shared" si="298"/>
        <v>-2956.754626318444</v>
      </c>
      <c r="AC828">
        <f t="shared" si="299"/>
        <v>-19563.4579370176</v>
      </c>
      <c r="AW828">
        <v>821</v>
      </c>
      <c r="AX828">
        <f t="shared" si="289"/>
        <v>410.5</v>
      </c>
      <c r="AZ828">
        <f t="shared" si="290"/>
        <v>59177.53893351939</v>
      </c>
      <c r="BB828">
        <f t="shared" si="291"/>
        <v>-267415.59686839295</v>
      </c>
      <c r="BD828">
        <f t="shared" si="292"/>
        <v>819.47711121439158</v>
      </c>
      <c r="BF828">
        <f t="shared" si="293"/>
        <v>-1384.0358593022172</v>
      </c>
      <c r="BH828">
        <f t="shared" si="278"/>
        <v>-3.4456561152699026</v>
      </c>
      <c r="BJ828">
        <f t="shared" si="279"/>
        <v>16.246645119301451</v>
      </c>
      <c r="BN828" s="20">
        <f t="shared" si="280"/>
        <v>-0.95608435223041111</v>
      </c>
      <c r="BP828">
        <f t="shared" si="281"/>
        <v>6.7090099966711376</v>
      </c>
      <c r="BR828">
        <f t="shared" si="282"/>
        <v>-0.59170229397700336</v>
      </c>
      <c r="BT828">
        <f t="shared" si="283"/>
        <v>2.073156696495106</v>
      </c>
      <c r="BV828">
        <f t="shared" si="284"/>
        <v>-1.897869469062488</v>
      </c>
      <c r="BX828">
        <f t="shared" si="285"/>
        <v>7.4644784261352095</v>
      </c>
      <c r="CB828">
        <f t="shared" si="286"/>
        <v>277693.11291134352</v>
      </c>
      <c r="CD828">
        <f t="shared" si="287"/>
        <v>288493.49396028969</v>
      </c>
      <c r="CF828">
        <f t="shared" si="288"/>
        <v>260446.5205104312</v>
      </c>
    </row>
    <row r="829" spans="12:84" x14ac:dyDescent="0.25">
      <c r="L829">
        <v>818</v>
      </c>
      <c r="M829">
        <f t="shared" si="300"/>
        <v>5.1396455812728599</v>
      </c>
      <c r="P829">
        <f t="shared" si="294"/>
        <v>22071.87790496623</v>
      </c>
      <c r="Q829">
        <f t="shared" si="295"/>
        <v>2949.4701465749349</v>
      </c>
      <c r="V829">
        <f t="shared" si="296"/>
        <v>-18549.685466523639</v>
      </c>
      <c r="W829">
        <f t="shared" si="297"/>
        <v>6814.6291026024537</v>
      </c>
      <c r="AB829">
        <f t="shared" si="298"/>
        <v>-2928.1220950337702</v>
      </c>
      <c r="AC829">
        <f t="shared" si="299"/>
        <v>-19550.529853425065</v>
      </c>
      <c r="AW829">
        <v>822</v>
      </c>
      <c r="AX829">
        <f t="shared" si="289"/>
        <v>411</v>
      </c>
      <c r="AZ829">
        <f t="shared" si="290"/>
        <v>59586.846782112181</v>
      </c>
      <c r="BB829">
        <f t="shared" si="291"/>
        <v>-268105.58396740415</v>
      </c>
      <c r="BD829">
        <f t="shared" si="292"/>
        <v>817.75428315675663</v>
      </c>
      <c r="BF829">
        <f t="shared" si="293"/>
        <v>-1375.9125367425665</v>
      </c>
      <c r="BH829">
        <f t="shared" si="278"/>
        <v>-3.4415459364398622</v>
      </c>
      <c r="BJ829">
        <f t="shared" si="279"/>
        <v>16.15301676646413</v>
      </c>
      <c r="BN829" s="20">
        <f t="shared" si="280"/>
        <v>-0.95839037555003537</v>
      </c>
      <c r="BP829">
        <f t="shared" si="281"/>
        <v>6.6723611652131192</v>
      </c>
      <c r="BR829">
        <f t="shared" si="282"/>
        <v>-0.58999077587995152</v>
      </c>
      <c r="BT829">
        <f t="shared" si="283"/>
        <v>2.0616438003968529</v>
      </c>
      <c r="BV829">
        <f t="shared" si="284"/>
        <v>-1.8931647850098752</v>
      </c>
      <c r="BX829">
        <f t="shared" si="285"/>
        <v>7.4190118008541575</v>
      </c>
      <c r="CB829">
        <f t="shared" si="286"/>
        <v>278434.11492158117</v>
      </c>
      <c r="CD829">
        <f t="shared" si="287"/>
        <v>289269.39349777444</v>
      </c>
      <c r="CF829">
        <f t="shared" si="288"/>
        <v>261216.18903264153</v>
      </c>
    </row>
    <row r="830" spans="12:84" x14ac:dyDescent="0.25">
      <c r="L830">
        <v>819</v>
      </c>
      <c r="M830">
        <f t="shared" si="300"/>
        <v>5.1459287665800391</v>
      </c>
      <c r="P830">
        <f t="shared" si="294"/>
        <v>22100.42864205884</v>
      </c>
      <c r="Q830">
        <f t="shared" si="295"/>
        <v>2962.5778772943268</v>
      </c>
      <c r="V830">
        <f t="shared" si="296"/>
        <v>-18529.699950558814</v>
      </c>
      <c r="W830">
        <f t="shared" si="297"/>
        <v>6823.8045141060284</v>
      </c>
      <c r="AB830">
        <f t="shared" si="298"/>
        <v>-2899.5713579411604</v>
      </c>
      <c r="AC830">
        <f t="shared" si="299"/>
        <v>-19537.422122705673</v>
      </c>
      <c r="AW830">
        <v>823</v>
      </c>
      <c r="AX830">
        <f t="shared" si="289"/>
        <v>411.5</v>
      </c>
      <c r="AZ830">
        <f t="shared" si="290"/>
        <v>59995.293730448502</v>
      </c>
      <c r="BB830">
        <f t="shared" si="291"/>
        <v>-268791.52110867959</v>
      </c>
      <c r="BD830">
        <f t="shared" si="292"/>
        <v>816.03351018853675</v>
      </c>
      <c r="BF830">
        <f t="shared" si="293"/>
        <v>-1367.8360283593345</v>
      </c>
      <c r="BH830">
        <f t="shared" si="278"/>
        <v>-3.4374422370564317</v>
      </c>
      <c r="BJ830">
        <f t="shared" si="279"/>
        <v>16.060638551197531</v>
      </c>
      <c r="BN830" s="20">
        <f t="shared" si="280"/>
        <v>-0.96063801551824346</v>
      </c>
      <c r="BP830">
        <f t="shared" si="281"/>
        <v>6.636184255356449</v>
      </c>
      <c r="BR830">
        <f t="shared" si="282"/>
        <v>-0.5882992380669575</v>
      </c>
      <c r="BT830">
        <f t="shared" si="283"/>
        <v>2.0502811077914238</v>
      </c>
      <c r="BV830">
        <f t="shared" si="284"/>
        <v>-1.8885049834712309</v>
      </c>
      <c r="BX830">
        <f t="shared" si="285"/>
        <v>7.3741731880496593</v>
      </c>
      <c r="CB830">
        <f t="shared" si="286"/>
        <v>279171.32402367692</v>
      </c>
      <c r="CD830">
        <f t="shared" si="287"/>
        <v>290041.30612916511</v>
      </c>
      <c r="CF830">
        <f t="shared" si="288"/>
        <v>261981.9161578994</v>
      </c>
    </row>
    <row r="831" spans="12:84" x14ac:dyDescent="0.25">
      <c r="L831">
        <v>820</v>
      </c>
      <c r="M831">
        <f t="shared" si="300"/>
        <v>5.1522119518872183</v>
      </c>
      <c r="P831">
        <f t="shared" si="294"/>
        <v>22128.896457825169</v>
      </c>
      <c r="Q831">
        <f t="shared" si="295"/>
        <v>2975.8647376698118</v>
      </c>
      <c r="V831">
        <f t="shared" si="296"/>
        <v>-18509.77247952238</v>
      </c>
      <c r="W831">
        <f t="shared" si="297"/>
        <v>6833.1053163688684</v>
      </c>
      <c r="AB831">
        <f t="shared" si="298"/>
        <v>-2871.1035421748297</v>
      </c>
      <c r="AC831">
        <f t="shared" si="299"/>
        <v>-19524.135262330186</v>
      </c>
      <c r="AW831">
        <v>824</v>
      </c>
      <c r="AX831">
        <f t="shared" si="289"/>
        <v>412</v>
      </c>
      <c r="AZ831">
        <f t="shared" si="290"/>
        <v>60402.880805263143</v>
      </c>
      <c r="BB831">
        <f t="shared" si="291"/>
        <v>-269473.43154304038</v>
      </c>
      <c r="BD831">
        <f t="shared" si="292"/>
        <v>814.31478907000849</v>
      </c>
      <c r="BF831">
        <f t="shared" si="293"/>
        <v>-1359.8057090837358</v>
      </c>
      <c r="BH831">
        <f t="shared" si="278"/>
        <v>-3.4333461221581167</v>
      </c>
      <c r="BJ831">
        <f t="shared" si="279"/>
        <v>15.969487574050389</v>
      </c>
      <c r="BN831" s="20">
        <f t="shared" si="280"/>
        <v>-0.96282896649122784</v>
      </c>
      <c r="BP831">
        <f t="shared" si="281"/>
        <v>6.6004709942211628</v>
      </c>
      <c r="BR831">
        <f t="shared" si="282"/>
        <v>-0.58662740570279515</v>
      </c>
      <c r="BT831">
        <f t="shared" si="283"/>
        <v>2.0390659198646475</v>
      </c>
      <c r="BV831">
        <f t="shared" si="284"/>
        <v>-1.8838897499640939</v>
      </c>
      <c r="BX831">
        <f t="shared" si="285"/>
        <v>7.3299506599645792</v>
      </c>
      <c r="CB831">
        <f t="shared" si="286"/>
        <v>279904.75979892089</v>
      </c>
      <c r="CD831">
        <f t="shared" si="287"/>
        <v>290809.25394531008</v>
      </c>
      <c r="CF831">
        <f t="shared" si="288"/>
        <v>262743.72338634072</v>
      </c>
    </row>
    <row r="832" spans="12:84" x14ac:dyDescent="0.25">
      <c r="L832">
        <v>821</v>
      </c>
      <c r="M832">
        <f t="shared" si="300"/>
        <v>5.1584951371943975</v>
      </c>
      <c r="P832">
        <f t="shared" si="294"/>
        <v>22157.280228404601</v>
      </c>
      <c r="Q832">
        <f t="shared" si="295"/>
        <v>2989.3302031588928</v>
      </c>
      <c r="V832">
        <f t="shared" si="296"/>
        <v>-18489.903840116778</v>
      </c>
      <c r="W832">
        <f t="shared" si="297"/>
        <v>6842.5311422112245</v>
      </c>
      <c r="AB832">
        <f t="shared" si="298"/>
        <v>-2842.7197715953994</v>
      </c>
      <c r="AC832">
        <f t="shared" si="299"/>
        <v>-19510.669796841106</v>
      </c>
      <c r="AW832">
        <v>825</v>
      </c>
      <c r="AX832">
        <f t="shared" si="289"/>
        <v>412.5</v>
      </c>
      <c r="AZ832">
        <f t="shared" si="290"/>
        <v>60809.609031532877</v>
      </c>
      <c r="BB832">
        <f t="shared" si="291"/>
        <v>-270151.33821163548</v>
      </c>
      <c r="BD832">
        <f t="shared" si="292"/>
        <v>812.59811600892942</v>
      </c>
      <c r="BF832">
        <f t="shared" si="293"/>
        <v>-1351.8209652967107</v>
      </c>
      <c r="BH832">
        <f t="shared" si="278"/>
        <v>-3.4292586496251527</v>
      </c>
      <c r="BJ832">
        <f t="shared" si="279"/>
        <v>15.879541486720075</v>
      </c>
      <c r="BN832" s="20">
        <f t="shared" si="280"/>
        <v>-0.96496487175457135</v>
      </c>
      <c r="BP832">
        <f t="shared" si="281"/>
        <v>6.5652132997122292</v>
      </c>
      <c r="BR832">
        <f t="shared" si="282"/>
        <v>-0.58497500936481672</v>
      </c>
      <c r="BT832">
        <f t="shared" si="283"/>
        <v>2.0279956017355421</v>
      </c>
      <c r="BV832">
        <f t="shared" si="284"/>
        <v>-1.8793187685057646</v>
      </c>
      <c r="BX832">
        <f t="shared" si="285"/>
        <v>7.2863325852723051</v>
      </c>
      <c r="CB832">
        <f t="shared" si="286"/>
        <v>280634.44157839671</v>
      </c>
      <c r="CD832">
        <f t="shared" si="287"/>
        <v>291573.25874229165</v>
      </c>
      <c r="CF832">
        <f t="shared" si="288"/>
        <v>263501.6319343613</v>
      </c>
    </row>
    <row r="833" spans="12:84" x14ac:dyDescent="0.25">
      <c r="L833">
        <v>822</v>
      </c>
      <c r="M833">
        <f t="shared" si="300"/>
        <v>5.1647783225015766</v>
      </c>
      <c r="P833">
        <f t="shared" si="294"/>
        <v>22185.578833254469</v>
      </c>
      <c r="Q833">
        <f t="shared" si="295"/>
        <v>3002.9737421680493</v>
      </c>
      <c r="V833">
        <f t="shared" si="296"/>
        <v>-18470.09481672187</v>
      </c>
      <c r="W833">
        <f t="shared" si="297"/>
        <v>6852.0816195176349</v>
      </c>
      <c r="AB833">
        <f t="shared" si="298"/>
        <v>-2814.4211667455306</v>
      </c>
      <c r="AC833">
        <f t="shared" si="299"/>
        <v>-19497.026257831953</v>
      </c>
      <c r="AW833">
        <v>826</v>
      </c>
      <c r="AX833">
        <f t="shared" si="289"/>
        <v>413</v>
      </c>
      <c r="AZ833">
        <f t="shared" si="290"/>
        <v>61215.479432206135</v>
      </c>
      <c r="BB833">
        <f t="shared" si="291"/>
        <v>-270825.26375159802</v>
      </c>
      <c r="BD833">
        <f t="shared" si="292"/>
        <v>810.88348668411686</v>
      </c>
      <c r="BF833">
        <f t="shared" si="293"/>
        <v>-1343.8811945533507</v>
      </c>
      <c r="BH833">
        <f t="shared" si="278"/>
        <v>-3.4251808321130754</v>
      </c>
      <c r="BJ833">
        <f t="shared" si="279"/>
        <v>15.790778475810484</v>
      </c>
      <c r="BN833" s="20">
        <f t="shared" si="280"/>
        <v>-0.96704732528625215</v>
      </c>
      <c r="BP833">
        <f t="shared" si="281"/>
        <v>6.5304032751407108</v>
      </c>
      <c r="BR833">
        <f t="shared" si="282"/>
        <v>-0.58334178491259225</v>
      </c>
      <c r="BT833">
        <f t="shared" si="283"/>
        <v>2.0170675805977538</v>
      </c>
      <c r="BV833">
        <f t="shared" si="284"/>
        <v>-1.8747917219142314</v>
      </c>
      <c r="BX833">
        <f t="shared" si="285"/>
        <v>7.2433076200720201</v>
      </c>
      <c r="CB833">
        <f t="shared" si="286"/>
        <v>281360.38844731363</v>
      </c>
      <c r="CD833">
        <f t="shared" si="287"/>
        <v>292333.34202679939</v>
      </c>
      <c r="CF833">
        <f t="shared" si="288"/>
        <v>264255.66273972561</v>
      </c>
    </row>
    <row r="834" spans="12:84" x14ac:dyDescent="0.25">
      <c r="L834">
        <v>823</v>
      </c>
      <c r="M834">
        <f t="shared" si="300"/>
        <v>5.1710615078087558</v>
      </c>
      <c r="P834">
        <f t="shared" si="294"/>
        <v>22213.791155194311</v>
      </c>
      <c r="Q834">
        <f t="shared" si="295"/>
        <v>3016.7948160737233</v>
      </c>
      <c r="V834">
        <f t="shared" si="296"/>
        <v>-18450.346191363984</v>
      </c>
      <c r="W834">
        <f t="shared" si="297"/>
        <v>6861.7563712516057</v>
      </c>
      <c r="AB834">
        <f t="shared" si="298"/>
        <v>-2786.2088448056888</v>
      </c>
      <c r="AC834">
        <f t="shared" si="299"/>
        <v>-19483.205183926279</v>
      </c>
      <c r="AW834">
        <v>827</v>
      </c>
      <c r="AX834">
        <f t="shared" si="289"/>
        <v>413.5</v>
      </c>
      <c r="AZ834">
        <f t="shared" si="290"/>
        <v>61620.493027944183</v>
      </c>
      <c r="BB834">
        <f t="shared" si="291"/>
        <v>-271495.23050156521</v>
      </c>
      <c r="BD834">
        <f t="shared" si="292"/>
        <v>809.17089626806035</v>
      </c>
      <c r="BF834">
        <f t="shared" si="293"/>
        <v>-1335.9858053154455</v>
      </c>
      <c r="BH834">
        <f t="shared" si="278"/>
        <v>-3.4211136389024999</v>
      </c>
      <c r="BJ834">
        <f t="shared" si="279"/>
        <v>15.703177247156473</v>
      </c>
      <c r="BN834" s="20">
        <f t="shared" si="280"/>
        <v>-0.96907787345088137</v>
      </c>
      <c r="BP834">
        <f t="shared" si="281"/>
        <v>6.4960332040244921</v>
      </c>
      <c r="BR834">
        <f t="shared" si="282"/>
        <v>-0.58172747336136199</v>
      </c>
      <c r="BT834">
        <f t="shared" si="283"/>
        <v>2.006279343925133</v>
      </c>
      <c r="BV834">
        <f t="shared" si="284"/>
        <v>-1.8703082920902567</v>
      </c>
      <c r="BX834">
        <f t="shared" si="285"/>
        <v>7.2008646992068481</v>
      </c>
      <c r="CB834">
        <f t="shared" si="286"/>
        <v>282082.61924923811</v>
      </c>
      <c r="CD834">
        <f t="shared" si="287"/>
        <v>293089.52502137295</v>
      </c>
      <c r="CF834">
        <f t="shared" si="288"/>
        <v>265005.83646655298</v>
      </c>
    </row>
    <row r="835" spans="12:84" x14ac:dyDescent="0.25">
      <c r="L835">
        <v>824</v>
      </c>
      <c r="M835">
        <f t="shared" si="300"/>
        <v>5.177344693115935</v>
      </c>
      <c r="P835">
        <f t="shared" si="294"/>
        <v>22241.916080449962</v>
      </c>
      <c r="Q835">
        <f t="shared" si="295"/>
        <v>3030.7928792435814</v>
      </c>
      <c r="V835">
        <f t="shared" si="296"/>
        <v>-18430.658743685024</v>
      </c>
      <c r="W835">
        <f t="shared" si="297"/>
        <v>6871.555015470507</v>
      </c>
      <c r="AB835">
        <f t="shared" si="298"/>
        <v>-2758.0839195500366</v>
      </c>
      <c r="AC835">
        <f t="shared" si="299"/>
        <v>-19469.207120756419</v>
      </c>
      <c r="AW835">
        <v>828</v>
      </c>
      <c r="AX835">
        <f t="shared" si="289"/>
        <v>414</v>
      </c>
      <c r="AZ835">
        <f t="shared" si="290"/>
        <v>62024.650836873348</v>
      </c>
      <c r="BB835">
        <f t="shared" si="291"/>
        <v>-272161.26050706703</v>
      </c>
      <c r="BD835">
        <f t="shared" si="292"/>
        <v>807.46033944860915</v>
      </c>
      <c r="BF835">
        <f t="shared" si="293"/>
        <v>-1328.1342166918673</v>
      </c>
      <c r="BH835">
        <f t="shared" si="278"/>
        <v>-3.4170579976690592</v>
      </c>
      <c r="BJ835">
        <f t="shared" si="279"/>
        <v>15.616717010692149</v>
      </c>
      <c r="BN835" s="20">
        <f t="shared" si="280"/>
        <v>-0.97105801662818469</v>
      </c>
      <c r="BP835">
        <f t="shared" si="281"/>
        <v>6.4620955450616506</v>
      </c>
      <c r="BR835">
        <f t="shared" si="282"/>
        <v>-0.58013182075914327</v>
      </c>
      <c r="BT835">
        <f t="shared" si="283"/>
        <v>1.9956284377387954</v>
      </c>
      <c r="BV835">
        <f t="shared" si="284"/>
        <v>-1.8658681602817313</v>
      </c>
      <c r="BX835">
        <f t="shared" si="285"/>
        <v>7.1589930278917047</v>
      </c>
      <c r="CB835">
        <f t="shared" si="286"/>
        <v>282801.15259023034</v>
      </c>
      <c r="CD835">
        <f t="shared" si="287"/>
        <v>293841.82866952068</v>
      </c>
      <c r="CF835">
        <f t="shared" si="288"/>
        <v>265752.17351018672</v>
      </c>
    </row>
    <row r="836" spans="12:84" x14ac:dyDescent="0.25">
      <c r="L836">
        <v>825</v>
      </c>
      <c r="M836">
        <f t="shared" si="300"/>
        <v>5.1836278784231142</v>
      </c>
      <c r="P836">
        <f t="shared" si="294"/>
        <v>22269.952498697534</v>
      </c>
      <c r="Q836">
        <f t="shared" si="295"/>
        <v>3044.9673790580591</v>
      </c>
      <c r="V836">
        <f t="shared" si="296"/>
        <v>-18411.033250911725</v>
      </c>
      <c r="W836">
        <f t="shared" si="297"/>
        <v>6881.4771653406415</v>
      </c>
      <c r="AB836">
        <f t="shared" si="298"/>
        <v>-2730.0475013024648</v>
      </c>
      <c r="AC836">
        <f t="shared" si="299"/>
        <v>-19455.03262094194</v>
      </c>
      <c r="AW836">
        <v>829</v>
      </c>
      <c r="AX836">
        <f t="shared" si="289"/>
        <v>414.5</v>
      </c>
      <c r="AZ836">
        <f t="shared" si="290"/>
        <v>62427.953874347942</v>
      </c>
      <c r="BB836">
        <f t="shared" si="291"/>
        <v>-272823.3755257866</v>
      </c>
      <c r="BD836">
        <f t="shared" si="292"/>
        <v>805.75181044977467</v>
      </c>
      <c r="BF836">
        <f t="shared" si="293"/>
        <v>-1320.3258581865211</v>
      </c>
      <c r="BH836">
        <f t="shared" si="278"/>
        <v>-3.413014796177321</v>
      </c>
      <c r="BJ836">
        <f t="shared" si="279"/>
        <v>15.531377465841121</v>
      </c>
      <c r="BN836" s="20">
        <f t="shared" si="280"/>
        <v>-0.97298921077848621</v>
      </c>
      <c r="BP836">
        <f t="shared" si="281"/>
        <v>6.4285829272691544</v>
      </c>
      <c r="BR836">
        <f t="shared" si="282"/>
        <v>-0.57855457806736155</v>
      </c>
      <c r="BT836">
        <f t="shared" si="283"/>
        <v>1.9851124649332181</v>
      </c>
      <c r="BV836">
        <f t="shared" si="284"/>
        <v>-1.8614710073314731</v>
      </c>
      <c r="BX836">
        <f t="shared" si="285"/>
        <v>7.1176820736387478</v>
      </c>
      <c r="CB836">
        <f t="shared" si="286"/>
        <v>283516.00684288528</v>
      </c>
      <c r="CD836">
        <f t="shared" si="287"/>
        <v>294590.27364071569</v>
      </c>
      <c r="CF836">
        <f t="shared" si="288"/>
        <v>266494.69400194811</v>
      </c>
    </row>
    <row r="837" spans="12:84" x14ac:dyDescent="0.25">
      <c r="L837">
        <v>826</v>
      </c>
      <c r="M837">
        <f t="shared" si="300"/>
        <v>5.1899110637302934</v>
      </c>
      <c r="P837">
        <f t="shared" si="294"/>
        <v>22297.899303107239</v>
      </c>
      <c r="Q837">
        <f t="shared" si="295"/>
        <v>3059.3177559321739</v>
      </c>
      <c r="V837">
        <f t="shared" si="296"/>
        <v>-18391.470487824932</v>
      </c>
      <c r="W837">
        <f t="shared" si="297"/>
        <v>6891.522429152521</v>
      </c>
      <c r="AB837">
        <f t="shared" si="298"/>
        <v>-2702.1006968927604</v>
      </c>
      <c r="AC837">
        <f t="shared" si="299"/>
        <v>-19440.682244067826</v>
      </c>
      <c r="AW837">
        <v>830</v>
      </c>
      <c r="AX837">
        <f t="shared" si="289"/>
        <v>415</v>
      </c>
      <c r="AZ837">
        <f t="shared" si="290"/>
        <v>62830.403152723309</v>
      </c>
      <c r="BB837">
        <f t="shared" si="291"/>
        <v>-273481.59703269659</v>
      </c>
      <c r="BD837">
        <f t="shared" si="292"/>
        <v>804.04530305168601</v>
      </c>
      <c r="BF837">
        <f t="shared" si="293"/>
        <v>-1312.5601694536006</v>
      </c>
      <c r="BH837">
        <f t="shared" si="278"/>
        <v>-3.4089848839021455</v>
      </c>
      <c r="BJ837">
        <f t="shared" si="279"/>
        <v>15.447138787408193</v>
      </c>
      <c r="BN837" s="20">
        <f t="shared" si="280"/>
        <v>-0.97487286894812353</v>
      </c>
      <c r="BP837">
        <f t="shared" si="281"/>
        <v>6.3954881452819938</v>
      </c>
      <c r="BR837">
        <f t="shared" si="282"/>
        <v>-0.57699550104490471</v>
      </c>
      <c r="BT837">
        <f t="shared" si="283"/>
        <v>1.9747290836590932</v>
      </c>
      <c r="BV837">
        <f t="shared" si="284"/>
        <v>-1.8571165139091173</v>
      </c>
      <c r="BX837">
        <f t="shared" si="285"/>
        <v>7.0769215584671068</v>
      </c>
      <c r="CB837">
        <f t="shared" si="286"/>
        <v>284227.20015028381</v>
      </c>
      <c r="CD837">
        <f t="shared" si="287"/>
        <v>295334.88033527439</v>
      </c>
      <c r="CF837">
        <f t="shared" si="288"/>
        <v>267233.41781378002</v>
      </c>
    </row>
    <row r="838" spans="12:84" x14ac:dyDescent="0.25">
      <c r="L838">
        <v>827</v>
      </c>
      <c r="M838">
        <f t="shared" si="300"/>
        <v>5.1961942490374726</v>
      </c>
      <c r="P838">
        <f t="shared" si="294"/>
        <v>22325.75539038709</v>
      </c>
      <c r="Q838">
        <f t="shared" si="295"/>
        <v>3073.8434433376178</v>
      </c>
      <c r="V838">
        <f t="shared" si="296"/>
        <v>-18371.971226729038</v>
      </c>
      <c r="W838">
        <f t="shared" si="297"/>
        <v>6901.6904103363322</v>
      </c>
      <c r="AB838">
        <f t="shared" si="298"/>
        <v>-2674.2446096129092</v>
      </c>
      <c r="AC838">
        <f t="shared" si="299"/>
        <v>-19426.156556662383</v>
      </c>
      <c r="AW838">
        <v>831</v>
      </c>
      <c r="AX838">
        <f t="shared" si="289"/>
        <v>415.5</v>
      </c>
      <c r="AZ838">
        <f t="shared" si="290"/>
        <v>63231.999681138659</v>
      </c>
      <c r="BB838">
        <f t="shared" si="291"/>
        <v>-274135.94622507499</v>
      </c>
      <c r="BD838">
        <f t="shared" si="292"/>
        <v>802.34081060973494</v>
      </c>
      <c r="BF838">
        <f t="shared" si="293"/>
        <v>-1304.8366000598965</v>
      </c>
      <c r="BH838">
        <f t="shared" si="278"/>
        <v>-3.4049690735807276</v>
      </c>
      <c r="BJ838">
        <f t="shared" si="279"/>
        <v>15.363981611951377</v>
      </c>
      <c r="BN838" s="20">
        <f t="shared" si="280"/>
        <v>-0.97671036271708833</v>
      </c>
      <c r="BP838">
        <f t="shared" si="281"/>
        <v>6.3628041548046737</v>
      </c>
      <c r="BR838">
        <f t="shared" si="282"/>
        <v>-0.57545435013547397</v>
      </c>
      <c r="BT838">
        <f t="shared" si="283"/>
        <v>1.964476005760692</v>
      </c>
      <c r="BV838">
        <f t="shared" si="284"/>
        <v>-1.8528043607281652</v>
      </c>
      <c r="BX838">
        <f t="shared" si="285"/>
        <v>7.0367014513860111</v>
      </c>
      <c r="CB838">
        <f t="shared" si="286"/>
        <v>284934.7504298542</v>
      </c>
      <c r="CD838">
        <f t="shared" si="287"/>
        <v>296075.66888911993</v>
      </c>
      <c r="CF838">
        <f t="shared" si="288"/>
        <v>267968.36456278164</v>
      </c>
    </row>
    <row r="839" spans="12:84" x14ac:dyDescent="0.25">
      <c r="L839">
        <v>828</v>
      </c>
      <c r="M839">
        <f t="shared" si="300"/>
        <v>5.2024774343446518</v>
      </c>
      <c r="P839">
        <f t="shared" si="294"/>
        <v>22353.51966082646</v>
      </c>
      <c r="Q839">
        <f t="shared" si="295"/>
        <v>3088.5438678251257</v>
      </c>
      <c r="V839">
        <f t="shared" si="296"/>
        <v>-18352.536237421478</v>
      </c>
      <c r="W839">
        <f t="shared" si="297"/>
        <v>6911.9807074775881</v>
      </c>
      <c r="AB839">
        <f t="shared" si="298"/>
        <v>-2646.4803391735391</v>
      </c>
      <c r="AC839">
        <f t="shared" si="299"/>
        <v>-19411.456132174873</v>
      </c>
      <c r="AW839">
        <v>832</v>
      </c>
      <c r="AX839">
        <f t="shared" si="289"/>
        <v>416</v>
      </c>
      <c r="AZ839">
        <f t="shared" si="290"/>
        <v>63632.744465309326</v>
      </c>
      <c r="BB839">
        <f t="shared" si="291"/>
        <v>-274786.44402740343</v>
      </c>
      <c r="BD839">
        <f t="shared" si="292"/>
        <v>800.63832607294455</v>
      </c>
      <c r="BF839">
        <f t="shared" si="293"/>
        <v>-1297.1546092539209</v>
      </c>
      <c r="BH839">
        <f t="shared" si="278"/>
        <v>-3.4009681426990888</v>
      </c>
      <c r="BJ839">
        <f t="shared" si="279"/>
        <v>15.281887024618234</v>
      </c>
      <c r="BN839" s="20">
        <f t="shared" si="280"/>
        <v>-0.97850302359170527</v>
      </c>
      <c r="BP839">
        <f t="shared" si="281"/>
        <v>6.3305240682115489</v>
      </c>
      <c r="BR839">
        <f t="shared" si="282"/>
        <v>-0.57393089035814504</v>
      </c>
      <c r="BT839">
        <f t="shared" si="283"/>
        <v>1.9543509952656812</v>
      </c>
      <c r="BV839">
        <f t="shared" si="284"/>
        <v>-1.8485342287492383</v>
      </c>
      <c r="BX839">
        <f t="shared" si="285"/>
        <v>6.9970119611410038</v>
      </c>
      <c r="CB839">
        <f t="shared" si="286"/>
        <v>285638.67537714733</v>
      </c>
      <c r="CD839">
        <f t="shared" si="287"/>
        <v>296812.65917843382</v>
      </c>
      <c r="CF839">
        <f t="shared" si="288"/>
        <v>268699.55361563904</v>
      </c>
    </row>
    <row r="840" spans="12:84" x14ac:dyDescent="0.25">
      <c r="L840">
        <v>829</v>
      </c>
      <c r="M840">
        <f t="shared" si="300"/>
        <v>5.208760619651831</v>
      </c>
      <c r="P840">
        <f t="shared" si="294"/>
        <v>22381.191018339494</v>
      </c>
      <c r="Q840">
        <f t="shared" si="295"/>
        <v>3103.4184490471089</v>
      </c>
      <c r="V840">
        <f t="shared" si="296"/>
        <v>-18333.166287162356</v>
      </c>
      <c r="W840">
        <f t="shared" si="297"/>
        <v>6922.3929143329769</v>
      </c>
      <c r="AB840">
        <f t="shared" si="298"/>
        <v>-2618.8089816605075</v>
      </c>
      <c r="AC840">
        <f t="shared" si="299"/>
        <v>-19396.581550952891</v>
      </c>
      <c r="AW840">
        <v>833</v>
      </c>
      <c r="AX840">
        <f t="shared" si="289"/>
        <v>416.5</v>
      </c>
      <c r="AZ840">
        <f t="shared" si="290"/>
        <v>64032.63850732796</v>
      </c>
      <c r="BB840">
        <f t="shared" si="291"/>
        <v>-275433.11109615228</v>
      </c>
      <c r="BD840">
        <f t="shared" si="292"/>
        <v>798.93784200159496</v>
      </c>
      <c r="BF840">
        <f t="shared" si="293"/>
        <v>-1289.5136657416117</v>
      </c>
      <c r="BH840">
        <f t="shared" ref="BH840:BH903" si="301">BN840+BR840+BV840</f>
        <v>-3.3969828349151943</v>
      </c>
      <c r="BJ840">
        <f t="shared" ref="BJ840:BJ903" si="302">SUM(BP840,BT840,BX840)</f>
        <v>15.200836546424476</v>
      </c>
      <c r="BN840" s="20">
        <f t="shared" ref="BN840:BN903" si="303">$F$36*($F$32-AZ840)/(CB840^2+$F$37^2)^(3/2)</f>
        <v>-0.98025214434439933</v>
      </c>
      <c r="BP840">
        <f t="shared" ref="BP840:BP903" si="304">$F$36*($G$32-BB840)/(CB840^2+($F$37)^2)^(3/2)</f>
        <v>6.2986411502885353</v>
      </c>
      <c r="BR840">
        <f t="shared" ref="BR840:BR903" si="305">$F$47*($F$43-AZ840)/(CD840^2+($F$48)^2)^(3/2)</f>
        <v>-0.5724248912009714</v>
      </c>
      <c r="BT840">
        <f t="shared" ref="BT840:BT903" si="306">$F$47*($G$43-BB840)/(CD840^2+($F$48)^2)^(3/2)</f>
        <v>1.9443518669251543</v>
      </c>
      <c r="BV840">
        <f t="shared" ref="BV840:BV903" si="307">$F$58*($F$54-AZ840)/(CF840^2+($F$59)^2)^(3/2)</f>
        <v>-1.8443057993698235</v>
      </c>
      <c r="BX840">
        <f t="shared" ref="BX840:BX903" si="308">$F$58*($G$54-BB840)/(CF840^2+($F$59)^2)^(3/2)</f>
        <v>6.9578435292107867</v>
      </c>
      <c r="CB840">
        <f t="shared" ref="CB840:CB903" si="309">SQRT(($F$32-AZ840)^2+($G$32-BB840)^2)</f>
        <v>286338.99246952846</v>
      </c>
      <c r="CD840">
        <f t="shared" ref="CD840:CD903" si="310">SQRT(($F$43-AZ840)^2+($G$43-BB840)^2)</f>
        <v>297545.87082420028</v>
      </c>
      <c r="CF840">
        <f t="shared" ref="CF840:CF903" si="311">SQRT(($F$54-AZ840)^2+($G$54-BB840)^2)</f>
        <v>269427.00409295317</v>
      </c>
    </row>
    <row r="841" spans="12:84" x14ac:dyDescent="0.25">
      <c r="L841">
        <v>830</v>
      </c>
      <c r="M841">
        <f t="shared" si="300"/>
        <v>5.2150438049590102</v>
      </c>
      <c r="P841">
        <f t="shared" si="294"/>
        <v>22408.768370508373</v>
      </c>
      <c r="Q841">
        <f t="shared" si="295"/>
        <v>3118.4665997805696</v>
      </c>
      <c r="V841">
        <f t="shared" si="296"/>
        <v>-18313.862140644138</v>
      </c>
      <c r="W841">
        <f t="shared" si="297"/>
        <v>6932.9266198463993</v>
      </c>
      <c r="AB841">
        <f t="shared" si="298"/>
        <v>-2591.2316294916277</v>
      </c>
      <c r="AC841">
        <f t="shared" si="299"/>
        <v>-19381.533400219429</v>
      </c>
      <c r="AW841">
        <v>834</v>
      </c>
      <c r="AX841">
        <f t="shared" ref="AX841:AX904" si="312">$F$17*AW841</f>
        <v>417</v>
      </c>
      <c r="AZ841">
        <f t="shared" ref="AZ841:AZ904" si="313">AZ840+BD840*$F$17+(BH840*0.5)*$F$17^2</f>
        <v>64431.682805474396</v>
      </c>
      <c r="BB841">
        <f t="shared" ref="BB841:BB904" si="314">BB840+(BF840*$F$17)+(BJ840*0.5)*$F$17^2</f>
        <v>-276075.96782445483</v>
      </c>
      <c r="BD841">
        <f t="shared" ref="BD841:BD904" si="315">BD840+BH840*$F$17</f>
        <v>797.23935058413736</v>
      </c>
      <c r="BF841">
        <f t="shared" ref="BF841:BF904" si="316">BF840+BJ840*$F$17</f>
        <v>-1281.9132474683995</v>
      </c>
      <c r="BH841">
        <f t="shared" si="301"/>
        <v>-3.3930138614224585</v>
      </c>
      <c r="BJ841">
        <f t="shared" si="302"/>
        <v>15.120812121961386</v>
      </c>
      <c r="BN841" s="20">
        <f t="shared" si="303"/>
        <v>-0.98195898030304285</v>
      </c>
      <c r="BP841">
        <f t="shared" si="304"/>
        <v>6.2671488141124669</v>
      </c>
      <c r="BR841">
        <f t="shared" si="305"/>
        <v>-0.57093612651764458</v>
      </c>
      <c r="BT841">
        <f t="shared" si="306"/>
        <v>1.9344764848023432</v>
      </c>
      <c r="BV841">
        <f t="shared" si="307"/>
        <v>-1.8401187546017714</v>
      </c>
      <c r="BX841">
        <f t="shared" si="308"/>
        <v>6.9191868230465765</v>
      </c>
      <c r="CB841">
        <f t="shared" si="309"/>
        <v>287035.71896978695</v>
      </c>
      <c r="CD841">
        <f t="shared" si="310"/>
        <v>298275.32319664455</v>
      </c>
      <c r="CF841">
        <f t="shared" si="311"/>
        <v>270150.7348734698</v>
      </c>
    </row>
    <row r="842" spans="12:84" x14ac:dyDescent="0.25">
      <c r="L842">
        <v>831</v>
      </c>
      <c r="M842">
        <f t="shared" si="300"/>
        <v>5.2213269902661894</v>
      </c>
      <c r="P842">
        <f t="shared" si="294"/>
        <v>22436.250628626458</v>
      </c>
      <c r="Q842">
        <f t="shared" si="295"/>
        <v>3133.6877259502853</v>
      </c>
      <c r="V842">
        <f t="shared" si="296"/>
        <v>-18294.624559961481</v>
      </c>
      <c r="W842">
        <f t="shared" si="297"/>
        <v>6943.5814081651988</v>
      </c>
      <c r="AB842">
        <f t="shared" si="298"/>
        <v>-2563.7493713735435</v>
      </c>
      <c r="AC842">
        <f t="shared" si="299"/>
        <v>-19366.312274049713</v>
      </c>
      <c r="AW842">
        <v>835</v>
      </c>
      <c r="AX842">
        <f t="shared" si="312"/>
        <v>417.5</v>
      </c>
      <c r="AZ842">
        <f t="shared" si="313"/>
        <v>64829.878354033783</v>
      </c>
      <c r="BB842">
        <f t="shared" si="314"/>
        <v>-276715.03434667381</v>
      </c>
      <c r="BD842">
        <f t="shared" si="315"/>
        <v>795.54284365342608</v>
      </c>
      <c r="BF842">
        <f t="shared" si="316"/>
        <v>-1274.3528414074187</v>
      </c>
      <c r="BH842">
        <f t="shared" si="301"/>
        <v>-3.3890619022557518</v>
      </c>
      <c r="BJ842">
        <f t="shared" si="302"/>
        <v>15.04179610751256</v>
      </c>
      <c r="BN842" s="20">
        <f t="shared" si="303"/>
        <v>-0.98362475059178278</v>
      </c>
      <c r="BP842">
        <f t="shared" si="304"/>
        <v>6.2360406170615263</v>
      </c>
      <c r="BR842">
        <f t="shared" si="305"/>
        <v>-0.56946437442696263</v>
      </c>
      <c r="BT842">
        <f t="shared" si="306"/>
        <v>1.9247227609076234</v>
      </c>
      <c r="BV842">
        <f t="shared" si="307"/>
        <v>-1.8359727772370065</v>
      </c>
      <c r="BX842">
        <f t="shared" si="308"/>
        <v>6.8810327295434099</v>
      </c>
      <c r="CB842">
        <f t="shared" si="309"/>
        <v>287728.87192966655</v>
      </c>
      <c r="CD842">
        <f t="shared" si="310"/>
        <v>299001.03541956923</v>
      </c>
      <c r="CF842">
        <f t="shared" si="311"/>
        <v>270870.76459821168</v>
      </c>
    </row>
    <row r="843" spans="12:84" x14ac:dyDescent="0.25">
      <c r="L843">
        <v>832</v>
      </c>
      <c r="M843">
        <f t="shared" si="300"/>
        <v>5.2276101755733686</v>
      </c>
      <c r="P843">
        <f t="shared" ref="P843:P906" si="317">COS(M843)*$F$33+$F$32</f>
        <v>22463.636707741251</v>
      </c>
      <c r="Q843">
        <f t="shared" ref="Q843:Q906" si="318">SIN(M843)*$F$33+$G$32</f>
        <v>3149.0812266522553</v>
      </c>
      <c r="V843">
        <f t="shared" si="296"/>
        <v>-18275.454304581122</v>
      </c>
      <c r="W843">
        <f t="shared" si="297"/>
        <v>6954.356858656578</v>
      </c>
      <c r="AB843">
        <f t="shared" si="298"/>
        <v>-2536.3632922587481</v>
      </c>
      <c r="AC843">
        <f t="shared" si="299"/>
        <v>-19350.918773347745</v>
      </c>
      <c r="AW843">
        <v>836</v>
      </c>
      <c r="AX843">
        <f t="shared" si="312"/>
        <v>418</v>
      </c>
      <c r="AZ843">
        <f t="shared" si="313"/>
        <v>65227.226143122716</v>
      </c>
      <c r="BB843">
        <f t="shared" si="314"/>
        <v>-277350.3305428641</v>
      </c>
      <c r="BD843">
        <f t="shared" si="315"/>
        <v>793.84831270229824</v>
      </c>
      <c r="BF843">
        <f t="shared" si="316"/>
        <v>-1266.8319433536624</v>
      </c>
      <c r="BH843">
        <f t="shared" si="301"/>
        <v>-3.3851276075429313</v>
      </c>
      <c r="BJ843">
        <f t="shared" si="302"/>
        <v>14.96377125956637</v>
      </c>
      <c r="BN843" s="20">
        <f t="shared" si="303"/>
        <v>-0.98525063932563639</v>
      </c>
      <c r="BP843">
        <f t="shared" si="304"/>
        <v>6.2053102569535179</v>
      </c>
      <c r="BR843">
        <f t="shared" si="305"/>
        <v>-0.56800941721517684</v>
      </c>
      <c r="BT843">
        <f t="shared" si="306"/>
        <v>1.9150886538786089</v>
      </c>
      <c r="BV843">
        <f t="shared" si="307"/>
        <v>-1.8318675510021178</v>
      </c>
      <c r="BX843">
        <f t="shared" si="308"/>
        <v>6.8433723487342437</v>
      </c>
      <c r="CB843">
        <f t="shared" si="309"/>
        <v>288418.46819331823</v>
      </c>
      <c r="CD843">
        <f t="shared" si="310"/>
        <v>299723.02637459181</v>
      </c>
      <c r="CF843">
        <f t="shared" si="311"/>
        <v>271587.11167451844</v>
      </c>
    </row>
    <row r="844" spans="12:84" x14ac:dyDescent="0.25">
      <c r="L844">
        <v>833</v>
      </c>
      <c r="M844">
        <f t="shared" si="300"/>
        <v>5.2338933608805478</v>
      </c>
      <c r="P844">
        <f t="shared" si="317"/>
        <v>22490.925526697247</v>
      </c>
      <c r="Q844">
        <f t="shared" si="318"/>
        <v>3164.6464941774311</v>
      </c>
      <c r="V844">
        <f t="shared" ref="V844:V907" si="319">COS(M844)*$F$44+$F$43</f>
        <v>-18256.352131311927</v>
      </c>
      <c r="W844">
        <f t="shared" ref="W844:W907" si="320">SIN(M844)*$F$44+$G$43</f>
        <v>6965.2525459242015</v>
      </c>
      <c r="AB844">
        <f t="shared" ref="AB844:AB907" si="321">COS(M844)*$F$55+$F$54</f>
        <v>-2509.0744733027527</v>
      </c>
      <c r="AC844">
        <f t="shared" ref="AC844:AC907" si="322">SIN(M844)*$F$55+$G$54</f>
        <v>-19335.353505822568</v>
      </c>
      <c r="AW844">
        <v>837</v>
      </c>
      <c r="AX844">
        <f t="shared" si="312"/>
        <v>418.5</v>
      </c>
      <c r="AZ844">
        <f t="shared" si="313"/>
        <v>65623.727158522932</v>
      </c>
      <c r="BB844">
        <f t="shared" si="314"/>
        <v>-277981.8760431335</v>
      </c>
      <c r="BD844">
        <f t="shared" si="315"/>
        <v>792.15574889852678</v>
      </c>
      <c r="BF844">
        <f t="shared" si="316"/>
        <v>-1259.3500577238792</v>
      </c>
      <c r="BH844">
        <f t="shared" si="301"/>
        <v>-3.3812115987039881</v>
      </c>
      <c r="BJ844">
        <f t="shared" si="302"/>
        <v>14.886720723706976</v>
      </c>
      <c r="BN844" s="20">
        <f t="shared" si="303"/>
        <v>-0.98683779676054673</v>
      </c>
      <c r="BP844">
        <f t="shared" si="304"/>
        <v>6.1749515683057181</v>
      </c>
      <c r="BR844">
        <f t="shared" si="305"/>
        <v>-0.56657104124096336</v>
      </c>
      <c r="BT844">
        <f t="shared" si="306"/>
        <v>1.9055721677030868</v>
      </c>
      <c r="BV844">
        <f t="shared" si="307"/>
        <v>-1.8278027607024778</v>
      </c>
      <c r="BX844">
        <f t="shared" si="308"/>
        <v>6.8061969876981703</v>
      </c>
      <c r="CB844">
        <f t="shared" si="309"/>
        <v>289104.52440067829</v>
      </c>
      <c r="CD844">
        <f t="shared" si="310"/>
        <v>300441.31470528466</v>
      </c>
      <c r="CF844">
        <f t="shared" si="311"/>
        <v>272299.79427999485</v>
      </c>
    </row>
    <row r="845" spans="12:84" x14ac:dyDescent="0.25">
      <c r="L845">
        <v>834</v>
      </c>
      <c r="M845">
        <f t="shared" ref="M845:M908" si="323">M844+$O$5</f>
        <v>5.240176546187727</v>
      </c>
      <c r="P845">
        <f t="shared" si="317"/>
        <v>22518.116008178597</v>
      </c>
      <c r="Q845">
        <f t="shared" si="318"/>
        <v>3180.382914035702</v>
      </c>
      <c r="V845">
        <f t="shared" si="319"/>
        <v>-18237.318794274983</v>
      </c>
      <c r="W845">
        <f t="shared" si="320"/>
        <v>6976.2680398249913</v>
      </c>
      <c r="AB845">
        <f t="shared" si="321"/>
        <v>-2481.8839918214035</v>
      </c>
      <c r="AC845">
        <f t="shared" si="322"/>
        <v>-19319.617085964299</v>
      </c>
      <c r="AW845">
        <v>838</v>
      </c>
      <c r="AX845">
        <f t="shared" si="312"/>
        <v>419</v>
      </c>
      <c r="AZ845">
        <f t="shared" si="313"/>
        <v>66019.382381522344</v>
      </c>
      <c r="BB845">
        <f t="shared" si="314"/>
        <v>-278609.69023190497</v>
      </c>
      <c r="BD845">
        <f t="shared" si="315"/>
        <v>790.46514309917484</v>
      </c>
      <c r="BF845">
        <f t="shared" si="316"/>
        <v>-1251.9066973620256</v>
      </c>
      <c r="BH845">
        <f t="shared" si="301"/>
        <v>-3.377314469600619</v>
      </c>
      <c r="BJ845">
        <f t="shared" si="302"/>
        <v>14.810628023871434</v>
      </c>
      <c r="BN845" s="20">
        <f t="shared" si="303"/>
        <v>-0.98838734040091836</v>
      </c>
      <c r="BP845">
        <f t="shared" si="304"/>
        <v>6.1449585187129241</v>
      </c>
      <c r="BR845">
        <f t="shared" si="305"/>
        <v>-0.56514903684306494</v>
      </c>
      <c r="BT845">
        <f t="shared" si="306"/>
        <v>1.8961713504836004</v>
      </c>
      <c r="BV845">
        <f t="shared" si="307"/>
        <v>-1.8237780923566358</v>
      </c>
      <c r="BX845">
        <f t="shared" si="308"/>
        <v>6.7694981546749098</v>
      </c>
      <c r="CB845">
        <f t="shared" si="309"/>
        <v>289787.05699077278</v>
      </c>
      <c r="CD845">
        <f t="shared" si="310"/>
        <v>301155.91882122244</v>
      </c>
      <c r="CF845">
        <f t="shared" si="311"/>
        <v>273008.83036637073</v>
      </c>
    </row>
    <row r="846" spans="12:84" x14ac:dyDescent="0.25">
      <c r="L846">
        <v>835</v>
      </c>
      <c r="M846">
        <f t="shared" si="323"/>
        <v>5.2464597314949062</v>
      </c>
      <c r="P846">
        <f t="shared" si="317"/>
        <v>22545.20707875165</v>
      </c>
      <c r="Q846">
        <f t="shared" si="318"/>
        <v>3196.2898649801582</v>
      </c>
      <c r="V846">
        <f t="shared" si="319"/>
        <v>-18218.355044873846</v>
      </c>
      <c r="W846">
        <f t="shared" si="320"/>
        <v>6987.4029054861112</v>
      </c>
      <c r="AB846">
        <f t="shared" si="321"/>
        <v>-2454.7929212483523</v>
      </c>
      <c r="AC846">
        <f t="shared" si="322"/>
        <v>-19303.710135019843</v>
      </c>
      <c r="AW846">
        <v>839</v>
      </c>
      <c r="AX846">
        <f t="shared" si="312"/>
        <v>419.5</v>
      </c>
      <c r="AZ846">
        <f t="shared" si="313"/>
        <v>66414.192788763234</v>
      </c>
      <c r="BB846">
        <f t="shared" si="314"/>
        <v>-279233.79225208302</v>
      </c>
      <c r="BD846">
        <f t="shared" si="315"/>
        <v>788.77648586437454</v>
      </c>
      <c r="BF846">
        <f t="shared" si="316"/>
        <v>-1244.50138335009</v>
      </c>
      <c r="BH846">
        <f t="shared" si="301"/>
        <v>-3.3734367876380755</v>
      </c>
      <c r="BJ846">
        <f t="shared" si="302"/>
        <v>14.73547705195773</v>
      </c>
      <c r="BN846" s="20">
        <f t="shared" si="303"/>
        <v>-0.98990035606640547</v>
      </c>
      <c r="BP846">
        <f t="shared" si="304"/>
        <v>6.1153252053394365</v>
      </c>
      <c r="BR846">
        <f t="shared" si="305"/>
        <v>-0.56374319825046126</v>
      </c>
      <c r="BT846">
        <f t="shared" si="306"/>
        <v>1.8868842932419454</v>
      </c>
      <c r="BV846">
        <f t="shared" si="307"/>
        <v>-1.8197932333212086</v>
      </c>
      <c r="BX846">
        <f t="shared" si="308"/>
        <v>6.733267553376348</v>
      </c>
      <c r="CB846">
        <f t="shared" si="309"/>
        <v>290466.08220495068</v>
      </c>
      <c r="CD846">
        <f t="shared" si="310"/>
        <v>301866.85690193722</v>
      </c>
      <c r="CF846">
        <f t="shared" si="311"/>
        <v>273714.23766327463</v>
      </c>
    </row>
    <row r="847" spans="12:84" x14ac:dyDescent="0.25">
      <c r="L847">
        <v>836</v>
      </c>
      <c r="M847">
        <f t="shared" si="323"/>
        <v>5.2527429168020854</v>
      </c>
      <c r="P847">
        <f t="shared" si="317"/>
        <v>22572.197668907324</v>
      </c>
      <c r="Q847">
        <f t="shared" si="318"/>
        <v>3212.3667190316128</v>
      </c>
      <c r="V847">
        <f t="shared" si="319"/>
        <v>-18199.461631764872</v>
      </c>
      <c r="W847">
        <f t="shared" si="320"/>
        <v>6998.656703322129</v>
      </c>
      <c r="AB847">
        <f t="shared" si="321"/>
        <v>-2427.8023310926774</v>
      </c>
      <c r="AC847">
        <f t="shared" si="322"/>
        <v>-19287.633280968388</v>
      </c>
      <c r="AW847">
        <v>840</v>
      </c>
      <c r="AX847">
        <f t="shared" si="312"/>
        <v>420</v>
      </c>
      <c r="AZ847">
        <f t="shared" si="313"/>
        <v>66808.159352096962</v>
      </c>
      <c r="BB847">
        <f t="shared" si="314"/>
        <v>-279854.20100912655</v>
      </c>
      <c r="BD847">
        <f t="shared" si="315"/>
        <v>787.08976747055544</v>
      </c>
      <c r="BF847">
        <f t="shared" si="316"/>
        <v>-1237.1336448241111</v>
      </c>
      <c r="BH847">
        <f t="shared" si="301"/>
        <v>-3.3695790948216358</v>
      </c>
      <c r="BJ847">
        <f t="shared" si="302"/>
        <v>14.661252057770852</v>
      </c>
      <c r="BN847" s="20">
        <f t="shared" si="303"/>
        <v>-0.99137789891947026</v>
      </c>
      <c r="BP847">
        <f t="shared" si="304"/>
        <v>6.0860458515198763</v>
      </c>
      <c r="BR847">
        <f t="shared" si="305"/>
        <v>-0.56235332349496758</v>
      </c>
      <c r="BT847">
        <f t="shared" si="306"/>
        <v>1.8777091287620211</v>
      </c>
      <c r="BV847">
        <f t="shared" si="307"/>
        <v>-1.8158478724071976</v>
      </c>
      <c r="BX847">
        <f t="shared" si="308"/>
        <v>6.697497077488956</v>
      </c>
      <c r="CB847">
        <f t="shared" si="309"/>
        <v>291141.61609004787</v>
      </c>
      <c r="CD847">
        <f t="shared" si="310"/>
        <v>302574.14690078562</v>
      </c>
      <c r="CF847">
        <f t="shared" si="311"/>
        <v>274416.03368192422</v>
      </c>
    </row>
    <row r="848" spans="12:84" x14ac:dyDescent="0.25">
      <c r="L848">
        <v>837</v>
      </c>
      <c r="M848">
        <f t="shared" si="323"/>
        <v>5.2590261021092646</v>
      </c>
      <c r="P848">
        <f t="shared" si="317"/>
        <v>22599.086713103337</v>
      </c>
      <c r="Q848">
        <f t="shared" si="318"/>
        <v>3228.6128415033963</v>
      </c>
      <c r="V848">
        <f t="shared" si="319"/>
        <v>-18180.639300827665</v>
      </c>
      <c r="W848">
        <f t="shared" si="320"/>
        <v>7010.0289890523773</v>
      </c>
      <c r="AB848">
        <f t="shared" si="321"/>
        <v>-2400.9132868966631</v>
      </c>
      <c r="AC848">
        <f t="shared" si="322"/>
        <v>-19271.387158496604</v>
      </c>
      <c r="AW848">
        <v>841</v>
      </c>
      <c r="AX848">
        <f t="shared" si="312"/>
        <v>420.5</v>
      </c>
      <c r="AZ848">
        <f t="shared" si="313"/>
        <v>67201.283038445385</v>
      </c>
      <c r="BB848">
        <f t="shared" si="314"/>
        <v>-280470.93517503142</v>
      </c>
      <c r="BD848">
        <f t="shared" si="315"/>
        <v>785.40497792314466</v>
      </c>
      <c r="BF848">
        <f t="shared" si="316"/>
        <v>-1229.8030187952256</v>
      </c>
      <c r="BH848">
        <f t="shared" si="301"/>
        <v>-3.3657419087695866</v>
      </c>
      <c r="BJ848">
        <f t="shared" si="302"/>
        <v>14.587937639294081</v>
      </c>
      <c r="BN848" s="20">
        <f t="shared" si="303"/>
        <v>-0.99282099445548411</v>
      </c>
      <c r="BP848">
        <f t="shared" si="304"/>
        <v>6.0571148034658799</v>
      </c>
      <c r="BR848">
        <f t="shared" si="305"/>
        <v>-0.56097921432621667</v>
      </c>
      <c r="BT848">
        <f t="shared" si="306"/>
        <v>1.8686440304697103</v>
      </c>
      <c r="BV848">
        <f t="shared" si="307"/>
        <v>-1.8119416999878861</v>
      </c>
      <c r="BX848">
        <f t="shared" si="308"/>
        <v>6.6621788053584909</v>
      </c>
      <c r="CB848">
        <f t="shared" si="309"/>
        <v>291813.67450148321</v>
      </c>
      <c r="CD848">
        <f t="shared" si="310"/>
        <v>303277.80654872913</v>
      </c>
      <c r="CF848">
        <f t="shared" si="311"/>
        <v>275114.23571873456</v>
      </c>
    </row>
    <row r="849" spans="12:84" x14ac:dyDescent="0.25">
      <c r="L849">
        <v>838</v>
      </c>
      <c r="M849">
        <f t="shared" si="323"/>
        <v>5.2653092874164438</v>
      </c>
      <c r="P849">
        <f t="shared" si="317"/>
        <v>22625.873149806266</v>
      </c>
      <c r="Q849">
        <f t="shared" si="318"/>
        <v>3245.0275910264099</v>
      </c>
      <c r="V849">
        <f t="shared" si="319"/>
        <v>-18161.888795135612</v>
      </c>
      <c r="W849">
        <f t="shared" si="320"/>
        <v>7021.519313718487</v>
      </c>
      <c r="AB849">
        <f t="shared" si="321"/>
        <v>-2374.1268501937329</v>
      </c>
      <c r="AC849">
        <f t="shared" si="322"/>
        <v>-19254.97240897359</v>
      </c>
      <c r="AW849">
        <v>842</v>
      </c>
      <c r="AX849">
        <f t="shared" si="312"/>
        <v>421</v>
      </c>
      <c r="AZ849">
        <f t="shared" si="313"/>
        <v>67593.564809668358</v>
      </c>
      <c r="BB849">
        <f t="shared" si="314"/>
        <v>-281084.01319222414</v>
      </c>
      <c r="BD849">
        <f t="shared" si="315"/>
        <v>783.72210696875982</v>
      </c>
      <c r="BF849">
        <f t="shared" si="316"/>
        <v>-1222.5090499755786</v>
      </c>
      <c r="BH849">
        <f t="shared" si="301"/>
        <v>-3.3619257236848936</v>
      </c>
      <c r="BJ849">
        <f t="shared" si="302"/>
        <v>14.515518733274185</v>
      </c>
      <c r="BN849" s="20">
        <f t="shared" si="303"/>
        <v>-0.99423063945688173</v>
      </c>
      <c r="BP849">
        <f t="shared" si="304"/>
        <v>6.0285265270747743</v>
      </c>
      <c r="BR849">
        <f t="shared" si="305"/>
        <v>-0.55962067612898136</v>
      </c>
      <c r="BT849">
        <f t="shared" si="306"/>
        <v>1.8596872113485405</v>
      </c>
      <c r="BV849">
        <f t="shared" si="307"/>
        <v>-1.8080744080990305</v>
      </c>
      <c r="BX849">
        <f t="shared" si="308"/>
        <v>6.6273049948508689</v>
      </c>
      <c r="CB849">
        <f t="shared" si="309"/>
        <v>292482.2731062891</v>
      </c>
      <c r="CD849">
        <f t="shared" si="310"/>
        <v>303977.85335803078</v>
      </c>
      <c r="CF849">
        <f t="shared" si="311"/>
        <v>275808.86085884774</v>
      </c>
    </row>
    <row r="850" spans="12:84" x14ac:dyDescent="0.25">
      <c r="L850">
        <v>839</v>
      </c>
      <c r="M850">
        <f t="shared" si="323"/>
        <v>5.271592472723623</v>
      </c>
      <c r="P850">
        <f t="shared" si="317"/>
        <v>22652.555921533458</v>
      </c>
      <c r="Q850">
        <f t="shared" si="318"/>
        <v>3261.6103195744508</v>
      </c>
      <c r="V850">
        <f t="shared" si="319"/>
        <v>-18143.210854926579</v>
      </c>
      <c r="W850">
        <f t="shared" si="320"/>
        <v>7033.1272237021158</v>
      </c>
      <c r="AB850">
        <f t="shared" si="321"/>
        <v>-2347.4440784665417</v>
      </c>
      <c r="AC850">
        <f t="shared" si="322"/>
        <v>-19238.389680425549</v>
      </c>
      <c r="AW850">
        <v>843</v>
      </c>
      <c r="AX850">
        <f t="shared" si="312"/>
        <v>421.5</v>
      </c>
      <c r="AZ850">
        <f t="shared" si="313"/>
        <v>67985.005622437267</v>
      </c>
      <c r="BB850">
        <f t="shared" si="314"/>
        <v>-281693.45327737025</v>
      </c>
      <c r="BD850">
        <f t="shared" si="315"/>
        <v>782.04114410691739</v>
      </c>
      <c r="BF850">
        <f t="shared" si="316"/>
        <v>-1215.2512906089414</v>
      </c>
      <c r="BH850">
        <f t="shared" si="301"/>
        <v>-3.3581310112870213</v>
      </c>
      <c r="BJ850">
        <f t="shared" si="302"/>
        <v>14.443980606107395</v>
      </c>
      <c r="BN850" s="20">
        <f t="shared" si="303"/>
        <v>-0.99560780291272488</v>
      </c>
      <c r="BP850">
        <f t="shared" si="304"/>
        <v>6.0002756048359522</v>
      </c>
      <c r="BR850">
        <f t="shared" si="305"/>
        <v>-0.55827751784265589</v>
      </c>
      <c r="BT850">
        <f t="shared" si="306"/>
        <v>1.8508369228894526</v>
      </c>
      <c r="BV850">
        <f t="shared" si="307"/>
        <v>-1.8042456905316409</v>
      </c>
      <c r="BX850">
        <f t="shared" si="308"/>
        <v>6.5928680783819908</v>
      </c>
      <c r="CB850">
        <f t="shared" si="309"/>
        <v>293147.42738607799</v>
      </c>
      <c r="CD850">
        <f t="shared" si="310"/>
        <v>304674.30462587043</v>
      </c>
      <c r="CF850">
        <f t="shared" si="311"/>
        <v>276499.92597958515</v>
      </c>
    </row>
    <row r="851" spans="12:84" x14ac:dyDescent="0.25">
      <c r="L851">
        <v>840</v>
      </c>
      <c r="M851">
        <f t="shared" si="323"/>
        <v>5.2778756580308022</v>
      </c>
      <c r="P851">
        <f t="shared" si="317"/>
        <v>22679.133974894772</v>
      </c>
      <c r="Q851">
        <f t="shared" si="318"/>
        <v>3278.3603724897894</v>
      </c>
      <c r="V851">
        <f t="shared" si="319"/>
        <v>-18124.606217573662</v>
      </c>
      <c r="W851">
        <f t="shared" si="320"/>
        <v>7044.8522607428531</v>
      </c>
      <c r="AB851">
        <f t="shared" si="321"/>
        <v>-2320.8660251052297</v>
      </c>
      <c r="AC851">
        <f t="shared" si="322"/>
        <v>-19221.639627510209</v>
      </c>
      <c r="AW851">
        <v>844</v>
      </c>
      <c r="AX851">
        <f t="shared" si="312"/>
        <v>422</v>
      </c>
      <c r="AZ851">
        <f t="shared" si="313"/>
        <v>68375.606428114319</v>
      </c>
      <c r="BB851">
        <f t="shared" si="314"/>
        <v>-282299.27342509892</v>
      </c>
      <c r="BD851">
        <f t="shared" si="315"/>
        <v>780.36207860127388</v>
      </c>
      <c r="BF851">
        <f t="shared" si="316"/>
        <v>-1208.0293003058878</v>
      </c>
      <c r="BH851">
        <f t="shared" si="301"/>
        <v>-3.3543582217059966</v>
      </c>
      <c r="BJ851">
        <f t="shared" si="302"/>
        <v>14.373308845016481</v>
      </c>
      <c r="BN851" s="20">
        <f t="shared" si="303"/>
        <v>-0.99695342690523137</v>
      </c>
      <c r="BP851">
        <f t="shared" si="304"/>
        <v>5.9723567328323917</v>
      </c>
      <c r="BR851">
        <f t="shared" si="305"/>
        <v>-0.55694955188295114</v>
      </c>
      <c r="BT851">
        <f t="shared" si="306"/>
        <v>1.8420914540738236</v>
      </c>
      <c r="BV851">
        <f t="shared" si="307"/>
        <v>-1.8004552429178142</v>
      </c>
      <c r="BX851">
        <f t="shared" si="308"/>
        <v>6.558860658110266</v>
      </c>
      <c r="CB851">
        <f t="shared" si="309"/>
        <v>293809.15263994591</v>
      </c>
      <c r="CD851">
        <f t="shared" si="310"/>
        <v>305367.17743788002</v>
      </c>
      <c r="CF851">
        <f t="shared" si="311"/>
        <v>277187.4477538247</v>
      </c>
    </row>
    <row r="852" spans="12:84" x14ac:dyDescent="0.25">
      <c r="L852">
        <v>841</v>
      </c>
      <c r="M852">
        <f t="shared" si="323"/>
        <v>5.2841588433379814</v>
      </c>
      <c r="P852">
        <f t="shared" si="317"/>
        <v>22705.606260634166</v>
      </c>
      <c r="Q852">
        <f t="shared" si="318"/>
        <v>3295.2770885090167</v>
      </c>
      <c r="V852">
        <f t="shared" si="319"/>
        <v>-18106.075617556085</v>
      </c>
      <c r="W852">
        <f t="shared" si="320"/>
        <v>7056.6939619563118</v>
      </c>
      <c r="AB852">
        <f t="shared" si="321"/>
        <v>-2294.3937393658348</v>
      </c>
      <c r="AC852">
        <f t="shared" si="322"/>
        <v>-19204.722911490982</v>
      </c>
      <c r="AW852">
        <v>845</v>
      </c>
      <c r="AX852">
        <f t="shared" si="312"/>
        <v>422.5</v>
      </c>
      <c r="AZ852">
        <f t="shared" si="313"/>
        <v>68765.368172637231</v>
      </c>
      <c r="BB852">
        <f t="shared" si="314"/>
        <v>-282901.49141164625</v>
      </c>
      <c r="BD852">
        <f t="shared" si="315"/>
        <v>778.68489949042089</v>
      </c>
      <c r="BF852">
        <f t="shared" si="316"/>
        <v>-1200.8426458833796</v>
      </c>
      <c r="BH852">
        <f t="shared" si="301"/>
        <v>-3.3506077843401991</v>
      </c>
      <c r="BJ852">
        <f t="shared" si="302"/>
        <v>14.303489349507359</v>
      </c>
      <c r="BN852" s="20">
        <f t="shared" si="303"/>
        <v>-0.99826842746445044</v>
      </c>
      <c r="BP852">
        <f t="shared" si="304"/>
        <v>5.9447647178331042</v>
      </c>
      <c r="BR852">
        <f t="shared" si="305"/>
        <v>-0.55563659406565613</v>
      </c>
      <c r="BT852">
        <f t="shared" si="306"/>
        <v>1.8334491303882903</v>
      </c>
      <c r="BV852">
        <f t="shared" si="307"/>
        <v>-1.7967027628100929</v>
      </c>
      <c r="BX852">
        <f t="shared" si="308"/>
        <v>6.5252755012859653</v>
      </c>
      <c r="CB852">
        <f t="shared" si="309"/>
        <v>294467.46398731612</v>
      </c>
      <c r="CD852">
        <f t="shared" si="310"/>
        <v>306056.48867160216</v>
      </c>
      <c r="CF852">
        <f t="shared" si="311"/>
        <v>277871.44265330525</v>
      </c>
    </row>
    <row r="853" spans="12:84" x14ac:dyDescent="0.25">
      <c r="L853">
        <v>842</v>
      </c>
      <c r="M853">
        <f t="shared" si="323"/>
        <v>5.2904420286451606</v>
      </c>
      <c r="P853">
        <f t="shared" si="317"/>
        <v>22731.971733671129</v>
      </c>
      <c r="Q853">
        <f t="shared" si="318"/>
        <v>3312.3597997891511</v>
      </c>
      <c r="V853">
        <f t="shared" si="319"/>
        <v>-18087.619786430208</v>
      </c>
      <c r="W853">
        <f t="shared" si="320"/>
        <v>7068.6518598524053</v>
      </c>
      <c r="AB853">
        <f t="shared" si="321"/>
        <v>-2268.0282663288694</v>
      </c>
      <c r="AC853">
        <f t="shared" si="322"/>
        <v>-19187.640200210848</v>
      </c>
      <c r="AW853">
        <v>846</v>
      </c>
      <c r="AX853">
        <f t="shared" si="312"/>
        <v>423</v>
      </c>
      <c r="AZ853">
        <f t="shared" si="313"/>
        <v>69154.291796409394</v>
      </c>
      <c r="BB853">
        <f t="shared" si="314"/>
        <v>-283500.12479841925</v>
      </c>
      <c r="BD853">
        <f t="shared" si="315"/>
        <v>777.00959559825083</v>
      </c>
      <c r="BF853">
        <f t="shared" si="316"/>
        <v>-1193.690901208626</v>
      </c>
      <c r="BH853">
        <f t="shared" si="301"/>
        <v>-3.3468801086794939</v>
      </c>
      <c r="BJ853">
        <f t="shared" si="302"/>
        <v>14.234508323095334</v>
      </c>
      <c r="BN853" s="20">
        <f t="shared" si="303"/>
        <v>-0.99955369539249606</v>
      </c>
      <c r="BP853">
        <f t="shared" si="304"/>
        <v>5.9174944744740454</v>
      </c>
      <c r="BR853">
        <f t="shared" si="305"/>
        <v>-0.5543384635324311</v>
      </c>
      <c r="BT853">
        <f t="shared" si="306"/>
        <v>1.8249083128703067</v>
      </c>
      <c r="BV853">
        <f t="shared" si="307"/>
        <v>-1.7929879497545667</v>
      </c>
      <c r="BX853">
        <f t="shared" si="308"/>
        <v>6.4921055357509809</v>
      </c>
      <c r="CB853">
        <f t="shared" si="309"/>
        <v>295122.37637072208</v>
      </c>
      <c r="CD853">
        <f t="shared" si="310"/>
        <v>306742.25499987276</v>
      </c>
      <c r="CF853">
        <f t="shared" si="311"/>
        <v>278551.92695185891</v>
      </c>
    </row>
    <row r="854" spans="12:84" x14ac:dyDescent="0.25">
      <c r="L854">
        <v>843</v>
      </c>
      <c r="M854">
        <f t="shared" si="323"/>
        <v>5.2967252139523398</v>
      </c>
      <c r="P854">
        <f t="shared" si="317"/>
        <v>22758.229353141935</v>
      </c>
      <c r="Q854">
        <f t="shared" si="318"/>
        <v>3329.6078319340013</v>
      </c>
      <c r="V854">
        <f t="shared" si="319"/>
        <v>-18069.239452800644</v>
      </c>
      <c r="W854">
        <f t="shared" si="320"/>
        <v>7080.7254823538005</v>
      </c>
      <c r="AB854">
        <f t="shared" si="321"/>
        <v>-2241.7706468580645</v>
      </c>
      <c r="AC854">
        <f t="shared" si="322"/>
        <v>-19170.392168065999</v>
      </c>
      <c r="AW854">
        <v>847</v>
      </c>
      <c r="AX854">
        <f t="shared" si="312"/>
        <v>423.5</v>
      </c>
      <c r="AZ854">
        <f t="shared" si="313"/>
        <v>69542.378234194926</v>
      </c>
      <c r="BB854">
        <f t="shared" si="314"/>
        <v>-284095.1909354832</v>
      </c>
      <c r="BD854">
        <f t="shared" si="315"/>
        <v>775.3361555439111</v>
      </c>
      <c r="BF854">
        <f t="shared" si="316"/>
        <v>-1186.5736470470783</v>
      </c>
      <c r="BH854">
        <f t="shared" si="301"/>
        <v>-3.343175585095187</v>
      </c>
      <c r="BJ854">
        <f t="shared" si="302"/>
        <v>14.166352265290925</v>
      </c>
      <c r="BN854" s="20">
        <f t="shared" si="303"/>
        <v>-1.0008100970584475</v>
      </c>
      <c r="BP854">
        <f t="shared" si="304"/>
        <v>5.8905410225238413</v>
      </c>
      <c r="BR854">
        <f t="shared" si="305"/>
        <v>-0.55305498267857167</v>
      </c>
      <c r="BT854">
        <f t="shared" si="306"/>
        <v>1.8164673971833474</v>
      </c>
      <c r="BV854">
        <f t="shared" si="307"/>
        <v>-1.7893105053581677</v>
      </c>
      <c r="BX854">
        <f t="shared" si="308"/>
        <v>6.459343845583736</v>
      </c>
      <c r="CB854">
        <f t="shared" si="309"/>
        <v>295773.90455853427</v>
      </c>
      <c r="CD854">
        <f t="shared" si="310"/>
        <v>307424.49289413157</v>
      </c>
      <c r="CF854">
        <f t="shared" si="311"/>
        <v>279228.91672857583</v>
      </c>
    </row>
    <row r="855" spans="12:84" x14ac:dyDescent="0.25">
      <c r="L855">
        <v>844</v>
      </c>
      <c r="M855">
        <f t="shared" si="323"/>
        <v>5.3030083992595189</v>
      </c>
      <c r="P855">
        <f t="shared" si="317"/>
        <v>22784.378082440722</v>
      </c>
      <c r="Q855">
        <f t="shared" si="318"/>
        <v>3347.020504020792</v>
      </c>
      <c r="V855">
        <f t="shared" si="319"/>
        <v>-18050.935342291494</v>
      </c>
      <c r="W855">
        <f t="shared" si="320"/>
        <v>7092.9143528145541</v>
      </c>
      <c r="AB855">
        <f t="shared" si="321"/>
        <v>-2215.621917559276</v>
      </c>
      <c r="AC855">
        <f t="shared" si="322"/>
        <v>-19152.979495979209</v>
      </c>
      <c r="AW855">
        <v>848</v>
      </c>
      <c r="AX855">
        <f t="shared" si="312"/>
        <v>424</v>
      </c>
      <c r="AZ855">
        <f t="shared" si="313"/>
        <v>69929.628415018742</v>
      </c>
      <c r="BB855">
        <f t="shared" si="314"/>
        <v>-284686.70696497353</v>
      </c>
      <c r="BD855">
        <f t="shared" si="315"/>
        <v>773.66456775136351</v>
      </c>
      <c r="BF855">
        <f t="shared" si="316"/>
        <v>-1179.490470914433</v>
      </c>
      <c r="BH855">
        <f t="shared" si="301"/>
        <v>-3.3394945855983886</v>
      </c>
      <c r="BJ855">
        <f t="shared" si="302"/>
        <v>14.099007963836485</v>
      </c>
      <c r="BN855" s="20">
        <f t="shared" si="303"/>
        <v>-1.0020384751651708</v>
      </c>
      <c r="BP855">
        <f t="shared" si="304"/>
        <v>5.8638994842318164</v>
      </c>
      <c r="BR855">
        <f t="shared" si="305"/>
        <v>-0.55178597708265442</v>
      </c>
      <c r="BT855">
        <f t="shared" si="306"/>
        <v>1.8081248127205876</v>
      </c>
      <c r="BV855">
        <f t="shared" si="307"/>
        <v>-1.7856701333505638</v>
      </c>
      <c r="BX855">
        <f t="shared" si="308"/>
        <v>6.4269836668840803</v>
      </c>
      <c r="CB855">
        <f t="shared" si="309"/>
        <v>296422.06314762932</v>
      </c>
      <c r="CD855">
        <f t="shared" si="310"/>
        <v>308103.21862765978</v>
      </c>
      <c r="CF855">
        <f t="shared" si="311"/>
        <v>279902.42787089985</v>
      </c>
    </row>
    <row r="856" spans="12:84" x14ac:dyDescent="0.25">
      <c r="L856">
        <v>845</v>
      </c>
      <c r="M856">
        <f t="shared" si="323"/>
        <v>5.3092915845666981</v>
      </c>
      <c r="P856">
        <f t="shared" si="317"/>
        <v>22810.416889260436</v>
      </c>
      <c r="Q856">
        <f t="shared" si="318"/>
        <v>3364.5971286270442</v>
      </c>
      <c r="V856">
        <f t="shared" si="319"/>
        <v>-18032.708177517696</v>
      </c>
      <c r="W856">
        <f t="shared" si="320"/>
        <v>7105.217990038931</v>
      </c>
      <c r="AB856">
        <f t="shared" si="321"/>
        <v>-2189.5831107395634</v>
      </c>
      <c r="AC856">
        <f t="shared" si="322"/>
        <v>-19135.402871372957</v>
      </c>
      <c r="AW856">
        <v>849</v>
      </c>
      <c r="AX856">
        <f t="shared" si="312"/>
        <v>424.5</v>
      </c>
      <c r="AZ856">
        <f t="shared" si="313"/>
        <v>70316.043262071224</v>
      </c>
      <c r="BB856">
        <f t="shared" si="314"/>
        <v>-285274.68982443528</v>
      </c>
      <c r="BD856">
        <f t="shared" si="315"/>
        <v>771.99482045856428</v>
      </c>
      <c r="BF856">
        <f t="shared" si="316"/>
        <v>-1172.4409669325148</v>
      </c>
      <c r="BH856">
        <f t="shared" si="301"/>
        <v>-3.3358374645679212</v>
      </c>
      <c r="BJ856">
        <f t="shared" si="302"/>
        <v>14.032462487183597</v>
      </c>
      <c r="BN856" s="20">
        <f t="shared" si="303"/>
        <v>-1.0032396494890745</v>
      </c>
      <c r="BP856">
        <f t="shared" si="304"/>
        <v>5.8375650817549598</v>
      </c>
      <c r="BR856">
        <f t="shared" si="305"/>
        <v>-0.55053127543806302</v>
      </c>
      <c r="BT856">
        <f t="shared" si="306"/>
        <v>1.7998790217362413</v>
      </c>
      <c r="BV856">
        <f t="shared" si="307"/>
        <v>-1.7820665396407835</v>
      </c>
      <c r="BX856">
        <f t="shared" si="308"/>
        <v>6.3950183836923973</v>
      </c>
      <c r="CB856">
        <f t="shared" si="309"/>
        <v>297066.86656600551</v>
      </c>
      <c r="CD856">
        <f t="shared" si="310"/>
        <v>308778.44827875018</v>
      </c>
      <c r="CF856">
        <f t="shared" si="311"/>
        <v>280572.47607765964</v>
      </c>
    </row>
    <row r="857" spans="12:84" x14ac:dyDescent="0.25">
      <c r="L857">
        <v>846</v>
      </c>
      <c r="M857">
        <f t="shared" si="323"/>
        <v>5.3155747698738773</v>
      </c>
      <c r="P857">
        <f t="shared" si="317"/>
        <v>22836.344745633563</v>
      </c>
      <c r="Q857">
        <f t="shared" si="318"/>
        <v>3382.3370118577132</v>
      </c>
      <c r="V857">
        <f t="shared" si="319"/>
        <v>-18014.558678056506</v>
      </c>
      <c r="W857">
        <f t="shared" si="320"/>
        <v>7117.635908300399</v>
      </c>
      <c r="AB857">
        <f t="shared" si="321"/>
        <v>-2163.6552543664352</v>
      </c>
      <c r="AC857">
        <f t="shared" si="322"/>
        <v>-19117.662988142285</v>
      </c>
      <c r="AW857">
        <v>850</v>
      </c>
      <c r="AX857">
        <f t="shared" si="312"/>
        <v>425</v>
      </c>
      <c r="AZ857">
        <f t="shared" si="313"/>
        <v>70701.623692617432</v>
      </c>
      <c r="BB857">
        <f t="shared" si="314"/>
        <v>-285859.15625009069</v>
      </c>
      <c r="BD857">
        <f t="shared" si="315"/>
        <v>770.32690172628031</v>
      </c>
      <c r="BF857">
        <f t="shared" si="316"/>
        <v>-1165.424735688923</v>
      </c>
      <c r="BH857">
        <f t="shared" si="301"/>
        <v>-3.3322045594492775</v>
      </c>
      <c r="BJ857">
        <f t="shared" si="302"/>
        <v>13.966703177203696</v>
      </c>
      <c r="BN857" s="20">
        <f t="shared" si="303"/>
        <v>-1.0044144175940255</v>
      </c>
      <c r="BP857">
        <f t="shared" si="304"/>
        <v>5.811533134661989</v>
      </c>
      <c r="BR857">
        <f t="shared" si="305"/>
        <v>-0.54929070948626246</v>
      </c>
      <c r="BT857">
        <f t="shared" si="306"/>
        <v>1.7917285185033223</v>
      </c>
      <c r="BV857">
        <f t="shared" si="307"/>
        <v>-1.7784994323689896</v>
      </c>
      <c r="BX857">
        <f t="shared" si="308"/>
        <v>6.363441524038385</v>
      </c>
      <c r="CB857">
        <f t="shared" si="309"/>
        <v>297708.32907534332</v>
      </c>
      <c r="CD857">
        <f t="shared" si="310"/>
        <v>309450.19773380778</v>
      </c>
      <c r="CF857">
        <f t="shared" si="311"/>
        <v>281239.07686203514</v>
      </c>
    </row>
    <row r="858" spans="12:84" x14ac:dyDescent="0.25">
      <c r="L858">
        <v>847</v>
      </c>
      <c r="M858">
        <f t="shared" si="323"/>
        <v>5.3218579551810565</v>
      </c>
      <c r="P858">
        <f t="shared" si="317"/>
        <v>22862.160627972735</v>
      </c>
      <c r="Q858">
        <f t="shared" si="318"/>
        <v>3400.2394533725865</v>
      </c>
      <c r="V858">
        <f t="shared" si="319"/>
        <v>-17996.487560419086</v>
      </c>
      <c r="W858">
        <f t="shared" si="320"/>
        <v>7130.1676173608103</v>
      </c>
      <c r="AB858">
        <f t="shared" si="321"/>
        <v>-2137.8393720272638</v>
      </c>
      <c r="AC858">
        <f t="shared" si="322"/>
        <v>-19099.760546627414</v>
      </c>
      <c r="AW858">
        <v>851</v>
      </c>
      <c r="AX858">
        <f t="shared" si="312"/>
        <v>425.5</v>
      </c>
      <c r="AZ858">
        <f t="shared" si="313"/>
        <v>71086.370617910638</v>
      </c>
      <c r="BB858">
        <f t="shared" si="314"/>
        <v>-286440.12278003799</v>
      </c>
      <c r="BD858">
        <f t="shared" si="315"/>
        <v>768.66079944655564</v>
      </c>
      <c r="BF858">
        <f t="shared" si="316"/>
        <v>-1158.4413841003211</v>
      </c>
      <c r="BH858">
        <f t="shared" si="301"/>
        <v>-3.3285961914257793</v>
      </c>
      <c r="BJ858">
        <f t="shared" si="302"/>
        <v>13.90171764212262</v>
      </c>
      <c r="BN858" s="20">
        <f t="shared" si="303"/>
        <v>-1.0055635555202171</v>
      </c>
      <c r="BP858">
        <f t="shared" si="304"/>
        <v>5.7857990575105909</v>
      </c>
      <c r="BR858">
        <f t="shared" si="305"/>
        <v>-0.54806411395185628</v>
      </c>
      <c r="BT858">
        <f t="shared" si="306"/>
        <v>1.783671828497186</v>
      </c>
      <c r="BV858">
        <f t="shared" si="307"/>
        <v>-1.7749685219537057</v>
      </c>
      <c r="BX858">
        <f t="shared" si="308"/>
        <v>6.3322467561148441</v>
      </c>
      <c r="CB858">
        <f t="shared" si="309"/>
        <v>298346.46477351518</v>
      </c>
      <c r="CD858">
        <f t="shared" si="310"/>
        <v>310118.48269038618</v>
      </c>
      <c r="CF858">
        <f t="shared" si="311"/>
        <v>281902.24555446196</v>
      </c>
    </row>
    <row r="859" spans="12:84" x14ac:dyDescent="0.25">
      <c r="L859">
        <v>848</v>
      </c>
      <c r="M859">
        <f t="shared" si="323"/>
        <v>5.3281411404882357</v>
      </c>
      <c r="P859">
        <f t="shared" si="317"/>
        <v>22887.86351711112</v>
      </c>
      <c r="Q859">
        <f t="shared" si="318"/>
        <v>3418.3037464139256</v>
      </c>
      <c r="V859">
        <f t="shared" si="319"/>
        <v>-17978.495538022216</v>
      </c>
      <c r="W859">
        <f t="shared" si="320"/>
        <v>7142.8126224897478</v>
      </c>
      <c r="AB859">
        <f t="shared" si="321"/>
        <v>-2112.1364828888804</v>
      </c>
      <c r="AC859">
        <f t="shared" si="322"/>
        <v>-19081.696253586073</v>
      </c>
      <c r="AW859">
        <v>852</v>
      </c>
      <c r="AX859">
        <f t="shared" si="312"/>
        <v>426</v>
      </c>
      <c r="AZ859">
        <f t="shared" si="313"/>
        <v>71470.284943109975</v>
      </c>
      <c r="BB859">
        <f t="shared" si="314"/>
        <v>-287017.60575738287</v>
      </c>
      <c r="BD859">
        <f t="shared" si="315"/>
        <v>766.99650135084278</v>
      </c>
      <c r="BF859">
        <f t="shared" si="316"/>
        <v>-1151.4905252792598</v>
      </c>
      <c r="BH859">
        <f t="shared" si="301"/>
        <v>-3.325012666063131</v>
      </c>
      <c r="BJ859">
        <f t="shared" si="302"/>
        <v>13.837493749671967</v>
      </c>
      <c r="BN859" s="20">
        <f t="shared" si="303"/>
        <v>-1.0066878184492032</v>
      </c>
      <c r="BP859">
        <f t="shared" si="304"/>
        <v>5.7603583574967416</v>
      </c>
      <c r="BR859">
        <f t="shared" si="305"/>
        <v>-0.54685132647926582</v>
      </c>
      <c r="BT859">
        <f t="shared" si="306"/>
        <v>1.7757075076035949</v>
      </c>
      <c r="BV859">
        <f t="shared" si="307"/>
        <v>-1.7714735211346617</v>
      </c>
      <c r="BX859">
        <f t="shared" si="308"/>
        <v>6.3014278845716305</v>
      </c>
      <c r="CB859">
        <f t="shared" si="309"/>
        <v>298981.28759704367</v>
      </c>
      <c r="CD859">
        <f t="shared" si="310"/>
        <v>310783.31866015884</v>
      </c>
      <c r="CF859">
        <f t="shared" si="311"/>
        <v>282561.99730547523</v>
      </c>
    </row>
    <row r="860" spans="12:84" x14ac:dyDescent="0.25">
      <c r="L860">
        <v>849</v>
      </c>
      <c r="M860">
        <f t="shared" si="323"/>
        <v>5.3344243257954149</v>
      </c>
      <c r="P860">
        <f t="shared" si="317"/>
        <v>22913.452398342662</v>
      </c>
      <c r="Q860">
        <f t="shared" si="318"/>
        <v>3436.5291778343731</v>
      </c>
      <c r="V860">
        <f t="shared" si="319"/>
        <v>-17960.583321160138</v>
      </c>
      <c r="W860">
        <f t="shared" si="320"/>
        <v>7155.5704244840617</v>
      </c>
      <c r="AB860">
        <f t="shared" si="321"/>
        <v>-2086.5476016573393</v>
      </c>
      <c r="AC860">
        <f t="shared" si="322"/>
        <v>-19063.470822165626</v>
      </c>
      <c r="AW860">
        <v>853</v>
      </c>
      <c r="AX860">
        <f t="shared" si="312"/>
        <v>426.5</v>
      </c>
      <c r="AZ860">
        <f t="shared" si="313"/>
        <v>71853.367567202135</v>
      </c>
      <c r="BB860">
        <f t="shared" si="314"/>
        <v>-287591.6213333038</v>
      </c>
      <c r="BD860">
        <f t="shared" si="315"/>
        <v>765.33399501781116</v>
      </c>
      <c r="BF860">
        <f t="shared" si="316"/>
        <v>-1144.5717784044239</v>
      </c>
      <c r="BH860">
        <f t="shared" si="301"/>
        <v>-3.3214542739285271</v>
      </c>
      <c r="BJ860">
        <f t="shared" si="302"/>
        <v>13.774019620448932</v>
      </c>
      <c r="BN860" s="20">
        <f t="shared" si="303"/>
        <v>-1.0077879413458317</v>
      </c>
      <c r="BP860">
        <f t="shared" si="304"/>
        <v>5.7352066321724591</v>
      </c>
      <c r="BR860">
        <f t="shared" si="305"/>
        <v>-0.545652187571117</v>
      </c>
      <c r="BT860">
        <f t="shared" si="306"/>
        <v>1.7678341413508927</v>
      </c>
      <c r="BV860">
        <f t="shared" si="307"/>
        <v>-1.7680141450115785</v>
      </c>
      <c r="BX860">
        <f t="shared" si="308"/>
        <v>6.2709788469255807</v>
      </c>
      <c r="CB860">
        <f t="shared" si="309"/>
        <v>299612.81132351025</v>
      </c>
      <c r="CD860">
        <f t="shared" si="310"/>
        <v>311444.72097182838</v>
      </c>
      <c r="CF860">
        <f t="shared" si="311"/>
        <v>283218.34708849422</v>
      </c>
    </row>
    <row r="861" spans="12:84" x14ac:dyDescent="0.25">
      <c r="L861">
        <v>850</v>
      </c>
      <c r="M861">
        <f t="shared" si="323"/>
        <v>5.3407075111025941</v>
      </c>
      <c r="P861">
        <f t="shared" si="317"/>
        <v>22938.926261462148</v>
      </c>
      <c r="Q861">
        <f t="shared" si="318"/>
        <v>3454.9150281251027</v>
      </c>
      <c r="V861">
        <f t="shared" si="319"/>
        <v>-17942.751616976497</v>
      </c>
      <c r="W861">
        <f t="shared" si="320"/>
        <v>7168.4405196875723</v>
      </c>
      <c r="AB861">
        <f t="shared" si="321"/>
        <v>-2061.0737385378543</v>
      </c>
      <c r="AC861">
        <f t="shared" si="322"/>
        <v>-19045.084971874898</v>
      </c>
      <c r="AW861">
        <v>854</v>
      </c>
      <c r="AX861">
        <f t="shared" si="312"/>
        <v>427</v>
      </c>
      <c r="AZ861">
        <f t="shared" si="313"/>
        <v>72235.619382926801</v>
      </c>
      <c r="BB861">
        <f t="shared" si="314"/>
        <v>-288162.18547005346</v>
      </c>
      <c r="BD861">
        <f t="shared" si="315"/>
        <v>763.67326788084688</v>
      </c>
      <c r="BF861">
        <f t="shared" si="316"/>
        <v>-1137.6847685941993</v>
      </c>
      <c r="BH861">
        <f t="shared" si="301"/>
        <v>-3.317921291185336</v>
      </c>
      <c r="BJ861">
        <f t="shared" si="302"/>
        <v>13.711283621477666</v>
      </c>
      <c r="BN861" s="20">
        <f t="shared" si="303"/>
        <v>-1.0088646395781031</v>
      </c>
      <c r="BP861">
        <f t="shared" si="304"/>
        <v>5.7103395672305073</v>
      </c>
      <c r="BR861">
        <f t="shared" si="305"/>
        <v>-0.5444665405281327</v>
      </c>
      <c r="BT861">
        <f t="shared" si="306"/>
        <v>1.7600503441649482</v>
      </c>
      <c r="BV861">
        <f t="shared" si="307"/>
        <v>-1.7645901110791002</v>
      </c>
      <c r="BX861">
        <f t="shared" si="308"/>
        <v>6.2408937100822088</v>
      </c>
      <c r="CB861">
        <f t="shared" si="309"/>
        <v>300241.04957391537</v>
      </c>
      <c r="CD861">
        <f t="shared" si="310"/>
        <v>312102.70477397455</v>
      </c>
      <c r="CF861">
        <f t="shared" si="311"/>
        <v>283871.30970254855</v>
      </c>
    </row>
    <row r="862" spans="12:84" x14ac:dyDescent="0.25">
      <c r="L862">
        <v>851</v>
      </c>
      <c r="M862">
        <f t="shared" si="323"/>
        <v>5.3469906964097733</v>
      </c>
      <c r="P862">
        <f t="shared" si="317"/>
        <v>22964.284100805075</v>
      </c>
      <c r="Q862">
        <f t="shared" si="318"/>
        <v>3473.4605714442278</v>
      </c>
      <c r="V862">
        <f t="shared" si="319"/>
        <v>-17925.001129436449</v>
      </c>
      <c r="W862">
        <f t="shared" si="320"/>
        <v>7181.4224000109589</v>
      </c>
      <c r="AB862">
        <f t="shared" si="321"/>
        <v>-2035.7158991949241</v>
      </c>
      <c r="AC862">
        <f t="shared" si="322"/>
        <v>-19026.53942855577</v>
      </c>
      <c r="AW862">
        <v>855</v>
      </c>
      <c r="AX862">
        <f t="shared" si="312"/>
        <v>427.5</v>
      </c>
      <c r="AZ862">
        <f t="shared" si="313"/>
        <v>72617.041276705815</v>
      </c>
      <c r="BB862">
        <f t="shared" si="314"/>
        <v>-288729.3139438979</v>
      </c>
      <c r="BD862">
        <f t="shared" si="315"/>
        <v>762.01430723525425</v>
      </c>
      <c r="BF862">
        <f t="shared" si="316"/>
        <v>-1130.8291267834604</v>
      </c>
      <c r="BH862">
        <f t="shared" si="301"/>
        <v>-3.3144139801645505</v>
      </c>
      <c r="BJ862">
        <f t="shared" si="302"/>
        <v>13.649274359965338</v>
      </c>
      <c r="BN862" s="20">
        <f t="shared" si="303"/>
        <v>-1.0099186095157346</v>
      </c>
      <c r="BP862">
        <f t="shared" si="304"/>
        <v>5.6857529343533502</v>
      </c>
      <c r="BR862">
        <f t="shared" si="305"/>
        <v>-0.54329423139061794</v>
      </c>
      <c r="BT862">
        <f t="shared" si="306"/>
        <v>1.75235475864652</v>
      </c>
      <c r="BV862">
        <f t="shared" si="307"/>
        <v>-1.7612011392581981</v>
      </c>
      <c r="BX862">
        <f t="shared" si="308"/>
        <v>6.2111666669654673</v>
      </c>
      <c r="CB862">
        <f t="shared" si="309"/>
        <v>300866.01581499196</v>
      </c>
      <c r="CD862">
        <f t="shared" si="310"/>
        <v>312757.28503784357</v>
      </c>
      <c r="CF862">
        <f t="shared" si="311"/>
        <v>284520.89977494953</v>
      </c>
    </row>
    <row r="863" spans="12:84" x14ac:dyDescent="0.25">
      <c r="L863">
        <v>852</v>
      </c>
      <c r="M863">
        <f t="shared" si="323"/>
        <v>5.3532738817169525</v>
      </c>
      <c r="P863">
        <f t="shared" si="317"/>
        <v>22989.524915287373</v>
      </c>
      <c r="Q863">
        <f t="shared" si="318"/>
        <v>3492.1650756454519</v>
      </c>
      <c r="V863">
        <f t="shared" si="319"/>
        <v>-17907.33255929884</v>
      </c>
      <c r="W863">
        <f t="shared" si="320"/>
        <v>7194.5155529518161</v>
      </c>
      <c r="AB863">
        <f t="shared" si="321"/>
        <v>-2010.475084712627</v>
      </c>
      <c r="AC863">
        <f t="shared" si="322"/>
        <v>-19007.834924354549</v>
      </c>
      <c r="AW863">
        <v>856</v>
      </c>
      <c r="AX863">
        <f t="shared" si="312"/>
        <v>428</v>
      </c>
      <c r="AZ863">
        <f t="shared" si="313"/>
        <v>72997.634128575926</v>
      </c>
      <c r="BB863">
        <f t="shared" si="314"/>
        <v>-289293.02234799461</v>
      </c>
      <c r="BD863">
        <f t="shared" si="315"/>
        <v>760.35710024517198</v>
      </c>
      <c r="BF863">
        <f t="shared" si="316"/>
        <v>-1124.0044896034779</v>
      </c>
      <c r="BH863">
        <f t="shared" si="301"/>
        <v>-3.3109325899136737</v>
      </c>
      <c r="BJ863">
        <f t="shared" si="302"/>
        <v>13.587980677245163</v>
      </c>
      <c r="BN863" s="20">
        <f t="shared" si="303"/>
        <v>-1.0109505291082916</v>
      </c>
      <c r="BP863">
        <f t="shared" si="304"/>
        <v>5.6614425891244302</v>
      </c>
      <c r="BR863">
        <f t="shared" si="305"/>
        <v>-0.54213510888140692</v>
      </c>
      <c r="BT863">
        <f t="shared" si="306"/>
        <v>1.7447460548699885</v>
      </c>
      <c r="BV863">
        <f t="shared" si="307"/>
        <v>-1.7578469519239748</v>
      </c>
      <c r="BX863">
        <f t="shared" si="308"/>
        <v>6.181792033250745</v>
      </c>
      <c r="CB863">
        <f t="shared" si="309"/>
        <v>301487.72336147225</v>
      </c>
      <c r="CD863">
        <f t="shared" si="310"/>
        <v>313408.47656007914</v>
      </c>
      <c r="CF863">
        <f t="shared" si="311"/>
        <v>285167.13176390552</v>
      </c>
    </row>
    <row r="864" spans="12:84" x14ac:dyDescent="0.25">
      <c r="L864">
        <v>853</v>
      </c>
      <c r="M864">
        <f t="shared" si="323"/>
        <v>5.3595570670241317</v>
      </c>
      <c r="P864">
        <f t="shared" si="317"/>
        <v>23014.647708444903</v>
      </c>
      <c r="Q864">
        <f t="shared" si="318"/>
        <v>3511.0278023069773</v>
      </c>
      <c r="V864">
        <f t="shared" si="319"/>
        <v>-17889.74660408857</v>
      </c>
      <c r="W864">
        <f t="shared" si="320"/>
        <v>7207.7194616148845</v>
      </c>
      <c r="AB864">
        <f t="shared" si="321"/>
        <v>-1985.352291555098</v>
      </c>
      <c r="AC864">
        <f t="shared" si="322"/>
        <v>-18988.972197693023</v>
      </c>
      <c r="AW864">
        <v>857</v>
      </c>
      <c r="AX864">
        <f t="shared" si="312"/>
        <v>428.5</v>
      </c>
      <c r="AZ864">
        <f t="shared" si="313"/>
        <v>73377.398812124768</v>
      </c>
      <c r="BB864">
        <f t="shared" si="314"/>
        <v>-289853.32609521167</v>
      </c>
      <c r="BD864">
        <f t="shared" si="315"/>
        <v>758.70163395021518</v>
      </c>
      <c r="BF864">
        <f t="shared" si="316"/>
        <v>-1117.2104992648553</v>
      </c>
      <c r="BH864">
        <f t="shared" si="301"/>
        <v>-3.3074773567243785</v>
      </c>
      <c r="BJ864">
        <f t="shared" si="302"/>
        <v>13.52739164290124</v>
      </c>
      <c r="BN864" s="20">
        <f t="shared" si="303"/>
        <v>-1.0119610584436025</v>
      </c>
      <c r="BP864">
        <f t="shared" si="304"/>
        <v>5.6374044689994118</v>
      </c>
      <c r="BR864">
        <f t="shared" si="305"/>
        <v>-0.54098902435028207</v>
      </c>
      <c r="BT864">
        <f t="shared" si="306"/>
        <v>1.7372229297029007</v>
      </c>
      <c r="BV864">
        <f t="shared" si="307"/>
        <v>-1.754527273930494</v>
      </c>
      <c r="BX864">
        <f t="shared" si="308"/>
        <v>6.1527642441989281</v>
      </c>
      <c r="CB864">
        <f t="shared" si="309"/>
        <v>302106.18537831015</v>
      </c>
      <c r="CD864">
        <f t="shared" si="310"/>
        <v>314056.29396539711</v>
      </c>
      <c r="CF864">
        <f t="shared" si="311"/>
        <v>285810.0199610847</v>
      </c>
    </row>
    <row r="865" spans="12:84" x14ac:dyDescent="0.25">
      <c r="L865">
        <v>854</v>
      </c>
      <c r="M865">
        <f t="shared" si="323"/>
        <v>5.3658402523313109</v>
      </c>
      <c r="P865">
        <f t="shared" si="317"/>
        <v>23039.651488472806</v>
      </c>
      <c r="Q865">
        <f t="shared" si="318"/>
        <v>3530.0480067606532</v>
      </c>
      <c r="V865">
        <f t="shared" si="319"/>
        <v>-17872.243958069037</v>
      </c>
      <c r="W865">
        <f t="shared" si="320"/>
        <v>7221.0336047324572</v>
      </c>
      <c r="AB865">
        <f t="shared" si="321"/>
        <v>-1960.3485115271951</v>
      </c>
      <c r="AC865">
        <f t="shared" si="322"/>
        <v>-18969.951993239345</v>
      </c>
      <c r="AW865">
        <v>858</v>
      </c>
      <c r="AX865">
        <f t="shared" si="312"/>
        <v>429</v>
      </c>
      <c r="AZ865">
        <f t="shared" si="313"/>
        <v>73756.336194430289</v>
      </c>
      <c r="BB865">
        <f t="shared" si="314"/>
        <v>-290410.24042088876</v>
      </c>
      <c r="BD865">
        <f t="shared" si="315"/>
        <v>757.04789527185301</v>
      </c>
      <c r="BF865">
        <f t="shared" si="316"/>
        <v>-1110.4468034434046</v>
      </c>
      <c r="BH865">
        <f t="shared" si="301"/>
        <v>-3.3040485046394688</v>
      </c>
      <c r="BJ865">
        <f t="shared" si="302"/>
        <v>13.467496549067757</v>
      </c>
      <c r="BN865" s="20">
        <f t="shared" si="303"/>
        <v>-1.0129508402873229</v>
      </c>
      <c r="BP865">
        <f t="shared" si="304"/>
        <v>5.6136345913359325</v>
      </c>
      <c r="BR865">
        <f t="shared" si="305"/>
        <v>-0.53985583171975482</v>
      </c>
      <c r="BT865">
        <f t="shared" si="306"/>
        <v>1.7297841061454025</v>
      </c>
      <c r="BV865">
        <f t="shared" si="307"/>
        <v>-1.7512418326323909</v>
      </c>
      <c r="BX865">
        <f t="shared" si="308"/>
        <v>6.1240778515864216</v>
      </c>
      <c r="CB865">
        <f t="shared" si="309"/>
        <v>302721.41488285951</v>
      </c>
      <c r="CD865">
        <f t="shared" si="310"/>
        <v>314700.75170920586</v>
      </c>
      <c r="CF865">
        <f t="shared" si="311"/>
        <v>286449.57849412499</v>
      </c>
    </row>
    <row r="866" spans="12:84" x14ac:dyDescent="0.25">
      <c r="L866">
        <v>855</v>
      </c>
      <c r="M866">
        <f t="shared" si="323"/>
        <v>5.3721234376384901</v>
      </c>
      <c r="P866">
        <f t="shared" si="317"/>
        <v>23064.535268264659</v>
      </c>
      <c r="Q866">
        <f t="shared" si="318"/>
        <v>3549.2249381213751</v>
      </c>
      <c r="V866">
        <f t="shared" si="319"/>
        <v>-17854.825312214736</v>
      </c>
      <c r="W866">
        <f t="shared" si="320"/>
        <v>7234.4574566849624</v>
      </c>
      <c r="AB866">
        <f t="shared" si="321"/>
        <v>-1935.4647317353401</v>
      </c>
      <c r="AC866">
        <f t="shared" si="322"/>
        <v>-18950.775061878623</v>
      </c>
      <c r="AW866">
        <v>859</v>
      </c>
      <c r="AX866">
        <f t="shared" si="312"/>
        <v>429.5</v>
      </c>
      <c r="AZ866">
        <f t="shared" si="313"/>
        <v>74134.447136003131</v>
      </c>
      <c r="BB866">
        <f t="shared" si="314"/>
        <v>-290963.78038554179</v>
      </c>
      <c r="BD866">
        <f t="shared" si="315"/>
        <v>755.39587101953327</v>
      </c>
      <c r="BF866">
        <f t="shared" si="316"/>
        <v>-1103.7130551688708</v>
      </c>
      <c r="BH866">
        <f t="shared" si="301"/>
        <v>-3.3006462459402979</v>
      </c>
      <c r="BJ866">
        <f t="shared" si="302"/>
        <v>13.408284904897442</v>
      </c>
      <c r="BN866" s="20">
        <f t="shared" si="303"/>
        <v>-1.0139205006042191</v>
      </c>
      <c r="BP866">
        <f t="shared" si="304"/>
        <v>5.5901290514792032</v>
      </c>
      <c r="BR866">
        <f t="shared" si="305"/>
        <v>-0.53873538743225746</v>
      </c>
      <c r="BT866">
        <f t="shared" si="306"/>
        <v>1.7224283326891596</v>
      </c>
      <c r="BV866">
        <f t="shared" si="307"/>
        <v>-1.7479903579038212</v>
      </c>
      <c r="BX866">
        <f t="shared" si="308"/>
        <v>6.0957275207290786</v>
      </c>
      <c r="CB866">
        <f t="shared" si="309"/>
        <v>303333.42474700941</v>
      </c>
      <c r="CD866">
        <f t="shared" si="310"/>
        <v>315341.86408017192</v>
      </c>
      <c r="CF866">
        <f t="shared" si="311"/>
        <v>287085.82132909389</v>
      </c>
    </row>
    <row r="867" spans="12:84" x14ac:dyDescent="0.25">
      <c r="L867">
        <v>856</v>
      </c>
      <c r="M867">
        <f t="shared" si="323"/>
        <v>5.3784066229456693</v>
      </c>
      <c r="P867">
        <f t="shared" si="317"/>
        <v>23089.298065451447</v>
      </c>
      <c r="Q867">
        <f t="shared" si="318"/>
        <v>3568.5578393167298</v>
      </c>
      <c r="V867">
        <f t="shared" si="319"/>
        <v>-17837.491354183985</v>
      </c>
      <c r="W867">
        <f t="shared" si="320"/>
        <v>7247.9904875217107</v>
      </c>
      <c r="AB867">
        <f t="shared" si="321"/>
        <v>-1910.7019345485514</v>
      </c>
      <c r="AC867">
        <f t="shared" si="322"/>
        <v>-18931.442160683269</v>
      </c>
      <c r="AW867">
        <v>860</v>
      </c>
      <c r="AX867">
        <f t="shared" si="312"/>
        <v>430</v>
      </c>
      <c r="AZ867">
        <f t="shared" si="313"/>
        <v>74511.73249073216</v>
      </c>
      <c r="BB867">
        <f t="shared" si="314"/>
        <v>-291513.96087751311</v>
      </c>
      <c r="BD867">
        <f t="shared" si="315"/>
        <v>753.74554789656315</v>
      </c>
      <c r="BF867">
        <f t="shared" si="316"/>
        <v>-1097.0089127164222</v>
      </c>
      <c r="BH867">
        <f t="shared" si="301"/>
        <v>-3.2972707816152509</v>
      </c>
      <c r="BJ867">
        <f t="shared" si="302"/>
        <v>13.349746431192973</v>
      </c>
      <c r="BN867" s="20">
        <f t="shared" si="303"/>
        <v>-1.0148706490619939</v>
      </c>
      <c r="BP867">
        <f t="shared" si="304"/>
        <v>5.5668840209023323</v>
      </c>
      <c r="BR867">
        <f t="shared" si="305"/>
        <v>-0.53762755039863996</v>
      </c>
      <c r="BT867">
        <f t="shared" si="306"/>
        <v>1.715154382694916</v>
      </c>
      <c r="BV867">
        <f t="shared" si="307"/>
        <v>-1.7447725821546174</v>
      </c>
      <c r="BX867">
        <f t="shared" si="308"/>
        <v>6.0677080275957254</v>
      </c>
      <c r="CB867">
        <f t="shared" si="309"/>
        <v>303942.22769927856</v>
      </c>
      <c r="CD867">
        <f t="shared" si="310"/>
        <v>315979.64520273492</v>
      </c>
      <c r="CF867">
        <f t="shared" si="311"/>
        <v>287718.76227289834</v>
      </c>
    </row>
    <row r="868" spans="12:84" x14ac:dyDescent="0.25">
      <c r="L868">
        <v>857</v>
      </c>
      <c r="M868">
        <f t="shared" si="323"/>
        <v>5.3846898082528485</v>
      </c>
      <c r="P868">
        <f t="shared" si="317"/>
        <v>23113.938902440339</v>
      </c>
      <c r="Q868">
        <f t="shared" si="318"/>
        <v>3588.0459471168815</v>
      </c>
      <c r="V868">
        <f t="shared" si="319"/>
        <v>-17820.242768291762</v>
      </c>
      <c r="W868">
        <f t="shared" si="320"/>
        <v>7261.6321629818167</v>
      </c>
      <c r="AB868">
        <f t="shared" si="321"/>
        <v>-1886.061097559661</v>
      </c>
      <c r="AC868">
        <f t="shared" si="322"/>
        <v>-18911.95405288312</v>
      </c>
      <c r="AW868">
        <v>861</v>
      </c>
      <c r="AX868">
        <f t="shared" si="312"/>
        <v>430.5</v>
      </c>
      <c r="AZ868">
        <f t="shared" si="313"/>
        <v>74888.193105832746</v>
      </c>
      <c r="BB868">
        <f t="shared" si="314"/>
        <v>-292060.79661556741</v>
      </c>
      <c r="BD868">
        <f t="shared" si="315"/>
        <v>752.09691250575554</v>
      </c>
      <c r="BF868">
        <f t="shared" si="316"/>
        <v>-1090.3340395008256</v>
      </c>
      <c r="BH868">
        <f t="shared" si="301"/>
        <v>-3.2939223018100821</v>
      </c>
      <c r="BJ868">
        <f t="shared" si="302"/>
        <v>13.291871055195614</v>
      </c>
      <c r="BN868" s="20">
        <f t="shared" si="303"/>
        <v>-1.0158018795181991</v>
      </c>
      <c r="BP868">
        <f t="shared" si="304"/>
        <v>5.5438957453989541</v>
      </c>
      <c r="BR868">
        <f t="shared" si="305"/>
        <v>-0.53653218194792407</v>
      </c>
      <c r="BT868">
        <f t="shared" si="306"/>
        <v>1.7079610537880123</v>
      </c>
      <c r="BV868">
        <f t="shared" si="307"/>
        <v>-1.7415882403439591</v>
      </c>
      <c r="BX868">
        <f t="shared" si="308"/>
        <v>6.0400142560086483</v>
      </c>
      <c r="CB868">
        <f t="shared" si="309"/>
        <v>304547.83632686757</v>
      </c>
      <c r="CD868">
        <f t="shared" si="310"/>
        <v>316614.10903957038</v>
      </c>
      <c r="CF868">
        <f t="shared" si="311"/>
        <v>288348.41497564648</v>
      </c>
    </row>
    <row r="869" spans="12:84" x14ac:dyDescent="0.25">
      <c r="L869">
        <v>858</v>
      </c>
      <c r="M869">
        <f t="shared" si="323"/>
        <v>5.3909729935600277</v>
      </c>
      <c r="P869">
        <f t="shared" si="317"/>
        <v>23138.45680645328</v>
      </c>
      <c r="Q869">
        <f t="shared" si="318"/>
        <v>3607.6884921647024</v>
      </c>
      <c r="V869">
        <f t="shared" si="319"/>
        <v>-17803.080235482706</v>
      </c>
      <c r="W869">
        <f t="shared" si="320"/>
        <v>7275.3819445152913</v>
      </c>
      <c r="AB869">
        <f t="shared" si="321"/>
        <v>-1861.5431935467213</v>
      </c>
      <c r="AC869">
        <f t="shared" si="322"/>
        <v>-18892.311507835297</v>
      </c>
      <c r="AW869">
        <v>862</v>
      </c>
      <c r="AX869">
        <f t="shared" si="312"/>
        <v>431</v>
      </c>
      <c r="AZ869">
        <f t="shared" si="313"/>
        <v>75263.829821797888</v>
      </c>
      <c r="BB869">
        <f t="shared" si="314"/>
        <v>-292604.30215143593</v>
      </c>
      <c r="BD869">
        <f t="shared" si="315"/>
        <v>750.44995135485055</v>
      </c>
      <c r="BF869">
        <f t="shared" si="316"/>
        <v>-1083.6881039732277</v>
      </c>
      <c r="BH869">
        <f t="shared" si="301"/>
        <v>-3.2906009862610626</v>
      </c>
      <c r="BJ869">
        <f t="shared" si="302"/>
        <v>13.234648905526701</v>
      </c>
      <c r="BN869" s="20">
        <f t="shared" si="303"/>
        <v>-1.0167147704909794</v>
      </c>
      <c r="BP869">
        <f t="shared" si="304"/>
        <v>5.5211605433270758</v>
      </c>
      <c r="BR869">
        <f t="shared" si="305"/>
        <v>-0.53544914577835623</v>
      </c>
      <c r="BT869">
        <f t="shared" si="306"/>
        <v>1.7008471672715295</v>
      </c>
      <c r="BV869">
        <f t="shared" si="307"/>
        <v>-1.7384370699917266</v>
      </c>
      <c r="BX869">
        <f t="shared" si="308"/>
        <v>6.0126411949280962</v>
      </c>
      <c r="CB869">
        <f t="shared" si="309"/>
        <v>305150.26307767292</v>
      </c>
      <c r="CD869">
        <f t="shared" si="310"/>
        <v>317245.26939400373</v>
      </c>
      <c r="CF869">
        <f t="shared" si="311"/>
        <v>288974.79293296201</v>
      </c>
    </row>
    <row r="870" spans="12:84" x14ac:dyDescent="0.25">
      <c r="L870">
        <v>859</v>
      </c>
      <c r="M870">
        <f t="shared" si="323"/>
        <v>5.3972561788672069</v>
      </c>
      <c r="P870">
        <f t="shared" si="317"/>
        <v>23162.850809565396</v>
      </c>
      <c r="Q870">
        <f t="shared" si="318"/>
        <v>3627.4846990061478</v>
      </c>
      <c r="V870">
        <f t="shared" si="319"/>
        <v>-17786.004433304221</v>
      </c>
      <c r="W870">
        <f t="shared" si="320"/>
        <v>7289.2392893043034</v>
      </c>
      <c r="AB870">
        <f t="shared" si="321"/>
        <v>-1837.1491904346021</v>
      </c>
      <c r="AC870">
        <f t="shared" si="322"/>
        <v>-18872.515300993851</v>
      </c>
      <c r="AW870">
        <v>863</v>
      </c>
      <c r="AX870">
        <f t="shared" si="312"/>
        <v>431.5</v>
      </c>
      <c r="AZ870">
        <f t="shared" si="313"/>
        <v>75638.643472352036</v>
      </c>
      <c r="BB870">
        <f t="shared" si="314"/>
        <v>-293144.49187230936</v>
      </c>
      <c r="BD870">
        <f t="shared" si="315"/>
        <v>748.80465086172001</v>
      </c>
      <c r="BF870">
        <f t="shared" si="316"/>
        <v>-1077.0707795204644</v>
      </c>
      <c r="BH870">
        <f t="shared" si="301"/>
        <v>-3.2873070047114581</v>
      </c>
      <c r="BJ870">
        <f t="shared" si="302"/>
        <v>13.178070307275961</v>
      </c>
      <c r="BN870" s="20">
        <f t="shared" si="303"/>
        <v>-1.0176098856141393</v>
      </c>
      <c r="BP870">
        <f t="shared" si="304"/>
        <v>5.4986748039018769</v>
      </c>
      <c r="BR870">
        <f t="shared" si="305"/>
        <v>-0.53437830790964513</v>
      </c>
      <c r="BT870">
        <f t="shared" si="306"/>
        <v>1.6938115675562071</v>
      </c>
      <c r="BV870">
        <f t="shared" si="307"/>
        <v>-1.7353188111876736</v>
      </c>
      <c r="BX870">
        <f t="shared" si="308"/>
        <v>5.9855839358178766</v>
      </c>
      <c r="CB870">
        <f t="shared" si="309"/>
        <v>305749.52026226075</v>
      </c>
      <c r="CD870">
        <f t="shared" si="310"/>
        <v>317873.13991237496</v>
      </c>
      <c r="CF870">
        <f t="shared" si="311"/>
        <v>289597.90948825283</v>
      </c>
    </row>
    <row r="871" spans="12:84" x14ac:dyDescent="0.25">
      <c r="L871">
        <v>860</v>
      </c>
      <c r="M871">
        <f t="shared" si="323"/>
        <v>5.4035393641743861</v>
      </c>
      <c r="P871">
        <f t="shared" si="317"/>
        <v>23187.119948743224</v>
      </c>
      <c r="Q871">
        <f t="shared" si="318"/>
        <v>3647.4337861208678</v>
      </c>
      <c r="V871">
        <f t="shared" si="319"/>
        <v>-17769.016035879744</v>
      </c>
      <c r="W871">
        <f t="shared" si="320"/>
        <v>7303.2036502846076</v>
      </c>
      <c r="AB871">
        <f t="shared" si="321"/>
        <v>-1812.8800512567759</v>
      </c>
      <c r="AC871">
        <f t="shared" si="322"/>
        <v>-18852.56621387913</v>
      </c>
      <c r="AW871">
        <v>864</v>
      </c>
      <c r="AX871">
        <f t="shared" si="312"/>
        <v>432</v>
      </c>
      <c r="AZ871">
        <f t="shared" si="313"/>
        <v>76012.634884407307</v>
      </c>
      <c r="BB871">
        <f t="shared" si="314"/>
        <v>-293681.38000328117</v>
      </c>
      <c r="BD871">
        <f t="shared" si="315"/>
        <v>747.16099735936427</v>
      </c>
      <c r="BF871">
        <f t="shared" si="316"/>
        <v>-1070.4817443668264</v>
      </c>
      <c r="BH871">
        <f t="shared" si="301"/>
        <v>-3.2840405173119427</v>
      </c>
      <c r="BJ871">
        <f t="shared" si="302"/>
        <v>13.12212577723168</v>
      </c>
      <c r="BN871" s="20">
        <f t="shared" si="303"/>
        <v>-1.0184877740772189</v>
      </c>
      <c r="BP871">
        <f t="shared" si="304"/>
        <v>5.4764349855364358</v>
      </c>
      <c r="BR871">
        <f t="shared" si="305"/>
        <v>-0.53331953663635168</v>
      </c>
      <c r="BT871">
        <f t="shared" si="306"/>
        <v>1.6868531216066058</v>
      </c>
      <c r="BV871">
        <f t="shared" si="307"/>
        <v>-1.7322332065983721</v>
      </c>
      <c r="BX871">
        <f t="shared" si="308"/>
        <v>5.9588376700886396</v>
      </c>
      <c r="CB871">
        <f t="shared" si="309"/>
        <v>306345.62005580362</v>
      </c>
      <c r="CD871">
        <f t="shared" si="310"/>
        <v>318497.734086357</v>
      </c>
      <c r="CF871">
        <f t="shared" si="311"/>
        <v>290217.77783493465</v>
      </c>
    </row>
    <row r="872" spans="12:84" x14ac:dyDescent="0.25">
      <c r="L872">
        <v>861</v>
      </c>
      <c r="M872">
        <f t="shared" si="323"/>
        <v>5.4098225494815653</v>
      </c>
      <c r="P872">
        <f t="shared" si="317"/>
        <v>23211.263265882699</v>
      </c>
      <c r="Q872">
        <f t="shared" si="318"/>
        <v>3667.5349659530621</v>
      </c>
      <c r="V872">
        <f t="shared" si="319"/>
        <v>-17752.115713882111</v>
      </c>
      <c r="W872">
        <f t="shared" si="320"/>
        <v>7317.2744761671438</v>
      </c>
      <c r="AB872">
        <f t="shared" si="321"/>
        <v>-1788.7367341173031</v>
      </c>
      <c r="AC872">
        <f t="shared" si="322"/>
        <v>-18832.465034046938</v>
      </c>
      <c r="AW872">
        <v>865</v>
      </c>
      <c r="AX872">
        <f t="shared" si="312"/>
        <v>432.5</v>
      </c>
      <c r="AZ872">
        <f t="shared" si="313"/>
        <v>76385.804878022333</v>
      </c>
      <c r="BB872">
        <f t="shared" si="314"/>
        <v>-294214.9806097424</v>
      </c>
      <c r="BD872">
        <f t="shared" si="315"/>
        <v>745.5189771007083</v>
      </c>
      <c r="BF872">
        <f t="shared" si="316"/>
        <v>-1063.9206814782106</v>
      </c>
      <c r="BH872">
        <f t="shared" si="301"/>
        <v>-3.280801675005848</v>
      </c>
      <c r="BJ872">
        <f t="shared" si="302"/>
        <v>13.066806019248617</v>
      </c>
      <c r="BN872" s="20">
        <f t="shared" si="303"/>
        <v>-1.0193489710510182</v>
      </c>
      <c r="BP872">
        <f t="shared" si="304"/>
        <v>5.4544376142282331</v>
      </c>
      <c r="BR872">
        <f t="shared" si="305"/>
        <v>-0.53227270248248548</v>
      </c>
      <c r="BT872">
        <f t="shared" si="306"/>
        <v>1.6799707184032275</v>
      </c>
      <c r="BV872">
        <f t="shared" si="307"/>
        <v>-1.7291800014723442</v>
      </c>
      <c r="BX872">
        <f t="shared" si="308"/>
        <v>5.9323976866171559</v>
      </c>
      <c r="CB872">
        <f t="shared" si="309"/>
        <v>306938.57449997979</v>
      </c>
      <c r="CD872">
        <f t="shared" si="310"/>
        <v>319119.0652552275</v>
      </c>
      <c r="CF872">
        <f t="shared" si="311"/>
        <v>290834.41101861099</v>
      </c>
    </row>
    <row r="873" spans="12:84" x14ac:dyDescent="0.25">
      <c r="L873">
        <v>862</v>
      </c>
      <c r="M873">
        <f t="shared" si="323"/>
        <v>5.4161057347887445</v>
      </c>
      <c r="P873">
        <f t="shared" si="317"/>
        <v>23235.279807846997</v>
      </c>
      <c r="Q873">
        <f t="shared" si="318"/>
        <v>3687.7874449425694</v>
      </c>
      <c r="V873">
        <f t="shared" si="319"/>
        <v>-17735.304134507103</v>
      </c>
      <c r="W873">
        <f t="shared" si="320"/>
        <v>7331.4512114597983</v>
      </c>
      <c r="AB873">
        <f t="shared" si="321"/>
        <v>-1764.7201921530036</v>
      </c>
      <c r="AC873">
        <f t="shared" si="322"/>
        <v>-18812.212555057431</v>
      </c>
      <c r="AW873">
        <v>866</v>
      </c>
      <c r="AX873">
        <f t="shared" si="312"/>
        <v>433</v>
      </c>
      <c r="AZ873">
        <f t="shared" si="313"/>
        <v>76758.154266363301</v>
      </c>
      <c r="BB873">
        <f t="shared" si="314"/>
        <v>-294745.3075997291</v>
      </c>
      <c r="BD873">
        <f t="shared" si="315"/>
        <v>743.87857626320533</v>
      </c>
      <c r="BF873">
        <f t="shared" si="316"/>
        <v>-1057.3872784685861</v>
      </c>
      <c r="BH873">
        <f t="shared" si="301"/>
        <v>-3.2775906198997489</v>
      </c>
      <c r="BJ873">
        <f t="shared" si="302"/>
        <v>13.012101919748968</v>
      </c>
      <c r="BN873" s="20">
        <f t="shared" si="303"/>
        <v>-1.0201939980992631</v>
      </c>
      <c r="BP873">
        <f t="shared" si="304"/>
        <v>5.4326792819907936</v>
      </c>
      <c r="BR873">
        <f t="shared" si="305"/>
        <v>-0.53123767815716394</v>
      </c>
      <c r="BT873">
        <f t="shared" si="306"/>
        <v>1.6731632684197499</v>
      </c>
      <c r="BV873">
        <f t="shared" si="307"/>
        <v>-1.7261589436433218</v>
      </c>
      <c r="BX873">
        <f t="shared" si="308"/>
        <v>5.9062593693384242</v>
      </c>
      <c r="CB873">
        <f t="shared" si="309"/>
        <v>307528.39550483652</v>
      </c>
      <c r="CD873">
        <f t="shared" si="310"/>
        <v>319737.14660809567</v>
      </c>
      <c r="CF873">
        <f t="shared" si="311"/>
        <v>291447.82193921012</v>
      </c>
    </row>
    <row r="874" spans="12:84" x14ac:dyDescent="0.25">
      <c r="L874">
        <v>863</v>
      </c>
      <c r="M874">
        <f t="shared" si="323"/>
        <v>5.4223889200959237</v>
      </c>
      <c r="P874">
        <f t="shared" si="317"/>
        <v>23259.168626504168</v>
      </c>
      <c r="Q874">
        <f t="shared" si="318"/>
        <v>3708.1904235561969</v>
      </c>
      <c r="V874">
        <f t="shared" si="319"/>
        <v>-17718.581961447082</v>
      </c>
      <c r="W874">
        <f t="shared" si="320"/>
        <v>7345.7332964893376</v>
      </c>
      <c r="AB874">
        <f t="shared" si="321"/>
        <v>-1740.8313734958319</v>
      </c>
      <c r="AC874">
        <f t="shared" si="322"/>
        <v>-18791.809576443804</v>
      </c>
      <c r="AW874">
        <v>867</v>
      </c>
      <c r="AX874">
        <f t="shared" si="312"/>
        <v>433.5</v>
      </c>
      <c r="AZ874">
        <f t="shared" si="313"/>
        <v>77129.683855667419</v>
      </c>
      <c r="BB874">
        <f t="shared" si="314"/>
        <v>-295272.37472622341</v>
      </c>
      <c r="BD874">
        <f t="shared" si="315"/>
        <v>742.23978095325549</v>
      </c>
      <c r="BF874">
        <f t="shared" si="316"/>
        <v>-1050.8812275087116</v>
      </c>
      <c r="BH874">
        <f t="shared" si="301"/>
        <v>-3.2744074856198466</v>
      </c>
      <c r="BJ874">
        <f t="shared" si="302"/>
        <v>12.958004543351102</v>
      </c>
      <c r="BN874" s="20">
        <f t="shared" si="303"/>
        <v>-1.0210233635767036</v>
      </c>
      <c r="BP874">
        <f t="shared" si="304"/>
        <v>5.411156645327865</v>
      </c>
      <c r="BR874">
        <f t="shared" si="305"/>
        <v>-0.53021433851134214</v>
      </c>
      <c r="BT874">
        <f t="shared" si="306"/>
        <v>1.6664297031149735</v>
      </c>
      <c r="BV874">
        <f t="shared" si="307"/>
        <v>-1.7231697835318007</v>
      </c>
      <c r="BX874">
        <f t="shared" si="308"/>
        <v>5.8804181949082635</v>
      </c>
      <c r="CB874">
        <f t="shared" si="309"/>
        <v>308115.09485061769</v>
      </c>
      <c r="CD874">
        <f t="shared" si="310"/>
        <v>320351.99118608527</v>
      </c>
      <c r="CF874">
        <f t="shared" si="311"/>
        <v>292058.02335308038</v>
      </c>
    </row>
    <row r="875" spans="12:84" x14ac:dyDescent="0.25">
      <c r="L875">
        <v>864</v>
      </c>
      <c r="M875">
        <f t="shared" si="323"/>
        <v>5.4286721054031029</v>
      </c>
      <c r="P875">
        <f t="shared" si="317"/>
        <v>23282.928778764555</v>
      </c>
      <c r="Q875">
        <f t="shared" si="318"/>
        <v>3728.7430963192846</v>
      </c>
      <c r="V875">
        <f t="shared" si="319"/>
        <v>-17701.949854864812</v>
      </c>
      <c r="W875">
        <f t="shared" si="320"/>
        <v>7360.1201674234999</v>
      </c>
      <c r="AB875">
        <f t="shared" si="321"/>
        <v>-1717.0712212354433</v>
      </c>
      <c r="AC875">
        <f t="shared" si="322"/>
        <v>-18771.256903680714</v>
      </c>
      <c r="AW875">
        <v>868</v>
      </c>
      <c r="AX875">
        <f t="shared" si="312"/>
        <v>434</v>
      </c>
      <c r="AZ875">
        <f t="shared" si="313"/>
        <v>77500.394445208338</v>
      </c>
      <c r="BB875">
        <f t="shared" si="314"/>
        <v>-295796.19558940985</v>
      </c>
      <c r="BD875">
        <f t="shared" si="315"/>
        <v>740.60257721044559</v>
      </c>
      <c r="BF875">
        <f t="shared" si="316"/>
        <v>-1044.402225237036</v>
      </c>
      <c r="BH875">
        <f t="shared" si="301"/>
        <v>-3.271252397655021</v>
      </c>
      <c r="BJ875">
        <f t="shared" si="302"/>
        <v>12.904505128623429</v>
      </c>
      <c r="BN875" s="20">
        <f t="shared" si="303"/>
        <v>-1.021837563014399</v>
      </c>
      <c r="BP875">
        <f t="shared" si="304"/>
        <v>5.3898664237502025</v>
      </c>
      <c r="BR875">
        <f t="shared" si="305"/>
        <v>-0.52920256049565895</v>
      </c>
      <c r="BT875">
        <f t="shared" si="306"/>
        <v>1.6597689744392627</v>
      </c>
      <c r="BV875">
        <f t="shared" si="307"/>
        <v>-1.720212274144963</v>
      </c>
      <c r="BX875">
        <f t="shared" si="308"/>
        <v>5.854869730433963</v>
      </c>
      <c r="CB875">
        <f t="shared" si="309"/>
        <v>308698.68418955739</v>
      </c>
      <c r="CD875">
        <f t="shared" si="310"/>
        <v>320963.61188447487</v>
      </c>
      <c r="CF875">
        <f t="shared" si="311"/>
        <v>292665.02787504537</v>
      </c>
    </row>
    <row r="876" spans="12:84" x14ac:dyDescent="0.25">
      <c r="L876">
        <v>865</v>
      </c>
      <c r="M876">
        <f t="shared" si="323"/>
        <v>5.434955290710282</v>
      </c>
      <c r="P876">
        <f t="shared" si="317"/>
        <v>23306.559326618033</v>
      </c>
      <c r="Q876">
        <f t="shared" si="318"/>
        <v>3749.4446518475033</v>
      </c>
      <c r="V876">
        <f t="shared" si="319"/>
        <v>-17685.408471367376</v>
      </c>
      <c r="W876">
        <f t="shared" si="320"/>
        <v>7374.6112562932522</v>
      </c>
      <c r="AB876">
        <f t="shared" si="321"/>
        <v>-1693.4406733819669</v>
      </c>
      <c r="AC876">
        <f t="shared" si="322"/>
        <v>-18750.555348152498</v>
      </c>
      <c r="AW876">
        <v>869</v>
      </c>
      <c r="AX876">
        <f t="shared" si="312"/>
        <v>434.5</v>
      </c>
      <c r="AZ876">
        <f t="shared" si="313"/>
        <v>77870.286827263844</v>
      </c>
      <c r="BB876">
        <f t="shared" si="314"/>
        <v>-296316.78363888728</v>
      </c>
      <c r="BD876">
        <f t="shared" si="315"/>
        <v>738.96695101161811</v>
      </c>
      <c r="BF876">
        <f t="shared" si="316"/>
        <v>-1037.9499726727242</v>
      </c>
      <c r="BH876">
        <f t="shared" si="301"/>
        <v>-3.2681254736867738</v>
      </c>
      <c r="BJ876">
        <f t="shared" si="302"/>
        <v>12.851595083957701</v>
      </c>
      <c r="BN876" s="20">
        <f t="shared" si="303"/>
        <v>-1.0226370794924284</v>
      </c>
      <c r="BP876">
        <f t="shared" si="304"/>
        <v>5.3688053983323334</v>
      </c>
      <c r="BR876">
        <f t="shared" si="305"/>
        <v>-0.52820222311921972</v>
      </c>
      <c r="BT876">
        <f t="shared" si="306"/>
        <v>1.6531800543545279</v>
      </c>
      <c r="BV876">
        <f t="shared" si="307"/>
        <v>-1.7172861710751259</v>
      </c>
      <c r="BX876">
        <f t="shared" si="308"/>
        <v>5.8296096312708405</v>
      </c>
      <c r="CB876">
        <f t="shared" si="309"/>
        <v>309279.17504763918</v>
      </c>
      <c r="CD876">
        <f t="shared" si="310"/>
        <v>321572.02145479596</v>
      </c>
      <c r="CF876">
        <f t="shared" si="311"/>
        <v>293268.84798041795</v>
      </c>
    </row>
    <row r="877" spans="12:84" x14ac:dyDescent="0.25">
      <c r="L877">
        <v>866</v>
      </c>
      <c r="M877">
        <f t="shared" si="323"/>
        <v>5.4412384760174612</v>
      </c>
      <c r="P877">
        <f t="shared" si="317"/>
        <v>23330.059337171031</v>
      </c>
      <c r="Q877">
        <f t="shared" si="318"/>
        <v>3770.2942728788876</v>
      </c>
      <c r="V877">
        <f t="shared" si="319"/>
        <v>-17668.958463980278</v>
      </c>
      <c r="W877">
        <f t="shared" si="320"/>
        <v>7389.2059910152211</v>
      </c>
      <c r="AB877">
        <f t="shared" si="321"/>
        <v>-1669.940662828968</v>
      </c>
      <c r="AC877">
        <f t="shared" si="322"/>
        <v>-18729.705727121112</v>
      </c>
      <c r="AW877">
        <v>870</v>
      </c>
      <c r="AX877">
        <f t="shared" si="312"/>
        <v>435</v>
      </c>
      <c r="AZ877">
        <f t="shared" si="313"/>
        <v>78239.36178708545</v>
      </c>
      <c r="BB877">
        <f t="shared" si="314"/>
        <v>-296834.15217583813</v>
      </c>
      <c r="BD877">
        <f t="shared" si="315"/>
        <v>737.33288827477475</v>
      </c>
      <c r="BF877">
        <f t="shared" si="316"/>
        <v>-1031.5241751307453</v>
      </c>
      <c r="BH877">
        <f t="shared" si="301"/>
        <v>-3.2650268239067577</v>
      </c>
      <c r="BJ877">
        <f t="shared" si="302"/>
        <v>12.799265983558737</v>
      </c>
      <c r="BN877" s="20">
        <f t="shared" si="303"/>
        <v>-1.0234223840006025</v>
      </c>
      <c r="BP877">
        <f t="shared" si="304"/>
        <v>5.3479704103087382</v>
      </c>
      <c r="BR877">
        <f t="shared" si="305"/>
        <v>-0.527213207409436</v>
      </c>
      <c r="BT877">
        <f t="shared" si="306"/>
        <v>1.6466619343677831</v>
      </c>
      <c r="BV877">
        <f t="shared" si="307"/>
        <v>-1.7143912324967194</v>
      </c>
      <c r="BX877">
        <f t="shared" si="308"/>
        <v>5.8046336388822155</v>
      </c>
      <c r="CB877">
        <f t="shared" si="309"/>
        <v>309856.57882632286</v>
      </c>
      <c r="CD877">
        <f t="shared" si="310"/>
        <v>322177.2325068909</v>
      </c>
      <c r="CF877">
        <f t="shared" si="311"/>
        <v>293869.49600697716</v>
      </c>
    </row>
    <row r="878" spans="12:84" x14ac:dyDescent="0.25">
      <c r="L878">
        <v>867</v>
      </c>
      <c r="M878">
        <f t="shared" si="323"/>
        <v>5.4475216613246404</v>
      </c>
      <c r="P878">
        <f t="shared" si="317"/>
        <v>23353.427882683376</v>
      </c>
      <c r="Q878">
        <f t="shared" si="318"/>
        <v>3791.2911363060994</v>
      </c>
      <c r="V878">
        <f t="shared" si="319"/>
        <v>-17652.600482121637</v>
      </c>
      <c r="W878">
        <f t="shared" si="320"/>
        <v>7403.9037954142696</v>
      </c>
      <c r="AB878">
        <f t="shared" si="321"/>
        <v>-1646.5721173166257</v>
      </c>
      <c r="AC878">
        <f t="shared" si="322"/>
        <v>-18708.708863693901</v>
      </c>
      <c r="AW878">
        <v>871</v>
      </c>
      <c r="AX878">
        <f t="shared" si="312"/>
        <v>435.5</v>
      </c>
      <c r="AZ878">
        <f t="shared" si="313"/>
        <v>78607.620102869856</v>
      </c>
      <c r="BB878">
        <f t="shared" si="314"/>
        <v>-297348.31435515557</v>
      </c>
      <c r="BD878">
        <f t="shared" si="315"/>
        <v>735.70037486282138</v>
      </c>
      <c r="BF878">
        <f t="shared" si="316"/>
        <v>-1025.124542138966</v>
      </c>
      <c r="BH878">
        <f t="shared" si="301"/>
        <v>-3.2619565513224016</v>
      </c>
      <c r="BJ878">
        <f t="shared" si="302"/>
        <v>12.747509563546753</v>
      </c>
      <c r="BN878" s="20">
        <f t="shared" si="303"/>
        <v>-1.0241939357875922</v>
      </c>
      <c r="BP878">
        <f t="shared" si="304"/>
        <v>5.3273583597080956</v>
      </c>
      <c r="BR878">
        <f t="shared" si="305"/>
        <v>-0.52623539637277783</v>
      </c>
      <c r="BT878">
        <f t="shared" si="306"/>
        <v>1.6402136250774726</v>
      </c>
      <c r="BV878">
        <f t="shared" si="307"/>
        <v>-1.7115272191620314</v>
      </c>
      <c r="BX878">
        <f t="shared" si="308"/>
        <v>5.7799375787611851</v>
      </c>
      <c r="CB878">
        <f t="shared" si="309"/>
        <v>310430.90680423891</v>
      </c>
      <c r="CD878">
        <f t="shared" si="310"/>
        <v>322779.25751093024</v>
      </c>
      <c r="CF878">
        <f t="shared" si="311"/>
        <v>294466.98415690608</v>
      </c>
    </row>
    <row r="879" spans="12:84" x14ac:dyDescent="0.25">
      <c r="L879">
        <v>868</v>
      </c>
      <c r="M879">
        <f t="shared" si="323"/>
        <v>5.4538048466318196</v>
      </c>
      <c r="P879">
        <f t="shared" si="317"/>
        <v>23376.664040604897</v>
      </c>
      <c r="Q879">
        <f t="shared" si="318"/>
        <v>3812.4344132089232</v>
      </c>
      <c r="V879">
        <f t="shared" si="319"/>
        <v>-17636.335171576575</v>
      </c>
      <c r="W879">
        <f t="shared" si="320"/>
        <v>7418.7040892462464</v>
      </c>
      <c r="AB879">
        <f t="shared" si="321"/>
        <v>-1623.3359593951041</v>
      </c>
      <c r="AC879">
        <f t="shared" si="322"/>
        <v>-18687.565586791075</v>
      </c>
      <c r="AW879">
        <v>872</v>
      </c>
      <c r="AX879">
        <f t="shared" si="312"/>
        <v>436</v>
      </c>
      <c r="AZ879">
        <f t="shared" si="313"/>
        <v>78975.062545732348</v>
      </c>
      <c r="BB879">
        <f t="shared" si="314"/>
        <v>-297859.28318752965</v>
      </c>
      <c r="BD879">
        <f t="shared" si="315"/>
        <v>734.06939658716021</v>
      </c>
      <c r="BF879">
        <f t="shared" si="316"/>
        <v>-1018.7507873571926</v>
      </c>
      <c r="BH879">
        <f t="shared" si="301"/>
        <v>-3.2589147520510933</v>
      </c>
      <c r="BJ879">
        <f t="shared" si="302"/>
        <v>12.696317718168583</v>
      </c>
      <c r="BN879" s="20">
        <f t="shared" si="303"/>
        <v>-1.0249521826988754</v>
      </c>
      <c r="BP879">
        <f t="shared" si="304"/>
        <v>5.3069662040243291</v>
      </c>
      <c r="BR879">
        <f t="shared" si="305"/>
        <v>-0.52526867495652763</v>
      </c>
      <c r="BT879">
        <f t="shared" si="306"/>
        <v>1.6338341557325216</v>
      </c>
      <c r="BV879">
        <f t="shared" si="307"/>
        <v>-1.7086938943956902</v>
      </c>
      <c r="BX879">
        <f t="shared" si="308"/>
        <v>5.7555173584117316</v>
      </c>
      <c r="CB879">
        <f t="shared" si="309"/>
        <v>311002.17013885122</v>
      </c>
      <c r="CD879">
        <f t="shared" si="310"/>
        <v>323378.10879939166</v>
      </c>
      <c r="CF879">
        <f t="shared" si="311"/>
        <v>295061.32449869259</v>
      </c>
    </row>
    <row r="880" spans="12:84" x14ac:dyDescent="0.25">
      <c r="L880">
        <v>869</v>
      </c>
      <c r="M880">
        <f t="shared" si="323"/>
        <v>5.4600880319389988</v>
      </c>
      <c r="P880">
        <f t="shared" si="317"/>
        <v>23399.766893611868</v>
      </c>
      <c r="Q880">
        <f t="shared" si="318"/>
        <v>3833.7232688869899</v>
      </c>
      <c r="V880">
        <f t="shared" si="319"/>
        <v>-17620.163174471691</v>
      </c>
      <c r="W880">
        <f t="shared" si="320"/>
        <v>7433.6062882208935</v>
      </c>
      <c r="AB880">
        <f t="shared" si="321"/>
        <v>-1600.2331063881311</v>
      </c>
      <c r="AC880">
        <f t="shared" si="322"/>
        <v>-18666.276731113008</v>
      </c>
      <c r="AW880">
        <v>873</v>
      </c>
      <c r="AX880">
        <f t="shared" si="312"/>
        <v>436.5</v>
      </c>
      <c r="AZ880">
        <f t="shared" si="313"/>
        <v>79341.689879681915</v>
      </c>
      <c r="BB880">
        <f t="shared" si="314"/>
        <v>-298367.07154149347</v>
      </c>
      <c r="BD880">
        <f t="shared" si="315"/>
        <v>732.43993921113463</v>
      </c>
      <c r="BF880">
        <f t="shared" si="316"/>
        <v>-1012.4026284981084</v>
      </c>
      <c r="BH880">
        <f t="shared" si="301"/>
        <v>-3.2559015156032358</v>
      </c>
      <c r="BJ880">
        <f t="shared" si="302"/>
        <v>12.645682496113876</v>
      </c>
      <c r="BN880" s="20">
        <f t="shared" si="303"/>
        <v>-1.025697561503927</v>
      </c>
      <c r="BP880">
        <f t="shared" si="304"/>
        <v>5.286790956923431</v>
      </c>
      <c r="BR880">
        <f t="shared" si="305"/>
        <v>-0.5243129300113738</v>
      </c>
      <c r="BT880">
        <f t="shared" si="306"/>
        <v>1.6275225738032821</v>
      </c>
      <c r="BV880">
        <f t="shared" si="307"/>
        <v>-1.705891024087935</v>
      </c>
      <c r="BX880">
        <f t="shared" si="308"/>
        <v>5.7313689653871629</v>
      </c>
      <c r="CB880">
        <f t="shared" si="309"/>
        <v>311570.37986808922</v>
      </c>
      <c r="CD880">
        <f t="shared" si="310"/>
        <v>323973.79856900073</v>
      </c>
      <c r="CF880">
        <f t="shared" si="311"/>
        <v>295652.5289689948</v>
      </c>
    </row>
    <row r="881" spans="12:84" x14ac:dyDescent="0.25">
      <c r="L881">
        <v>870</v>
      </c>
      <c r="M881">
        <f t="shared" si="323"/>
        <v>5.466371217246178</v>
      </c>
      <c r="P881">
        <f t="shared" si="317"/>
        <v>23422.735529643218</v>
      </c>
      <c r="Q881">
        <f t="shared" si="318"/>
        <v>3855.1568628927298</v>
      </c>
      <c r="V881">
        <f t="shared" si="319"/>
        <v>-17604.085129249746</v>
      </c>
      <c r="W881">
        <f t="shared" si="320"/>
        <v>7448.6098040249108</v>
      </c>
      <c r="AB881">
        <f t="shared" si="321"/>
        <v>-1577.2644703567835</v>
      </c>
      <c r="AC881">
        <f t="shared" si="322"/>
        <v>-18644.843137107269</v>
      </c>
      <c r="AW881">
        <v>874</v>
      </c>
      <c r="AX881">
        <f t="shared" si="312"/>
        <v>437</v>
      </c>
      <c r="AZ881">
        <f t="shared" si="313"/>
        <v>79707.502861598026</v>
      </c>
      <c r="BB881">
        <f t="shared" si="314"/>
        <v>-298871.69214543054</v>
      </c>
      <c r="BD881">
        <f t="shared" si="315"/>
        <v>730.81198845333302</v>
      </c>
      <c r="BF881">
        <f t="shared" si="316"/>
        <v>-1006.0797872500514</v>
      </c>
      <c r="BH881">
        <f t="shared" si="301"/>
        <v>-3.2529169251548451</v>
      </c>
      <c r="BJ881">
        <f t="shared" si="302"/>
        <v>12.595596096933541</v>
      </c>
      <c r="BN881" s="20">
        <f t="shared" si="303"/>
        <v>-1.0264304982129586</v>
      </c>
      <c r="BP881">
        <f t="shared" si="304"/>
        <v>5.2668296869845825</v>
      </c>
      <c r="BR881">
        <f t="shared" si="305"/>
        <v>-0.52336805025493449</v>
      </c>
      <c r="BT881">
        <f t="shared" si="306"/>
        <v>1.6212779445643564</v>
      </c>
      <c r="BV881">
        <f t="shared" si="307"/>
        <v>-1.703118376686952</v>
      </c>
      <c r="BX881">
        <f t="shared" si="308"/>
        <v>5.7074884653846008</v>
      </c>
      <c r="CB881">
        <f t="shared" si="309"/>
        <v>312135.54691195011</v>
      </c>
      <c r="CD881">
        <f t="shared" si="310"/>
        <v>324566.33888263459</v>
      </c>
      <c r="CF881">
        <f t="shared" si="311"/>
        <v>296240.60937447066</v>
      </c>
    </row>
    <row r="882" spans="12:84" x14ac:dyDescent="0.25">
      <c r="L882">
        <v>871</v>
      </c>
      <c r="M882">
        <f t="shared" si="323"/>
        <v>5.4726544025533572</v>
      </c>
      <c r="P882">
        <f t="shared" si="317"/>
        <v>23445.569041936516</v>
      </c>
      <c r="Q882">
        <f t="shared" si="318"/>
        <v>3876.7343490645512</v>
      </c>
      <c r="V882">
        <f t="shared" si="319"/>
        <v>-17588.101670644439</v>
      </c>
      <c r="W882">
        <f t="shared" si="320"/>
        <v>7463.7140443451863</v>
      </c>
      <c r="AB882">
        <f t="shared" si="321"/>
        <v>-1554.4309580634845</v>
      </c>
      <c r="AC882">
        <f t="shared" si="322"/>
        <v>-18623.265650935449</v>
      </c>
      <c r="AW882">
        <v>875</v>
      </c>
      <c r="AX882">
        <f t="shared" si="312"/>
        <v>437.5</v>
      </c>
      <c r="AZ882">
        <f t="shared" si="313"/>
        <v>80072.502241209047</v>
      </c>
      <c r="BB882">
        <f t="shared" si="314"/>
        <v>-299373.15758954344</v>
      </c>
      <c r="BD882">
        <f t="shared" si="315"/>
        <v>729.18552999075564</v>
      </c>
      <c r="BF882">
        <f t="shared" si="316"/>
        <v>-999.78198920158457</v>
      </c>
      <c r="BH882">
        <f t="shared" si="301"/>
        <v>-3.2499610578099261</v>
      </c>
      <c r="BJ882">
        <f t="shared" si="302"/>
        <v>12.546050867556795</v>
      </c>
      <c r="BN882" s="20">
        <f t="shared" si="303"/>
        <v>-1.027151408383727</v>
      </c>
      <c r="BP882">
        <f t="shared" si="304"/>
        <v>5.2470795164752397</v>
      </c>
      <c r="BR882">
        <f t="shared" si="305"/>
        <v>-0.52243392623613616</v>
      </c>
      <c r="BT882">
        <f t="shared" si="306"/>
        <v>1.6150993506887583</v>
      </c>
      <c r="BV882">
        <f t="shared" si="307"/>
        <v>-1.7003757231900629</v>
      </c>
      <c r="BX882">
        <f t="shared" si="308"/>
        <v>5.6838720003927978</v>
      </c>
      <c r="CB882">
        <f t="shared" si="309"/>
        <v>312697.68207407108</v>
      </c>
      <c r="CD882">
        <f t="shared" si="310"/>
        <v>325155.74167118943</v>
      </c>
      <c r="CF882">
        <f t="shared" si="311"/>
        <v>296825.57739357272</v>
      </c>
    </row>
    <row r="883" spans="12:84" x14ac:dyDescent="0.25">
      <c r="L883">
        <v>872</v>
      </c>
      <c r="M883">
        <f t="shared" si="323"/>
        <v>5.4789375878605364</v>
      </c>
      <c r="P883">
        <f t="shared" si="317"/>
        <v>23468.2665290638</v>
      </c>
      <c r="Q883">
        <f t="shared" si="318"/>
        <v>3898.4548755602473</v>
      </c>
      <c r="V883">
        <f t="shared" si="319"/>
        <v>-17572.213429655341</v>
      </c>
      <c r="W883">
        <f t="shared" si="320"/>
        <v>7478.9184128921734</v>
      </c>
      <c r="AB883">
        <f t="shared" si="321"/>
        <v>-1531.7334709362017</v>
      </c>
      <c r="AC883">
        <f t="shared" si="322"/>
        <v>-18601.545124439752</v>
      </c>
      <c r="AW883">
        <v>876</v>
      </c>
      <c r="AX883">
        <f t="shared" si="312"/>
        <v>438</v>
      </c>
      <c r="AZ883">
        <f t="shared" si="313"/>
        <v>80436.688761072204</v>
      </c>
      <c r="BB883">
        <f t="shared" si="314"/>
        <v>-299871.48032778577</v>
      </c>
      <c r="BD883">
        <f t="shared" si="315"/>
        <v>727.56054946185066</v>
      </c>
      <c r="BF883">
        <f t="shared" si="316"/>
        <v>-993.50896376780622</v>
      </c>
      <c r="BH883">
        <f t="shared" si="301"/>
        <v>-3.2470339848531165</v>
      </c>
      <c r="BJ883">
        <f t="shared" si="302"/>
        <v>12.497039298903719</v>
      </c>
      <c r="BN883" s="20">
        <f t="shared" si="303"/>
        <v>-1.0278606974185833</v>
      </c>
      <c r="BP883">
        <f t="shared" si="304"/>
        <v>5.2275376201582509</v>
      </c>
      <c r="BR883">
        <f t="shared" si="305"/>
        <v>-0.52151045030043863</v>
      </c>
      <c r="BT883">
        <f t="shared" si="306"/>
        <v>1.6089858918531108</v>
      </c>
      <c r="BV883">
        <f t="shared" si="307"/>
        <v>-1.6976628371340943</v>
      </c>
      <c r="BX883">
        <f t="shared" si="308"/>
        <v>5.6605157868923577</v>
      </c>
      <c r="CB883">
        <f t="shared" si="309"/>
        <v>313256.79604327359</v>
      </c>
      <c r="CD883">
        <f t="shared" si="310"/>
        <v>325742.01873541245</v>
      </c>
      <c r="CF883">
        <f t="shared" si="311"/>
        <v>297407.44457830972</v>
      </c>
    </row>
    <row r="884" spans="12:84" x14ac:dyDescent="0.25">
      <c r="L884">
        <v>873</v>
      </c>
      <c r="M884">
        <f t="shared" si="323"/>
        <v>5.4852207731677156</v>
      </c>
      <c r="P884">
        <f t="shared" si="317"/>
        <v>23490.827094967135</v>
      </c>
      <c r="Q884">
        <f t="shared" si="318"/>
        <v>3920.317584890623</v>
      </c>
      <c r="V884">
        <f t="shared" si="319"/>
        <v>-17556.421033523005</v>
      </c>
      <c r="W884">
        <f t="shared" si="320"/>
        <v>7494.2223094234359</v>
      </c>
      <c r="AB884">
        <f t="shared" si="321"/>
        <v>-1509.1729050328636</v>
      </c>
      <c r="AC884">
        <f t="shared" si="322"/>
        <v>-18579.682415109375</v>
      </c>
      <c r="AW884">
        <v>877</v>
      </c>
      <c r="AX884">
        <f t="shared" si="312"/>
        <v>438.5</v>
      </c>
      <c r="AZ884">
        <f t="shared" si="313"/>
        <v>80800.063156555028</v>
      </c>
      <c r="BB884">
        <f t="shared" si="314"/>
        <v>-300366.67267975729</v>
      </c>
      <c r="BD884">
        <f t="shared" si="315"/>
        <v>725.93703246942414</v>
      </c>
      <c r="BF884">
        <f t="shared" si="316"/>
        <v>-987.26044411835437</v>
      </c>
      <c r="BH884">
        <f t="shared" si="301"/>
        <v>-3.2441357719929145</v>
      </c>
      <c r="BJ884">
        <f t="shared" si="302"/>
        <v>12.448554022590287</v>
      </c>
      <c r="BN884" s="20">
        <f t="shared" si="303"/>
        <v>-1.0285587608522544</v>
      </c>
      <c r="BP884">
        <f t="shared" si="304"/>
        <v>5.2082012241307662</v>
      </c>
      <c r="BR884">
        <f t="shared" si="305"/>
        <v>-0.52059751655583753</v>
      </c>
      <c r="BT884">
        <f t="shared" si="306"/>
        <v>1.6029366843533854</v>
      </c>
      <c r="BV884">
        <f t="shared" si="307"/>
        <v>-1.6949794945848224</v>
      </c>
      <c r="BX884">
        <f t="shared" si="308"/>
        <v>5.6374161141061361</v>
      </c>
      <c r="CB884">
        <f t="shared" si="309"/>
        <v>313812.89939507889</v>
      </c>
      <c r="CD884">
        <f t="shared" si="310"/>
        <v>326325.18174769945</v>
      </c>
      <c r="CF884">
        <f t="shared" si="311"/>
        <v>297986.22235597501</v>
      </c>
    </row>
    <row r="885" spans="12:84" x14ac:dyDescent="0.25">
      <c r="L885">
        <v>874</v>
      </c>
      <c r="M885">
        <f t="shared" si="323"/>
        <v>5.4915039584748948</v>
      </c>
      <c r="P885">
        <f t="shared" si="317"/>
        <v>23513.249848994019</v>
      </c>
      <c r="Q885">
        <f t="shared" si="318"/>
        <v>3942.3216139533488</v>
      </c>
      <c r="V885">
        <f t="shared" si="319"/>
        <v>-17540.725105704187</v>
      </c>
      <c r="W885">
        <f t="shared" si="320"/>
        <v>7509.6251297673443</v>
      </c>
      <c r="AB885">
        <f t="shared" si="321"/>
        <v>-1486.750151005981</v>
      </c>
      <c r="AC885">
        <f t="shared" si="322"/>
        <v>-18557.678386046653</v>
      </c>
      <c r="AW885">
        <v>878</v>
      </c>
      <c r="AX885">
        <f t="shared" si="312"/>
        <v>439</v>
      </c>
      <c r="AZ885">
        <f t="shared" si="313"/>
        <v>81162.626155818245</v>
      </c>
      <c r="BB885">
        <f t="shared" si="314"/>
        <v>-300858.74683256366</v>
      </c>
      <c r="BD885">
        <f t="shared" si="315"/>
        <v>724.3149645834277</v>
      </c>
      <c r="BF885">
        <f t="shared" si="316"/>
        <v>-981.03616710705921</v>
      </c>
      <c r="BH885">
        <f t="shared" si="301"/>
        <v>-3.2412664795959873</v>
      </c>
      <c r="BJ885">
        <f t="shared" si="302"/>
        <v>12.400587807723305</v>
      </c>
      <c r="BN885" s="20">
        <f t="shared" si="303"/>
        <v>-1.0292459846306257</v>
      </c>
      <c r="BP885">
        <f t="shared" si="304"/>
        <v>5.1890676046936957</v>
      </c>
      <c r="BR885">
        <f t="shared" si="305"/>
        <v>-0.51969502083973007</v>
      </c>
      <c r="BT885">
        <f t="shared" si="306"/>
        <v>1.59695086073119</v>
      </c>
      <c r="BV885">
        <f t="shared" si="307"/>
        <v>-1.6923254741256315</v>
      </c>
      <c r="BX885">
        <f t="shared" si="308"/>
        <v>5.6145693422984202</v>
      </c>
      <c r="CB885">
        <f t="shared" si="309"/>
        <v>314366.00259319623</v>
      </c>
      <c r="CD885">
        <f t="shared" si="310"/>
        <v>326905.24225385825</v>
      </c>
      <c r="CF885">
        <f t="shared" si="311"/>
        <v>298561.92203084275</v>
      </c>
    </row>
    <row r="886" spans="12:84" x14ac:dyDescent="0.25">
      <c r="L886">
        <v>875</v>
      </c>
      <c r="M886">
        <f t="shared" si="323"/>
        <v>5.497787143782074</v>
      </c>
      <c r="P886">
        <f t="shared" si="317"/>
        <v>23535.533905932512</v>
      </c>
      <c r="Q886">
        <f t="shared" si="318"/>
        <v>3964.4660940670356</v>
      </c>
      <c r="V886">
        <f t="shared" si="319"/>
        <v>-17525.126265847241</v>
      </c>
      <c r="W886">
        <f t="shared" si="320"/>
        <v>7525.126265846925</v>
      </c>
      <c r="AB886">
        <f t="shared" si="321"/>
        <v>-1464.4660940674894</v>
      </c>
      <c r="AC886">
        <f t="shared" si="322"/>
        <v>-18535.533905932964</v>
      </c>
      <c r="AW886">
        <v>879</v>
      </c>
      <c r="AX886">
        <f t="shared" si="312"/>
        <v>439.5</v>
      </c>
      <c r="AZ886">
        <f t="shared" si="313"/>
        <v>81524.378479800012</v>
      </c>
      <c r="BB886">
        <f t="shared" si="314"/>
        <v>-301347.7148426412</v>
      </c>
      <c r="BD886">
        <f t="shared" si="315"/>
        <v>722.69433134362976</v>
      </c>
      <c r="BF886">
        <f t="shared" si="316"/>
        <v>-974.83587320319759</v>
      </c>
      <c r="BH886">
        <f t="shared" si="301"/>
        <v>-3.2384261629127664</v>
      </c>
      <c r="BJ886">
        <f t="shared" si="302"/>
        <v>12.353133557781913</v>
      </c>
      <c r="BN886" s="20">
        <f t="shared" si="303"/>
        <v>-1.0299227453808015</v>
      </c>
      <c r="BP886">
        <f t="shared" si="304"/>
        <v>5.1701340872505783</v>
      </c>
      <c r="BR886">
        <f t="shared" si="305"/>
        <v>-0.51880286068647963</v>
      </c>
      <c r="BT886">
        <f t="shared" si="306"/>
        <v>1.5910275694098368</v>
      </c>
      <c r="BV886">
        <f t="shared" si="307"/>
        <v>-1.6897005568454855</v>
      </c>
      <c r="BX886">
        <f t="shared" si="308"/>
        <v>5.5919719011214966</v>
      </c>
      <c r="CB886">
        <f t="shared" si="309"/>
        <v>314916.11599098431</v>
      </c>
      <c r="CD886">
        <f t="shared" si="310"/>
        <v>327482.21167483937</v>
      </c>
      <c r="CF886">
        <f t="shared" si="311"/>
        <v>299134.55478583253</v>
      </c>
    </row>
    <row r="887" spans="12:84" x14ac:dyDescent="0.25">
      <c r="L887">
        <v>876</v>
      </c>
      <c r="M887">
        <f t="shared" si="323"/>
        <v>5.5040703290892532</v>
      </c>
      <c r="P887">
        <f t="shared" si="317"/>
        <v>23557.678386046198</v>
      </c>
      <c r="Q887">
        <f t="shared" si="318"/>
        <v>3986.750151005524</v>
      </c>
      <c r="V887">
        <f t="shared" si="319"/>
        <v>-17509.625129767661</v>
      </c>
      <c r="W887">
        <f t="shared" si="320"/>
        <v>7540.7251057038666</v>
      </c>
      <c r="AB887">
        <f t="shared" si="321"/>
        <v>-1442.3216139538004</v>
      </c>
      <c r="AC887">
        <f t="shared" si="322"/>
        <v>-18513.249848994477</v>
      </c>
      <c r="AW887">
        <v>880</v>
      </c>
      <c r="AX887">
        <f t="shared" si="312"/>
        <v>440</v>
      </c>
      <c r="AZ887">
        <f t="shared" si="313"/>
        <v>81885.320842201472</v>
      </c>
      <c r="BB887">
        <f t="shared" si="314"/>
        <v>-301833.58863754809</v>
      </c>
      <c r="BD887">
        <f t="shared" si="315"/>
        <v>721.07511826217342</v>
      </c>
      <c r="BF887">
        <f t="shared" si="316"/>
        <v>-968.65930642430669</v>
      </c>
      <c r="BH887">
        <f t="shared" si="301"/>
        <v>-3.2356148722946663</v>
      </c>
      <c r="BJ887">
        <f t="shared" si="302"/>
        <v>12.306184307582988</v>
      </c>
      <c r="BN887" s="20">
        <f t="shared" si="303"/>
        <v>-1.0305894106728131</v>
      </c>
      <c r="BP887">
        <f t="shared" si="304"/>
        <v>5.1513980452353163</v>
      </c>
      <c r="BR887">
        <f t="shared" si="305"/>
        <v>-0.51792093529577743</v>
      </c>
      <c r="BT887">
        <f t="shared" si="306"/>
        <v>1.5851659743402535</v>
      </c>
      <c r="BV887">
        <f t="shared" si="307"/>
        <v>-1.6871045263260758</v>
      </c>
      <c r="BX887">
        <f t="shared" si="308"/>
        <v>5.5696202880074175</v>
      </c>
      <c r="CB887">
        <f t="shared" si="309"/>
        <v>315463.24983288627</v>
      </c>
      <c r="CD887">
        <f t="shared" si="310"/>
        <v>328056.10130843456</v>
      </c>
      <c r="CF887">
        <f t="shared" si="311"/>
        <v>299704.13168414356</v>
      </c>
    </row>
    <row r="888" spans="12:84" x14ac:dyDescent="0.25">
      <c r="L888">
        <v>877</v>
      </c>
      <c r="M888">
        <f t="shared" si="323"/>
        <v>5.5103535143964324</v>
      </c>
      <c r="P888">
        <f t="shared" si="317"/>
        <v>23579.682415108928</v>
      </c>
      <c r="Q888">
        <f t="shared" si="318"/>
        <v>4009.1729050324043</v>
      </c>
      <c r="V888">
        <f t="shared" si="319"/>
        <v>-17494.222309423749</v>
      </c>
      <c r="W888">
        <f t="shared" si="320"/>
        <v>7556.4210335226835</v>
      </c>
      <c r="AB888">
        <f t="shared" si="321"/>
        <v>-1420.317584891071</v>
      </c>
      <c r="AC888">
        <f t="shared" si="322"/>
        <v>-18490.827094967597</v>
      </c>
      <c r="AW888">
        <v>881</v>
      </c>
      <c r="AX888">
        <f t="shared" si="312"/>
        <v>440.5</v>
      </c>
      <c r="AZ888">
        <f t="shared" si="313"/>
        <v>82245.453949473522</v>
      </c>
      <c r="BB888">
        <f t="shared" si="314"/>
        <v>-302316.38001772179</v>
      </c>
      <c r="BD888">
        <f t="shared" si="315"/>
        <v>719.45731082602606</v>
      </c>
      <c r="BF888">
        <f t="shared" si="316"/>
        <v>-962.50621427051522</v>
      </c>
      <c r="BH888">
        <f t="shared" si="301"/>
        <v>-3.2328326534034622</v>
      </c>
      <c r="BJ888">
        <f t="shared" si="302"/>
        <v>12.259733220328595</v>
      </c>
      <c r="BN888" s="20">
        <f t="shared" si="303"/>
        <v>-1.0312463392732276</v>
      </c>
      <c r="BP888">
        <f t="shared" si="304"/>
        <v>5.1328568990677441</v>
      </c>
      <c r="BR888">
        <f t="shared" si="305"/>
        <v>-0.51704914550173486</v>
      </c>
      <c r="BT888">
        <f t="shared" si="306"/>
        <v>1.5793652546562893</v>
      </c>
      <c r="BV888">
        <f t="shared" si="307"/>
        <v>-1.6845371686284996</v>
      </c>
      <c r="BX888">
        <f t="shared" si="308"/>
        <v>5.5475110666045619</v>
      </c>
      <c r="CB888">
        <f t="shared" si="309"/>
        <v>316007.41425583896</v>
      </c>
      <c r="CD888">
        <f t="shared" si="310"/>
        <v>328626.9223309434</v>
      </c>
      <c r="CF888">
        <f t="shared" si="311"/>
        <v>300270.66367085814</v>
      </c>
    </row>
    <row r="889" spans="12:84" x14ac:dyDescent="0.25">
      <c r="L889">
        <v>878</v>
      </c>
      <c r="M889">
        <f t="shared" si="323"/>
        <v>5.5166366997036116</v>
      </c>
      <c r="P889">
        <f t="shared" si="317"/>
        <v>23601.545124439308</v>
      </c>
      <c r="Q889">
        <f t="shared" si="318"/>
        <v>4031.7334709357401</v>
      </c>
      <c r="V889">
        <f t="shared" si="319"/>
        <v>-17478.918412892486</v>
      </c>
      <c r="W889">
        <f t="shared" si="320"/>
        <v>7572.2134296550175</v>
      </c>
      <c r="AB889">
        <f t="shared" si="321"/>
        <v>-1398.4548755606925</v>
      </c>
      <c r="AC889">
        <f t="shared" si="322"/>
        <v>-18468.266529064262</v>
      </c>
      <c r="AW889">
        <v>882</v>
      </c>
      <c r="AX889">
        <f t="shared" si="312"/>
        <v>441</v>
      </c>
      <c r="AZ889">
        <f t="shared" si="313"/>
        <v>82604.778500804852</v>
      </c>
      <c r="BB889">
        <f t="shared" si="314"/>
        <v>-302796.10065820452</v>
      </c>
      <c r="BD889">
        <f t="shared" si="315"/>
        <v>717.84089449932435</v>
      </c>
      <c r="BF889">
        <f t="shared" si="316"/>
        <v>-956.37634766035092</v>
      </c>
      <c r="BH889">
        <f t="shared" si="301"/>
        <v>-3.2300795474128625</v>
      </c>
      <c r="BJ889">
        <f t="shared" si="302"/>
        <v>12.213773584731953</v>
      </c>
      <c r="BN889" s="20">
        <f t="shared" si="303"/>
        <v>-1.0318938813909637</v>
      </c>
      <c r="BP889">
        <f t="shared" si="304"/>
        <v>5.1145081151362817</v>
      </c>
      <c r="BR889">
        <f t="shared" si="305"/>
        <v>-0.51618739374266476</v>
      </c>
      <c r="BT889">
        <f t="shared" si="306"/>
        <v>1.5736246043390685</v>
      </c>
      <c r="BV889">
        <f t="shared" si="307"/>
        <v>-1.6819982722792337</v>
      </c>
      <c r="BX889">
        <f t="shared" si="308"/>
        <v>5.5256408652566034</v>
      </c>
      <c r="CB889">
        <f t="shared" si="309"/>
        <v>316548.61929065723</v>
      </c>
      <c r="CD889">
        <f t="shared" si="310"/>
        <v>329194.6857988094</v>
      </c>
      <c r="CF889">
        <f t="shared" si="311"/>
        <v>300834.16157451679</v>
      </c>
    </row>
    <row r="890" spans="12:84" x14ac:dyDescent="0.25">
      <c r="L890">
        <v>879</v>
      </c>
      <c r="M890">
        <f t="shared" si="323"/>
        <v>5.5229198850107908</v>
      </c>
      <c r="P890">
        <f t="shared" si="317"/>
        <v>23623.265650935005</v>
      </c>
      <c r="Q890">
        <f t="shared" si="318"/>
        <v>4054.4309580630193</v>
      </c>
      <c r="V890">
        <f t="shared" si="319"/>
        <v>-17463.714044345495</v>
      </c>
      <c r="W890">
        <f t="shared" si="320"/>
        <v>7588.1016706441133</v>
      </c>
      <c r="AB890">
        <f t="shared" si="321"/>
        <v>-1376.7343490649932</v>
      </c>
      <c r="AC890">
        <f t="shared" si="322"/>
        <v>-18445.569041936982</v>
      </c>
      <c r="AW890">
        <v>883</v>
      </c>
      <c r="AX890">
        <f t="shared" si="312"/>
        <v>441.5</v>
      </c>
      <c r="AZ890">
        <f t="shared" si="313"/>
        <v>82963.295188111093</v>
      </c>
      <c r="BB890">
        <f t="shared" si="314"/>
        <v>-303272.76211033657</v>
      </c>
      <c r="BD890">
        <f t="shared" si="315"/>
        <v>716.22585472561786</v>
      </c>
      <c r="BF890">
        <f t="shared" si="316"/>
        <v>-950.26946086798489</v>
      </c>
      <c r="BH890">
        <f t="shared" si="301"/>
        <v>-3.2273555912027305</v>
      </c>
      <c r="BJ890">
        <f t="shared" si="302"/>
        <v>12.168298812220023</v>
      </c>
      <c r="BN890" s="20">
        <f t="shared" si="303"/>
        <v>-1.0325323789155343</v>
      </c>
      <c r="BP890">
        <f t="shared" si="304"/>
        <v>5.0963492048066641</v>
      </c>
      <c r="BR890">
        <f t="shared" si="305"/>
        <v>-0.51533558403156809</v>
      </c>
      <c r="BT890">
        <f t="shared" si="306"/>
        <v>1.567943231890212</v>
      </c>
      <c r="BV890">
        <f t="shared" si="307"/>
        <v>-1.6794876282556281</v>
      </c>
      <c r="BX890">
        <f t="shared" si="308"/>
        <v>5.5040063755231481</v>
      </c>
      <c r="CB890">
        <f t="shared" si="309"/>
        <v>317086.87486339302</v>
      </c>
      <c r="CD890">
        <f t="shared" si="310"/>
        <v>329759.40265022562</v>
      </c>
      <c r="CF890">
        <f t="shared" si="311"/>
        <v>301394.63610866317</v>
      </c>
    </row>
    <row r="891" spans="12:84" x14ac:dyDescent="0.25">
      <c r="L891">
        <v>880</v>
      </c>
      <c r="M891">
        <f t="shared" si="323"/>
        <v>5.52920307031797</v>
      </c>
      <c r="P891">
        <f t="shared" si="317"/>
        <v>23644.843137106833</v>
      </c>
      <c r="Q891">
        <f t="shared" si="318"/>
        <v>4077.2644703563155</v>
      </c>
      <c r="V891">
        <f t="shared" si="319"/>
        <v>-17448.609804025218</v>
      </c>
      <c r="W891">
        <f t="shared" si="320"/>
        <v>7604.0851292494208</v>
      </c>
      <c r="AB891">
        <f t="shared" si="321"/>
        <v>-1355.1568628931686</v>
      </c>
      <c r="AC891">
        <f t="shared" si="322"/>
        <v>-18422.735529643684</v>
      </c>
      <c r="AW891">
        <v>884</v>
      </c>
      <c r="AX891">
        <f t="shared" si="312"/>
        <v>442</v>
      </c>
      <c r="AZ891">
        <f t="shared" si="313"/>
        <v>83321.004696024989</v>
      </c>
      <c r="BB891">
        <f t="shared" si="314"/>
        <v>-303746.37580341904</v>
      </c>
      <c r="BD891">
        <f t="shared" si="315"/>
        <v>714.61217693001652</v>
      </c>
      <c r="BF891">
        <f t="shared" si="316"/>
        <v>-944.1853114618749</v>
      </c>
      <c r="BH891">
        <f t="shared" si="301"/>
        <v>-3.2246608175461811</v>
      </c>
      <c r="BJ891">
        <f t="shared" si="302"/>
        <v>12.123302434210236</v>
      </c>
      <c r="BN891" s="20">
        <f t="shared" si="303"/>
        <v>-1.0331621656480252</v>
      </c>
      <c r="BP891">
        <f t="shared" si="304"/>
        <v>5.078377723456212</v>
      </c>
      <c r="BR891">
        <f t="shared" si="305"/>
        <v>-0.51449362192731185</v>
      </c>
      <c r="BT891">
        <f t="shared" si="306"/>
        <v>1.562320360013677</v>
      </c>
      <c r="BV891">
        <f t="shared" si="307"/>
        <v>-1.6770050299708437</v>
      </c>
      <c r="BX891">
        <f t="shared" si="308"/>
        <v>5.4826043507403472</v>
      </c>
      <c r="CB891">
        <f t="shared" si="309"/>
        <v>317622.19079667149</v>
      </c>
      <c r="CD891">
        <f t="shared" si="310"/>
        <v>330321.08370671142</v>
      </c>
      <c r="CF891">
        <f t="shared" si="311"/>
        <v>301952.09787336231</v>
      </c>
    </row>
    <row r="892" spans="12:84" x14ac:dyDescent="0.25">
      <c r="L892">
        <v>881</v>
      </c>
      <c r="M892">
        <f t="shared" si="323"/>
        <v>5.5354862556251492</v>
      </c>
      <c r="P892">
        <f t="shared" si="317"/>
        <v>23666.276731112575</v>
      </c>
      <c r="Q892">
        <f t="shared" si="318"/>
        <v>4100.23310638766</v>
      </c>
      <c r="V892">
        <f t="shared" si="319"/>
        <v>-17433.606288221199</v>
      </c>
      <c r="W892">
        <f t="shared" si="320"/>
        <v>7620.1631744713623</v>
      </c>
      <c r="AB892">
        <f t="shared" si="321"/>
        <v>-1333.723268887426</v>
      </c>
      <c r="AC892">
        <f t="shared" si="322"/>
        <v>-18399.766893612341</v>
      </c>
      <c r="AW892">
        <v>885</v>
      </c>
      <c r="AX892">
        <f t="shared" si="312"/>
        <v>442.5</v>
      </c>
      <c r="AZ892">
        <f t="shared" si="313"/>
        <v>83677.907701887802</v>
      </c>
      <c r="BB892">
        <f t="shared" si="314"/>
        <v>-304216.95304634573</v>
      </c>
      <c r="BD892">
        <f t="shared" si="315"/>
        <v>712.9998465212434</v>
      </c>
      <c r="BF892">
        <f t="shared" si="316"/>
        <v>-938.12366024476978</v>
      </c>
      <c r="BH892">
        <f t="shared" si="301"/>
        <v>-3.2219952552898965</v>
      </c>
      <c r="BJ892">
        <f t="shared" si="302"/>
        <v>12.078778099459264</v>
      </c>
      <c r="BN892" s="20">
        <f t="shared" si="303"/>
        <v>-1.0337835675250371</v>
      </c>
      <c r="BP892">
        <f t="shared" si="304"/>
        <v>5.0605912695327522</v>
      </c>
      <c r="BR892">
        <f t="shared" si="305"/>
        <v>-0.51366141450644454</v>
      </c>
      <c r="BT892">
        <f t="shared" si="306"/>
        <v>1.5567552253058456</v>
      </c>
      <c r="BV892">
        <f t="shared" si="307"/>
        <v>-1.674550273258415</v>
      </c>
      <c r="BX892">
        <f t="shared" si="308"/>
        <v>5.4614316046206666</v>
      </c>
      <c r="CB892">
        <f t="shared" si="309"/>
        <v>318154.57681100216</v>
      </c>
      <c r="CD892">
        <f t="shared" si="310"/>
        <v>330879.73967465974</v>
      </c>
      <c r="CF892">
        <f t="shared" si="311"/>
        <v>302506.55735669052</v>
      </c>
    </row>
    <row r="893" spans="12:84" x14ac:dyDescent="0.25">
      <c r="L893">
        <v>882</v>
      </c>
      <c r="M893">
        <f t="shared" si="323"/>
        <v>5.5417694409323284</v>
      </c>
      <c r="P893">
        <f t="shared" si="317"/>
        <v>23687.565586790643</v>
      </c>
      <c r="Q893">
        <f t="shared" si="318"/>
        <v>4123.3359593946316</v>
      </c>
      <c r="V893">
        <f t="shared" si="319"/>
        <v>-17418.704089246548</v>
      </c>
      <c r="W893">
        <f t="shared" si="320"/>
        <v>7636.3351715762419</v>
      </c>
      <c r="AB893">
        <f t="shared" si="321"/>
        <v>-1312.4344132093561</v>
      </c>
      <c r="AC893">
        <f t="shared" si="322"/>
        <v>-18376.66404060537</v>
      </c>
      <c r="AW893">
        <v>886</v>
      </c>
      <c r="AX893">
        <f t="shared" si="312"/>
        <v>443</v>
      </c>
      <c r="AZ893">
        <f t="shared" si="313"/>
        <v>84034.004875741506</v>
      </c>
      <c r="BB893">
        <f t="shared" si="314"/>
        <v>-304684.5050292057</v>
      </c>
      <c r="BD893">
        <f t="shared" si="315"/>
        <v>711.38884889359849</v>
      </c>
      <c r="BF893">
        <f t="shared" si="316"/>
        <v>-932.08427119504017</v>
      </c>
      <c r="BH893">
        <f t="shared" si="301"/>
        <v>-3.2193589295278802</v>
      </c>
      <c r="BJ893">
        <f t="shared" si="302"/>
        <v>12.034719571481579</v>
      </c>
      <c r="BN893" s="20">
        <f t="shared" si="303"/>
        <v>-1.0343969028358655</v>
      </c>
      <c r="BP893">
        <f t="shared" si="304"/>
        <v>5.0429874836376714</v>
      </c>
      <c r="BR893">
        <f t="shared" si="305"/>
        <v>-0.51283887033564568</v>
      </c>
      <c r="BT893">
        <f t="shared" si="306"/>
        <v>1.5512470779536487</v>
      </c>
      <c r="BV893">
        <f t="shared" si="307"/>
        <v>-1.6721231563563692</v>
      </c>
      <c r="BX893">
        <f t="shared" si="308"/>
        <v>5.4404850098902591</v>
      </c>
      <c r="CB893">
        <f t="shared" si="309"/>
        <v>318684.04252606787</v>
      </c>
      <c r="CD893">
        <f t="shared" si="310"/>
        <v>331435.38114685641</v>
      </c>
      <c r="CF893">
        <f t="shared" si="311"/>
        <v>303058.02493619843</v>
      </c>
    </row>
    <row r="894" spans="12:84" x14ac:dyDescent="0.25">
      <c r="L894">
        <v>883</v>
      </c>
      <c r="M894">
        <f t="shared" si="323"/>
        <v>5.5480526262395076</v>
      </c>
      <c r="P894">
        <f t="shared" si="317"/>
        <v>23708.708863693471</v>
      </c>
      <c r="Q894">
        <f t="shared" si="318"/>
        <v>4146.5721173161501</v>
      </c>
      <c r="V894">
        <f t="shared" si="319"/>
        <v>-17403.903795414572</v>
      </c>
      <c r="W894">
        <f t="shared" si="320"/>
        <v>7652.6004821213046</v>
      </c>
      <c r="AB894">
        <f t="shared" si="321"/>
        <v>-1291.2911363065296</v>
      </c>
      <c r="AC894">
        <f t="shared" si="322"/>
        <v>-18353.427882683849</v>
      </c>
      <c r="AW894">
        <v>887</v>
      </c>
      <c r="AX894">
        <f t="shared" si="312"/>
        <v>443.5</v>
      </c>
      <c r="AZ894">
        <f t="shared" si="313"/>
        <v>84389.296880322116</v>
      </c>
      <c r="BB894">
        <f t="shared" si="314"/>
        <v>-305149.04282485676</v>
      </c>
      <c r="BD894">
        <f t="shared" si="315"/>
        <v>709.77916942883451</v>
      </c>
      <c r="BF894">
        <f t="shared" si="316"/>
        <v>-926.06691140929934</v>
      </c>
      <c r="BH894">
        <f t="shared" si="301"/>
        <v>-3.2167518617687865</v>
      </c>
      <c r="BJ894">
        <f t="shared" si="302"/>
        <v>11.991120726035145</v>
      </c>
      <c r="BN894" s="20">
        <f t="shared" si="303"/>
        <v>-1.0350024824330322</v>
      </c>
      <c r="BP894">
        <f t="shared" si="304"/>
        <v>5.0255640476318142</v>
      </c>
      <c r="BR894">
        <f t="shared" si="305"/>
        <v>-0.51202589944483656</v>
      </c>
      <c r="BT894">
        <f t="shared" si="306"/>
        <v>1.545795181440623</v>
      </c>
      <c r="BV894">
        <f t="shared" si="307"/>
        <v>-1.6697234798909175</v>
      </c>
      <c r="BX894">
        <f t="shared" si="308"/>
        <v>5.4197614969627095</v>
      </c>
      <c r="CB894">
        <f t="shared" si="309"/>
        <v>319210.59746199119</v>
      </c>
      <c r="CD894">
        <f t="shared" si="310"/>
        <v>331988.01860397228</v>
      </c>
      <c r="CF894">
        <f t="shared" si="311"/>
        <v>303606.5108803481</v>
      </c>
    </row>
    <row r="895" spans="12:84" x14ac:dyDescent="0.25">
      <c r="L895">
        <v>884</v>
      </c>
      <c r="M895">
        <f t="shared" si="323"/>
        <v>5.5543358115466868</v>
      </c>
      <c r="P895">
        <f t="shared" si="317"/>
        <v>23729.705727120687</v>
      </c>
      <c r="Q895">
        <f t="shared" si="318"/>
        <v>4169.9406628284896</v>
      </c>
      <c r="V895">
        <f t="shared" si="319"/>
        <v>-17389.205991015522</v>
      </c>
      <c r="W895">
        <f t="shared" si="320"/>
        <v>7668.9584639799432</v>
      </c>
      <c r="AB895">
        <f t="shared" si="321"/>
        <v>-1270.294272879315</v>
      </c>
      <c r="AC895">
        <f t="shared" si="322"/>
        <v>-18330.059337171511</v>
      </c>
      <c r="AW895">
        <v>888</v>
      </c>
      <c r="AX895">
        <f t="shared" si="312"/>
        <v>444</v>
      </c>
      <c r="AZ895">
        <f t="shared" si="313"/>
        <v>84743.784371053815</v>
      </c>
      <c r="BB895">
        <f t="shared" si="314"/>
        <v>-305610.57739047066</v>
      </c>
      <c r="BD895">
        <f t="shared" si="315"/>
        <v>708.17079349795006</v>
      </c>
      <c r="BF895">
        <f t="shared" si="316"/>
        <v>-920.07135104628173</v>
      </c>
      <c r="BH895">
        <f t="shared" si="301"/>
        <v>-3.2141740700973109</v>
      </c>
      <c r="BJ895">
        <f t="shared" si="302"/>
        <v>11.947975548673277</v>
      </c>
      <c r="BN895" s="20">
        <f t="shared" si="303"/>
        <v>-1.0356006099365775</v>
      </c>
      <c r="BP895">
        <f t="shared" si="304"/>
        <v>5.008318683764446</v>
      </c>
      <c r="BR895">
        <f t="shared" si="305"/>
        <v>-0.51122241330085016</v>
      </c>
      <c r="BT895">
        <f t="shared" si="306"/>
        <v>1.540398812260404</v>
      </c>
      <c r="BV895">
        <f t="shared" si="307"/>
        <v>-1.6673510468598833</v>
      </c>
      <c r="BX895">
        <f t="shared" si="308"/>
        <v>5.3992580526484275</v>
      </c>
      <c r="CB895">
        <f t="shared" si="309"/>
        <v>319734.25104057812</v>
      </c>
      <c r="CD895">
        <f t="shared" si="310"/>
        <v>332537.6624160278</v>
      </c>
      <c r="CF895">
        <f t="shared" si="311"/>
        <v>304152.02534992422</v>
      </c>
    </row>
    <row r="896" spans="12:84" x14ac:dyDescent="0.25">
      <c r="L896">
        <v>885</v>
      </c>
      <c r="M896">
        <f t="shared" si="323"/>
        <v>5.560618996853866</v>
      </c>
      <c r="P896">
        <f t="shared" si="317"/>
        <v>23750.555348152073</v>
      </c>
      <c r="Q896">
        <f t="shared" si="318"/>
        <v>4193.4406733814849</v>
      </c>
      <c r="V896">
        <f t="shared" si="319"/>
        <v>-17374.611256293549</v>
      </c>
      <c r="W896">
        <f t="shared" si="320"/>
        <v>7685.40847136704</v>
      </c>
      <c r="AB896">
        <f t="shared" si="321"/>
        <v>-1249.4446518479276</v>
      </c>
      <c r="AC896">
        <f t="shared" si="322"/>
        <v>-18306.559326618513</v>
      </c>
      <c r="AW896">
        <v>889</v>
      </c>
      <c r="AX896">
        <f t="shared" si="312"/>
        <v>444.5</v>
      </c>
      <c r="AZ896">
        <f t="shared" si="313"/>
        <v>85097.467996044041</v>
      </c>
      <c r="BB896">
        <f t="shared" si="314"/>
        <v>-306069.11956905026</v>
      </c>
      <c r="BD896">
        <f t="shared" si="315"/>
        <v>706.56370646290145</v>
      </c>
      <c r="BF896">
        <f t="shared" si="316"/>
        <v>-914.09736327194514</v>
      </c>
      <c r="BH896">
        <f t="shared" si="301"/>
        <v>-3.2116255693296449</v>
      </c>
      <c r="BJ896">
        <f t="shared" si="302"/>
        <v>11.905278132359644</v>
      </c>
      <c r="BN896" s="20">
        <f t="shared" si="303"/>
        <v>-1.036191581932151</v>
      </c>
      <c r="BP896">
        <f t="shared" si="304"/>
        <v>4.99124915382379</v>
      </c>
      <c r="BR896">
        <f t="shared" si="305"/>
        <v>-0.51042832478172406</v>
      </c>
      <c r="BT896">
        <f t="shared" si="306"/>
        <v>1.535057259637667</v>
      </c>
      <c r="BV896">
        <f t="shared" si="307"/>
        <v>-1.6650056626157699</v>
      </c>
      <c r="BX896">
        <f t="shared" si="308"/>
        <v>5.3789717188981863</v>
      </c>
      <c r="CB896">
        <f t="shared" si="309"/>
        <v>320255.01258654066</v>
      </c>
      <c r="CD896">
        <f t="shared" si="310"/>
        <v>333084.32284383196</v>
      </c>
      <c r="CF896">
        <f t="shared" si="311"/>
        <v>304694.57839941996</v>
      </c>
    </row>
    <row r="897" spans="12:84" x14ac:dyDescent="0.25">
      <c r="L897">
        <v>886</v>
      </c>
      <c r="M897">
        <f t="shared" si="323"/>
        <v>5.5669021821610452</v>
      </c>
      <c r="P897">
        <f t="shared" si="317"/>
        <v>23771.256903680296</v>
      </c>
      <c r="Q897">
        <f t="shared" si="318"/>
        <v>4217.0712212349599</v>
      </c>
      <c r="V897">
        <f t="shared" si="319"/>
        <v>-17360.120167423793</v>
      </c>
      <c r="W897">
        <f t="shared" si="320"/>
        <v>7701.9498548644715</v>
      </c>
      <c r="AB897">
        <f t="shared" si="321"/>
        <v>-1228.7430963197053</v>
      </c>
      <c r="AC897">
        <f t="shared" si="322"/>
        <v>-18282.928778765039</v>
      </c>
      <c r="AW897">
        <v>890</v>
      </c>
      <c r="AX897">
        <f t="shared" si="312"/>
        <v>445</v>
      </c>
      <c r="AZ897">
        <f t="shared" si="313"/>
        <v>85450.348396079324</v>
      </c>
      <c r="BB897">
        <f t="shared" si="314"/>
        <v>-306524.68009091972</v>
      </c>
      <c r="BD897">
        <f t="shared" si="315"/>
        <v>704.95789367823659</v>
      </c>
      <c r="BF897">
        <f t="shared" si="316"/>
        <v>-908.14472420576533</v>
      </c>
      <c r="BH897">
        <f t="shared" si="301"/>
        <v>-3.2091063711633856</v>
      </c>
      <c r="BJ897">
        <f t="shared" si="302"/>
        <v>11.863022675145324</v>
      </c>
      <c r="BN897" s="20">
        <f t="shared" si="303"/>
        <v>-1.0367756881632264</v>
      </c>
      <c r="BP897">
        <f t="shared" si="304"/>
        <v>4.9743532583090593</v>
      </c>
      <c r="BR897">
        <f t="shared" si="305"/>
        <v>-0.5096435481515641</v>
      </c>
      <c r="BT897">
        <f t="shared" si="306"/>
        <v>1.5297698252561944</v>
      </c>
      <c r="BV897">
        <f t="shared" si="307"/>
        <v>-1.662687134848595</v>
      </c>
      <c r="BX897">
        <f t="shared" si="308"/>
        <v>5.3588995915800703</v>
      </c>
      <c r="CB897">
        <f t="shared" si="309"/>
        <v>320772.89132869791</v>
      </c>
      <c r="CD897">
        <f t="shared" si="310"/>
        <v>333628.0100403945</v>
      </c>
      <c r="CF897">
        <f t="shared" si="311"/>
        <v>305234.17997839826</v>
      </c>
    </row>
    <row r="898" spans="12:84" x14ac:dyDescent="0.25">
      <c r="L898">
        <v>887</v>
      </c>
      <c r="M898">
        <f t="shared" si="323"/>
        <v>5.5731853674682243</v>
      </c>
      <c r="P898">
        <f t="shared" si="317"/>
        <v>23791.809576443386</v>
      </c>
      <c r="Q898">
        <f t="shared" si="318"/>
        <v>4240.8313734953445</v>
      </c>
      <c r="V898">
        <f t="shared" si="319"/>
        <v>-17345.73329648963</v>
      </c>
      <c r="W898">
        <f t="shared" si="320"/>
        <v>7718.5819614467418</v>
      </c>
      <c r="AB898">
        <f t="shared" si="321"/>
        <v>-1208.1904235566153</v>
      </c>
      <c r="AC898">
        <f t="shared" si="322"/>
        <v>-18259.168626504656</v>
      </c>
      <c r="AW898">
        <v>891</v>
      </c>
      <c r="AX898">
        <f t="shared" si="312"/>
        <v>445.5</v>
      </c>
      <c r="AZ898">
        <f t="shared" si="313"/>
        <v>85802.426204622054</v>
      </c>
      <c r="BB898">
        <f t="shared" si="314"/>
        <v>-306977.26957518817</v>
      </c>
      <c r="BD898">
        <f t="shared" si="315"/>
        <v>703.35334049265487</v>
      </c>
      <c r="BF898">
        <f t="shared" si="316"/>
        <v>-902.21321286819261</v>
      </c>
      <c r="BH898">
        <f t="shared" si="301"/>
        <v>-3.20661648432195</v>
      </c>
      <c r="BJ898">
        <f t="shared" si="302"/>
        <v>11.821203477905387</v>
      </c>
      <c r="BN898" s="20">
        <f t="shared" si="303"/>
        <v>-1.0373532117175721</v>
      </c>
      <c r="BP898">
        <f t="shared" si="304"/>
        <v>4.9576288356230815</v>
      </c>
      <c r="BR898">
        <f t="shared" si="305"/>
        <v>-0.50886799903598368</v>
      </c>
      <c r="BT898">
        <f t="shared" si="306"/>
        <v>1.524535822993907</v>
      </c>
      <c r="BV898">
        <f t="shared" si="307"/>
        <v>-1.660395273568394</v>
      </c>
      <c r="BX898">
        <f t="shared" si="308"/>
        <v>5.3390388192883984</v>
      </c>
      <c r="CB898">
        <f t="shared" si="309"/>
        <v>321287.89640115655</v>
      </c>
      <c r="CD898">
        <f t="shared" si="310"/>
        <v>334168.73405231378</v>
      </c>
      <c r="CF898">
        <f t="shared" si="311"/>
        <v>305770.83993282932</v>
      </c>
    </row>
    <row r="899" spans="12:84" x14ac:dyDescent="0.25">
      <c r="L899">
        <v>888</v>
      </c>
      <c r="M899">
        <f t="shared" si="323"/>
        <v>5.5794685527754035</v>
      </c>
      <c r="P899">
        <f t="shared" si="317"/>
        <v>23812.212555057016</v>
      </c>
      <c r="Q899">
        <f t="shared" si="318"/>
        <v>4264.7201921525148</v>
      </c>
      <c r="V899">
        <f t="shared" si="319"/>
        <v>-17331.451211460088</v>
      </c>
      <c r="W899">
        <f t="shared" si="320"/>
        <v>7735.3041345067604</v>
      </c>
      <c r="AB899">
        <f t="shared" si="321"/>
        <v>-1187.7874449429846</v>
      </c>
      <c r="AC899">
        <f t="shared" si="322"/>
        <v>-18235.279807847484</v>
      </c>
      <c r="AW899">
        <v>892</v>
      </c>
      <c r="AX899">
        <f t="shared" si="312"/>
        <v>446</v>
      </c>
      <c r="AZ899">
        <f t="shared" si="313"/>
        <v>86153.702047807834</v>
      </c>
      <c r="BB899">
        <f t="shared" si="314"/>
        <v>-307426.89853118756</v>
      </c>
      <c r="BD899">
        <f t="shared" si="315"/>
        <v>701.75003225049386</v>
      </c>
      <c r="BF899">
        <f t="shared" si="316"/>
        <v>-896.30261112923995</v>
      </c>
      <c r="BH899">
        <f t="shared" si="301"/>
        <v>-3.2041559146937866</v>
      </c>
      <c r="BJ899">
        <f t="shared" si="302"/>
        <v>11.779814942133511</v>
      </c>
      <c r="BN899" s="20">
        <f t="shared" si="303"/>
        <v>-1.0379244292081564</v>
      </c>
      <c r="BP899">
        <f t="shared" si="304"/>
        <v>4.9410737612848301</v>
      </c>
      <c r="BR899">
        <f t="shared" si="305"/>
        <v>-0.50810159439802682</v>
      </c>
      <c r="BT899">
        <f t="shared" si="306"/>
        <v>1.5193545786644351</v>
      </c>
      <c r="BV899">
        <f t="shared" si="307"/>
        <v>-1.6581298910876032</v>
      </c>
      <c r="BX899">
        <f t="shared" si="308"/>
        <v>5.3193866021842453</v>
      </c>
      <c r="CB899">
        <f t="shared" si="309"/>
        <v>321800.03684447124</v>
      </c>
      <c r="CD899">
        <f t="shared" si="310"/>
        <v>334706.50482113968</v>
      </c>
      <c r="CF899">
        <f t="shared" si="311"/>
        <v>306304.56800640433</v>
      </c>
    </row>
    <row r="900" spans="12:84" x14ac:dyDescent="0.25">
      <c r="L900">
        <v>889</v>
      </c>
      <c r="M900">
        <f t="shared" si="323"/>
        <v>5.5857517380825827</v>
      </c>
      <c r="P900">
        <f t="shared" si="317"/>
        <v>23832.465034046527</v>
      </c>
      <c r="Q900">
        <f t="shared" si="318"/>
        <v>4288.7367341168119</v>
      </c>
      <c r="V900">
        <f t="shared" si="319"/>
        <v>-17317.274476167433</v>
      </c>
      <c r="W900">
        <f t="shared" si="320"/>
        <v>7752.115713881768</v>
      </c>
      <c r="AB900">
        <f t="shared" si="321"/>
        <v>-1167.5349659534745</v>
      </c>
      <c r="AC900">
        <f t="shared" si="322"/>
        <v>-18211.26326588319</v>
      </c>
      <c r="AW900">
        <v>893</v>
      </c>
      <c r="AX900">
        <f t="shared" si="312"/>
        <v>446.5</v>
      </c>
      <c r="AZ900">
        <f t="shared" si="313"/>
        <v>86504.176544443748</v>
      </c>
      <c r="BB900">
        <f t="shared" si="314"/>
        <v>-307873.5773598844</v>
      </c>
      <c r="BD900">
        <f t="shared" si="315"/>
        <v>700.147954293147</v>
      </c>
      <c r="BF900">
        <f t="shared" si="316"/>
        <v>-890.4127036581732</v>
      </c>
      <c r="BH900">
        <f t="shared" si="301"/>
        <v>-3.2017246654667488</v>
      </c>
      <c r="BJ900">
        <f t="shared" si="302"/>
        <v>11.738851567793649</v>
      </c>
      <c r="BN900" s="20">
        <f t="shared" si="303"/>
        <v>-1.0384896109488209</v>
      </c>
      <c r="BP900">
        <f t="shared" si="304"/>
        <v>4.924685947162021</v>
      </c>
      <c r="BR900">
        <f t="shared" si="305"/>
        <v>-0.5073442525147337</v>
      </c>
      <c r="BT900">
        <f t="shared" si="306"/>
        <v>1.5142254297655366</v>
      </c>
      <c r="BV900">
        <f t="shared" si="307"/>
        <v>-1.6558908020031946</v>
      </c>
      <c r="BX900">
        <f t="shared" si="308"/>
        <v>5.2999401908660904</v>
      </c>
      <c r="CB900">
        <f t="shared" si="309"/>
        <v>322309.3216067843</v>
      </c>
      <c r="CD900">
        <f t="shared" si="310"/>
        <v>335241.33218471205</v>
      </c>
      <c r="CF900">
        <f t="shared" si="311"/>
        <v>306835.3738418257</v>
      </c>
    </row>
    <row r="901" spans="12:84" x14ac:dyDescent="0.25">
      <c r="L901">
        <v>890</v>
      </c>
      <c r="M901">
        <f t="shared" si="323"/>
        <v>5.5920349233897619</v>
      </c>
      <c r="P901">
        <f t="shared" si="317"/>
        <v>23852.566213878723</v>
      </c>
      <c r="Q901">
        <f t="shared" si="318"/>
        <v>4312.8800512562811</v>
      </c>
      <c r="V901">
        <f t="shared" si="319"/>
        <v>-17303.203650284893</v>
      </c>
      <c r="W901">
        <f t="shared" si="320"/>
        <v>7769.0160358793964</v>
      </c>
      <c r="AB901">
        <f t="shared" si="321"/>
        <v>-1147.4337861212771</v>
      </c>
      <c r="AC901">
        <f t="shared" si="322"/>
        <v>-18187.119948743719</v>
      </c>
      <c r="AW901">
        <v>894</v>
      </c>
      <c r="AX901">
        <f t="shared" si="312"/>
        <v>447</v>
      </c>
      <c r="AZ901">
        <f t="shared" si="313"/>
        <v>86853.850306007138</v>
      </c>
      <c r="BB901">
        <f t="shared" si="314"/>
        <v>-308317.31635526754</v>
      </c>
      <c r="BD901">
        <f t="shared" si="315"/>
        <v>698.54709196041358</v>
      </c>
      <c r="BF901">
        <f t="shared" si="316"/>
        <v>-884.54327787427633</v>
      </c>
      <c r="BH901">
        <f t="shared" si="301"/>
        <v>-3.1993227372574209</v>
      </c>
      <c r="BJ901">
        <f t="shared" si="302"/>
        <v>11.698307951225452</v>
      </c>
      <c r="BN901" s="20">
        <f t="shared" si="303"/>
        <v>-1.0390490211246139</v>
      </c>
      <c r="BP901">
        <f t="shared" si="304"/>
        <v>4.9084633407218652</v>
      </c>
      <c r="BR901">
        <f t="shared" si="305"/>
        <v>-0.50659589295412155</v>
      </c>
      <c r="BT901">
        <f t="shared" si="306"/>
        <v>1.5091477252335443</v>
      </c>
      <c r="BV901">
        <f t="shared" si="307"/>
        <v>-1.6536778231786851</v>
      </c>
      <c r="BX901">
        <f t="shared" si="308"/>
        <v>5.280696885270042</v>
      </c>
      <c r="CB901">
        <f t="shared" si="309"/>
        <v>322815.75954494718</v>
      </c>
      <c r="CD901">
        <f t="shared" si="310"/>
        <v>335773.22587847599</v>
      </c>
      <c r="CF901">
        <f t="shared" si="311"/>
        <v>307363.26698207523</v>
      </c>
    </row>
    <row r="902" spans="12:84" x14ac:dyDescent="0.25">
      <c r="L902">
        <v>891</v>
      </c>
      <c r="M902">
        <f t="shared" si="323"/>
        <v>5.5983181086969411</v>
      </c>
      <c r="P902">
        <f t="shared" si="317"/>
        <v>23872.515300993447</v>
      </c>
      <c r="Q902">
        <f t="shared" si="318"/>
        <v>4337.1491904341046</v>
      </c>
      <c r="V902">
        <f t="shared" si="319"/>
        <v>-17289.239289304587</v>
      </c>
      <c r="W902">
        <f t="shared" si="320"/>
        <v>7786.0044333038732</v>
      </c>
      <c r="AB902">
        <f t="shared" si="321"/>
        <v>-1127.4846990065535</v>
      </c>
      <c r="AC902">
        <f t="shared" si="322"/>
        <v>-18162.850809565894</v>
      </c>
      <c r="AW902">
        <v>895</v>
      </c>
      <c r="AX902">
        <f t="shared" si="312"/>
        <v>447.5</v>
      </c>
      <c r="AZ902">
        <f t="shared" si="313"/>
        <v>87202.723936645183</v>
      </c>
      <c r="BB902">
        <f t="shared" si="314"/>
        <v>-308758.12570571073</v>
      </c>
      <c r="BD902">
        <f t="shared" si="315"/>
        <v>696.94743059178484</v>
      </c>
      <c r="BF902">
        <f t="shared" si="316"/>
        <v>-878.69412389866363</v>
      </c>
      <c r="BH902">
        <f t="shared" si="301"/>
        <v>-3.1969501282358843</v>
      </c>
      <c r="BJ902">
        <f t="shared" si="302"/>
        <v>11.658178783103226</v>
      </c>
      <c r="BN902" s="20">
        <f t="shared" si="303"/>
        <v>-1.039602917957259</v>
      </c>
      <c r="BP902">
        <f t="shared" si="304"/>
        <v>4.8924039243008641</v>
      </c>
      <c r="BR902">
        <f t="shared" si="305"/>
        <v>-0.5058564365527376</v>
      </c>
      <c r="BT902">
        <f t="shared" si="306"/>
        <v>1.5041208252041591</v>
      </c>
      <c r="BV902">
        <f t="shared" si="307"/>
        <v>-1.6514907737258875</v>
      </c>
      <c r="BX902">
        <f t="shared" si="308"/>
        <v>5.2616540335982034</v>
      </c>
      <c r="CB902">
        <f t="shared" si="309"/>
        <v>323319.35942562128</v>
      </c>
      <c r="CD902">
        <f t="shared" si="310"/>
        <v>336302.19553677348</v>
      </c>
      <c r="CF902">
        <f t="shared" si="311"/>
        <v>307888.25687166007</v>
      </c>
    </row>
    <row r="903" spans="12:84" x14ac:dyDescent="0.25">
      <c r="L903">
        <v>892</v>
      </c>
      <c r="M903">
        <f t="shared" si="323"/>
        <v>5.6046012940041203</v>
      </c>
      <c r="P903">
        <f t="shared" si="317"/>
        <v>23892.311507834893</v>
      </c>
      <c r="Q903">
        <f t="shared" si="318"/>
        <v>4361.543193546222</v>
      </c>
      <c r="V903">
        <f t="shared" si="319"/>
        <v>-17275.381944515575</v>
      </c>
      <c r="W903">
        <f t="shared" si="320"/>
        <v>7803.0802354823554</v>
      </c>
      <c r="AB903">
        <f t="shared" si="321"/>
        <v>-1107.6884921651053</v>
      </c>
      <c r="AC903">
        <f t="shared" si="322"/>
        <v>-18138.456806453778</v>
      </c>
      <c r="AW903">
        <v>896</v>
      </c>
      <c r="AX903">
        <f t="shared" si="312"/>
        <v>448</v>
      </c>
      <c r="AZ903">
        <f t="shared" si="313"/>
        <v>87550.798033175059</v>
      </c>
      <c r="BB903">
        <f t="shared" si="314"/>
        <v>-309196.01549531217</v>
      </c>
      <c r="BD903">
        <f t="shared" si="315"/>
        <v>695.34895552766693</v>
      </c>
      <c r="BF903">
        <f t="shared" si="316"/>
        <v>-872.865034507112</v>
      </c>
      <c r="BH903">
        <f t="shared" si="301"/>
        <v>-3.1946068342460805</v>
      </c>
      <c r="BJ903">
        <f t="shared" si="302"/>
        <v>11.618458846446515</v>
      </c>
      <c r="BN903" s="20">
        <f t="shared" si="303"/>
        <v>-1.0401515538657105</v>
      </c>
      <c r="BP903">
        <f t="shared" si="304"/>
        <v>4.876505714392148</v>
      </c>
      <c r="BR903">
        <f t="shared" si="305"/>
        <v>-0.50512580539367147</v>
      </c>
      <c r="BT903">
        <f t="shared" si="306"/>
        <v>1.4991441007791149</v>
      </c>
      <c r="BV903">
        <f t="shared" si="307"/>
        <v>-1.6493294749866987</v>
      </c>
      <c r="BX903">
        <f t="shared" si="308"/>
        <v>5.2428090312752511</v>
      </c>
      <c r="CB903">
        <f t="shared" si="309"/>
        <v>323820.12992636178</v>
      </c>
      <c r="CD903">
        <f t="shared" si="310"/>
        <v>336828.2506941132</v>
      </c>
      <c r="CF903">
        <f t="shared" si="311"/>
        <v>308410.35285783699</v>
      </c>
    </row>
    <row r="904" spans="12:84" x14ac:dyDescent="0.25">
      <c r="L904">
        <v>893</v>
      </c>
      <c r="M904">
        <f t="shared" si="323"/>
        <v>5.6108844793112995</v>
      </c>
      <c r="P904">
        <f t="shared" si="317"/>
        <v>23911.95405288272</v>
      </c>
      <c r="Q904">
        <f t="shared" si="318"/>
        <v>4386.061097559159</v>
      </c>
      <c r="V904">
        <f t="shared" si="319"/>
        <v>-17261.632162982096</v>
      </c>
      <c r="W904">
        <f t="shared" si="320"/>
        <v>7820.2427682914113</v>
      </c>
      <c r="AB904">
        <f t="shared" si="321"/>
        <v>-1088.0459471172808</v>
      </c>
      <c r="AC904">
        <f t="shared" si="322"/>
        <v>-18113.938902440841</v>
      </c>
      <c r="AW904">
        <v>897</v>
      </c>
      <c r="AX904">
        <f t="shared" si="312"/>
        <v>448.5</v>
      </c>
      <c r="AZ904">
        <f t="shared" si="313"/>
        <v>87898.07318508462</v>
      </c>
      <c r="BB904">
        <f t="shared" si="314"/>
        <v>-309630.99570520991</v>
      </c>
      <c r="BD904">
        <f t="shared" si="315"/>
        <v>693.75165211054389</v>
      </c>
      <c r="BF904">
        <f t="shared" si="316"/>
        <v>-867.0558050838888</v>
      </c>
      <c r="BH904">
        <f t="shared" ref="BH904:BH967" si="324">BN904+BR904+BV904</f>
        <v>-3.1922928489218361</v>
      </c>
      <c r="BJ904">
        <f t="shared" ref="BJ904:BJ967" si="325">SUM(BP904,BT904,BX904)</f>
        <v>11.579143014680687</v>
      </c>
      <c r="BN904" s="20">
        <f t="shared" ref="BN904:BN967" si="326">$F$36*($F$32-AZ904)/(CB904^2+$F$37^2)^(3/2)</f>
        <v>-1.0406951756220983</v>
      </c>
      <c r="BP904">
        <f t="shared" ref="BP904:BP967" si="327">$F$36*($G$32-BB904)/(CB904^2+($F$37)^2)^(3/2)</f>
        <v>4.8607667609505096</v>
      </c>
      <c r="BR904">
        <f t="shared" ref="BR904:BR967" si="328">$F$47*($F$43-AZ904)/(CD904^2+($F$48)^2)^(3/2)</f>
        <v>-0.50440392278506885</v>
      </c>
      <c r="BT904">
        <f t="shared" ref="BT904:BT967" si="329">$F$47*($G$43-BB904)/(CD904^2+($F$48)^2)^(3/2)</f>
        <v>1.4942169337987043</v>
      </c>
      <c r="BV904">
        <f t="shared" ref="BV904:BV967" si="330">$F$58*($F$54-AZ904)/(CF904^2+($F$59)^2)^(3/2)</f>
        <v>-1.6471937505146685</v>
      </c>
      <c r="BX904">
        <f t="shared" ref="BX904:BX967" si="331">$F$58*($G$54-BB904)/(CF904^2+($F$59)^2)^(3/2)</f>
        <v>5.2241593199314735</v>
      </c>
      <c r="CB904">
        <f t="shared" ref="CB904:CB967" si="332">SQRT(($F$32-AZ904)^2+($G$32-BB904)^2)</f>
        <v>324318.07963668159</v>
      </c>
      <c r="CD904">
        <f t="shared" ref="CD904:CD967" si="333">SQRT(($F$43-AZ904)^2+($G$43-BB904)^2)</f>
        <v>337351.40078641707</v>
      </c>
      <c r="CF904">
        <f t="shared" ref="CF904:CF967" si="334">SQRT(($F$54-AZ904)^2+($G$54-BB904)^2)</f>
        <v>308929.56419181504</v>
      </c>
    </row>
    <row r="905" spans="12:84" x14ac:dyDescent="0.25">
      <c r="L905">
        <v>894</v>
      </c>
      <c r="M905">
        <f t="shared" si="323"/>
        <v>5.6171676646184787</v>
      </c>
      <c r="P905">
        <f t="shared" si="317"/>
        <v>23931.442160682873</v>
      </c>
      <c r="Q905">
        <f t="shared" si="318"/>
        <v>4410.7019345480476</v>
      </c>
      <c r="V905">
        <f t="shared" si="319"/>
        <v>-17247.990487521987</v>
      </c>
      <c r="W905">
        <f t="shared" si="320"/>
        <v>7837.4913541836322</v>
      </c>
      <c r="AB905">
        <f t="shared" si="321"/>
        <v>-1068.5578393171268</v>
      </c>
      <c r="AC905">
        <f t="shared" si="322"/>
        <v>-18089.298065451952</v>
      </c>
      <c r="AW905">
        <v>898</v>
      </c>
      <c r="AX905">
        <f t="shared" ref="AX905:AX968" si="335">$F$17*AW905</f>
        <v>449</v>
      </c>
      <c r="AZ905">
        <f t="shared" ref="AZ905:AZ968" si="336">AZ904+BD904*$F$17+(BH904*0.5)*$F$17^2</f>
        <v>88244.549974533773</v>
      </c>
      <c r="BB905">
        <f t="shared" ref="BB905:BB968" si="337">BB904+(BF904*$F$17)+(BJ904*0.5)*$F$17^2</f>
        <v>-310063.07621487504</v>
      </c>
      <c r="BD905">
        <f t="shared" ref="BD905:BD968" si="338">BD904+BH904*$F$17</f>
        <v>692.15550568608296</v>
      </c>
      <c r="BF905">
        <f t="shared" ref="BF905:BF968" si="339">BF904+BJ904*$F$17</f>
        <v>-861.26623357654842</v>
      </c>
      <c r="BH905">
        <f t="shared" si="324"/>
        <v>-3.1900081637986997</v>
      </c>
      <c r="BJ905">
        <f t="shared" si="325"/>
        <v>11.540226249745864</v>
      </c>
      <c r="BN905" s="20">
        <f t="shared" si="326"/>
        <v>-1.0412340245030602</v>
      </c>
      <c r="BP905">
        <f t="shared" si="327"/>
        <v>4.8451851467139129</v>
      </c>
      <c r="BR905">
        <f t="shared" si="328"/>
        <v>-0.50369071323912229</v>
      </c>
      <c r="BT905">
        <f t="shared" si="329"/>
        <v>1.4893387166199665</v>
      </c>
      <c r="BV905">
        <f t="shared" si="330"/>
        <v>-1.6450834260565175</v>
      </c>
      <c r="BX905">
        <f t="shared" si="331"/>
        <v>5.2057023864119838</v>
      </c>
      <c r="CB905">
        <f t="shared" si="332"/>
        <v>324813.21705909871</v>
      </c>
      <c r="CD905">
        <f t="shared" si="333"/>
        <v>337871.65515224601</v>
      </c>
      <c r="CF905">
        <f t="shared" si="334"/>
        <v>309445.90002993814</v>
      </c>
    </row>
    <row r="906" spans="12:84" x14ac:dyDescent="0.25">
      <c r="L906">
        <v>895</v>
      </c>
      <c r="M906">
        <f t="shared" si="323"/>
        <v>5.6234508499256579</v>
      </c>
      <c r="P906">
        <f t="shared" si="317"/>
        <v>23950.77506187823</v>
      </c>
      <c r="Q906">
        <f t="shared" si="318"/>
        <v>4435.4647317348335</v>
      </c>
      <c r="V906">
        <f t="shared" si="319"/>
        <v>-17234.457456685239</v>
      </c>
      <c r="W906">
        <f t="shared" si="320"/>
        <v>7854.8253122143833</v>
      </c>
      <c r="AB906">
        <f t="shared" si="321"/>
        <v>-1049.2249381217689</v>
      </c>
      <c r="AC906">
        <f t="shared" si="322"/>
        <v>-18064.535268265165</v>
      </c>
      <c r="AW906">
        <v>899</v>
      </c>
      <c r="AX906">
        <f t="shared" si="335"/>
        <v>449.5</v>
      </c>
      <c r="AZ906">
        <f t="shared" si="336"/>
        <v>88590.228976356346</v>
      </c>
      <c r="BB906">
        <f t="shared" si="337"/>
        <v>-310492.26680338208</v>
      </c>
      <c r="BD906">
        <f t="shared" si="338"/>
        <v>690.56050160418363</v>
      </c>
      <c r="BF906">
        <f t="shared" si="339"/>
        <v>-855.49612045167544</v>
      </c>
      <c r="BH906">
        <f t="shared" si="324"/>
        <v>-3.1877527684218974</v>
      </c>
      <c r="BJ906">
        <f t="shared" si="325"/>
        <v>11.501703600253432</v>
      </c>
      <c r="BN906" s="20">
        <f t="shared" si="326"/>
        <v>-1.0417683364367825</v>
      </c>
      <c r="BP906">
        <f t="shared" si="327"/>
        <v>4.8297589865418589</v>
      </c>
      <c r="BR906">
        <f t="shared" si="328"/>
        <v>-0.50298610245148168</v>
      </c>
      <c r="BT906">
        <f t="shared" si="329"/>
        <v>1.484508851900227</v>
      </c>
      <c r="BV906">
        <f t="shared" si="330"/>
        <v>-1.642998329533633</v>
      </c>
      <c r="BX906">
        <f t="shared" si="331"/>
        <v>5.1874357618113454</v>
      </c>
      <c r="CB906">
        <f t="shared" si="332"/>
        <v>325305.55061016453</v>
      </c>
      <c r="CD906">
        <f t="shared" si="333"/>
        <v>338389.02303400409</v>
      </c>
      <c r="CF906">
        <f t="shared" si="334"/>
        <v>309959.36943484697</v>
      </c>
    </row>
    <row r="907" spans="12:84" x14ac:dyDescent="0.25">
      <c r="L907">
        <v>896</v>
      </c>
      <c r="M907">
        <f t="shared" si="323"/>
        <v>5.6297340352328371</v>
      </c>
      <c r="P907">
        <f t="shared" ref="P907:P970" si="340">COS(M907)*$F$33+$F$32</f>
        <v>23969.951993238956</v>
      </c>
      <c r="Q907">
        <f t="shared" ref="Q907:Q970" si="341">SIN(M907)*$F$33+$G$32</f>
        <v>4460.3485115266849</v>
      </c>
      <c r="V907">
        <f t="shared" si="319"/>
        <v>-17221.033604732729</v>
      </c>
      <c r="W907">
        <f t="shared" si="320"/>
        <v>7872.2439580686805</v>
      </c>
      <c r="AB907">
        <f t="shared" si="321"/>
        <v>-1030.0480067610433</v>
      </c>
      <c r="AC907">
        <f t="shared" si="322"/>
        <v>-18039.651488473315</v>
      </c>
      <c r="AW907">
        <v>900</v>
      </c>
      <c r="AX907">
        <f t="shared" si="335"/>
        <v>450</v>
      </c>
      <c r="AZ907">
        <f t="shared" si="336"/>
        <v>88935.110758062394</v>
      </c>
      <c r="BB907">
        <f t="shared" si="337"/>
        <v>-310918.57715065789</v>
      </c>
      <c r="BD907">
        <f t="shared" si="338"/>
        <v>688.96662521997268</v>
      </c>
      <c r="BF907">
        <f t="shared" si="339"/>
        <v>-849.74526865154871</v>
      </c>
      <c r="BH907">
        <f t="shared" si="324"/>
        <v>-3.1855266504503255</v>
      </c>
      <c r="BJ907">
        <f t="shared" si="325"/>
        <v>11.46357019968795</v>
      </c>
      <c r="BN907" s="20">
        <f t="shared" si="326"/>
        <v>-1.0422983421457275</v>
      </c>
      <c r="BP907">
        <f t="shared" si="327"/>
        <v>4.814486426769335</v>
      </c>
      <c r="BR907">
        <f t="shared" si="328"/>
        <v>-0.50229001728115708</v>
      </c>
      <c r="BT907">
        <f t="shared" si="329"/>
        <v>1.4797267523861046</v>
      </c>
      <c r="BV907">
        <f t="shared" si="330"/>
        <v>-1.6409382910234409</v>
      </c>
      <c r="BX907">
        <f t="shared" si="331"/>
        <v>5.1693570205325114</v>
      </c>
      <c r="CB907">
        <f t="shared" si="332"/>
        <v>325795.08862147661</v>
      </c>
      <c r="CD907">
        <f t="shared" si="333"/>
        <v>338903.51357912191</v>
      </c>
      <c r="CF907">
        <f t="shared" si="334"/>
        <v>310469.98137662088</v>
      </c>
    </row>
    <row r="908" spans="12:84" x14ac:dyDescent="0.25">
      <c r="L908">
        <v>897</v>
      </c>
      <c r="M908">
        <f t="shared" si="323"/>
        <v>5.6360172205400163</v>
      </c>
      <c r="P908">
        <f t="shared" si="340"/>
        <v>23988.972197692638</v>
      </c>
      <c r="Q908">
        <f t="shared" si="341"/>
        <v>4485.3522915545864</v>
      </c>
      <c r="V908">
        <f t="shared" ref="V908:V971" si="342">COS(M908)*$F$44+$F$43</f>
        <v>-17207.719461615154</v>
      </c>
      <c r="W908">
        <f t="shared" ref="W908:W971" si="343">SIN(M908)*$F$44+$G$43</f>
        <v>7889.74660408821</v>
      </c>
      <c r="AB908">
        <f t="shared" ref="AB908:AB971" si="344">COS(M908)*$F$55+$F$54</f>
        <v>-1011.0278023073643</v>
      </c>
      <c r="AC908">
        <f t="shared" ref="AC908:AC971" si="345">SIN(M908)*$F$55+$G$54</f>
        <v>-18014.647708445413</v>
      </c>
      <c r="AW908">
        <v>901</v>
      </c>
      <c r="AX908">
        <f t="shared" si="335"/>
        <v>450.5</v>
      </c>
      <c r="AZ908">
        <f t="shared" si="336"/>
        <v>89279.195879841078</v>
      </c>
      <c r="BB908">
        <f t="shared" si="337"/>
        <v>-311342.01683870866</v>
      </c>
      <c r="BD908">
        <f t="shared" si="338"/>
        <v>687.37386189474751</v>
      </c>
      <c r="BF908">
        <f t="shared" si="339"/>
        <v>-844.01348355170478</v>
      </c>
      <c r="BH908">
        <f t="shared" si="324"/>
        <v>-3.1833297957569391</v>
      </c>
      <c r="BJ908">
        <f t="shared" si="325"/>
        <v>11.425821264653901</v>
      </c>
      <c r="BN908" s="20">
        <f t="shared" si="326"/>
        <v>-1.0428242672853334</v>
      </c>
      <c r="BP908">
        <f t="shared" si="327"/>
        <v>4.7993656445766328</v>
      </c>
      <c r="BR908">
        <f t="shared" si="328"/>
        <v>-0.50160238573081917</v>
      </c>
      <c r="BT908">
        <f t="shared" si="329"/>
        <v>1.4749918407075648</v>
      </c>
      <c r="BV908">
        <f t="shared" si="330"/>
        <v>-1.6389031427407865</v>
      </c>
      <c r="BX908">
        <f t="shared" si="331"/>
        <v>5.1514637793697036</v>
      </c>
      <c r="CB908">
        <f t="shared" si="332"/>
        <v>326281.839340673</v>
      </c>
      <c r="CD908">
        <f t="shared" si="333"/>
        <v>339415.13584121963</v>
      </c>
      <c r="CF908">
        <f t="shared" si="334"/>
        <v>310977.74473390041</v>
      </c>
    </row>
    <row r="909" spans="12:84" x14ac:dyDescent="0.25">
      <c r="L909">
        <v>898</v>
      </c>
      <c r="M909">
        <f t="shared" ref="M909:M972" si="346">M908+$O$5</f>
        <v>5.6423004058471955</v>
      </c>
      <c r="P909">
        <f t="shared" si="340"/>
        <v>24007.834924354163</v>
      </c>
      <c r="Q909">
        <f t="shared" si="341"/>
        <v>4510.4750847121122</v>
      </c>
      <c r="V909">
        <f t="shared" si="342"/>
        <v>-17194.515552952085</v>
      </c>
      <c r="W909">
        <f t="shared" si="343"/>
        <v>7907.3325592984784</v>
      </c>
      <c r="AB909">
        <f t="shared" si="344"/>
        <v>-992.16507564583617</v>
      </c>
      <c r="AC909">
        <f t="shared" si="345"/>
        <v>-17989.52491528789</v>
      </c>
      <c r="AW909">
        <v>902</v>
      </c>
      <c r="AX909">
        <f t="shared" si="335"/>
        <v>451</v>
      </c>
      <c r="AZ909">
        <f t="shared" si="336"/>
        <v>89622.484894563982</v>
      </c>
      <c r="BB909">
        <f t="shared" si="337"/>
        <v>-311762.59535282641</v>
      </c>
      <c r="BD909">
        <f t="shared" si="338"/>
        <v>685.78219699686906</v>
      </c>
      <c r="BF909">
        <f t="shared" si="339"/>
        <v>-838.30057291937783</v>
      </c>
      <c r="BH909">
        <f t="shared" si="324"/>
        <v>-3.1811621885255961</v>
      </c>
      <c r="BJ909">
        <f t="shared" si="325"/>
        <v>11.388452093165704</v>
      </c>
      <c r="BN909" s="20">
        <f t="shared" si="326"/>
        <v>-1.0433463325786994</v>
      </c>
      <c r="BP909">
        <f t="shared" si="327"/>
        <v>4.7843948473740383</v>
      </c>
      <c r="BR909">
        <f t="shared" si="328"/>
        <v>-0.50092313692755697</v>
      </c>
      <c r="BT909">
        <f t="shared" si="329"/>
        <v>1.4703035491770955</v>
      </c>
      <c r="BV909">
        <f t="shared" si="330"/>
        <v>-1.6368927190193396</v>
      </c>
      <c r="BX909">
        <f t="shared" si="331"/>
        <v>5.1337536966145692</v>
      </c>
      <c r="CB909">
        <f t="shared" si="332"/>
        <v>326765.81093241129</v>
      </c>
      <c r="CD909">
        <f t="shared" si="333"/>
        <v>339923.89878125017</v>
      </c>
      <c r="CF909">
        <f t="shared" si="334"/>
        <v>311482.66829499096</v>
      </c>
    </row>
    <row r="910" spans="12:84" x14ac:dyDescent="0.25">
      <c r="L910">
        <v>899</v>
      </c>
      <c r="M910">
        <f t="shared" si="346"/>
        <v>5.6485835911543747</v>
      </c>
      <c r="P910">
        <f t="shared" si="340"/>
        <v>24026.539428555392</v>
      </c>
      <c r="Q910">
        <f t="shared" si="341"/>
        <v>4535.715899194407</v>
      </c>
      <c r="V910">
        <f t="shared" si="342"/>
        <v>-17181.422400011226</v>
      </c>
      <c r="W910">
        <f t="shared" si="343"/>
        <v>7925.0011294360847</v>
      </c>
      <c r="AB910">
        <f t="shared" si="344"/>
        <v>-973.46057144460838</v>
      </c>
      <c r="AC910">
        <f t="shared" si="345"/>
        <v>-17964.284100805591</v>
      </c>
      <c r="AW910">
        <v>903</v>
      </c>
      <c r="AX910">
        <f t="shared" si="335"/>
        <v>451.5</v>
      </c>
      <c r="AZ910">
        <f t="shared" si="336"/>
        <v>89964.978347788856</v>
      </c>
      <c r="BB910">
        <f t="shared" si="337"/>
        <v>-312180.32208277448</v>
      </c>
      <c r="BD910">
        <f t="shared" si="338"/>
        <v>684.19161590260626</v>
      </c>
      <c r="BF910">
        <f t="shared" si="339"/>
        <v>-832.60634687279503</v>
      </c>
      <c r="BH910">
        <f t="shared" si="324"/>
        <v>-3.1790238113443885</v>
      </c>
      <c r="BJ910">
        <f t="shared" si="325"/>
        <v>11.351458062979454</v>
      </c>
      <c r="BN910" s="20">
        <f t="shared" si="326"/>
        <v>-1.0438647539474324</v>
      </c>
      <c r="BP910">
        <f t="shared" si="327"/>
        <v>4.7695722722012039</v>
      </c>
      <c r="BR910">
        <f t="shared" si="328"/>
        <v>-0.50025220110403901</v>
      </c>
      <c r="BT910">
        <f t="shared" si="329"/>
        <v>1.46566131959373</v>
      </c>
      <c r="BV910">
        <f t="shared" si="330"/>
        <v>-1.634906856292917</v>
      </c>
      <c r="BX910">
        <f t="shared" si="331"/>
        <v>5.1162244711845188</v>
      </c>
      <c r="CB910">
        <f t="shared" si="332"/>
        <v>327247.01147933037</v>
      </c>
      <c r="CD910">
        <f t="shared" si="333"/>
        <v>340429.81126862258</v>
      </c>
      <c r="CF910">
        <f t="shared" si="334"/>
        <v>311984.76075894729</v>
      </c>
    </row>
    <row r="911" spans="12:84" x14ac:dyDescent="0.25">
      <c r="L911">
        <v>900</v>
      </c>
      <c r="M911">
        <f t="shared" si="346"/>
        <v>5.6548667764615539</v>
      </c>
      <c r="P911">
        <f t="shared" si="340"/>
        <v>24045.084971874519</v>
      </c>
      <c r="Q911">
        <f t="shared" si="341"/>
        <v>4561.073738537335</v>
      </c>
      <c r="V911">
        <f t="shared" si="342"/>
        <v>-17168.440519687836</v>
      </c>
      <c r="W911">
        <f t="shared" si="343"/>
        <v>7942.7516169761348</v>
      </c>
      <c r="AB911">
        <f t="shared" si="344"/>
        <v>-954.91502812548015</v>
      </c>
      <c r="AC911">
        <f t="shared" si="345"/>
        <v>-17938.926261462664</v>
      </c>
      <c r="AW911">
        <v>904</v>
      </c>
      <c r="AX911">
        <f t="shared" si="335"/>
        <v>452</v>
      </c>
      <c r="AZ911">
        <f t="shared" si="336"/>
        <v>90306.676777763743</v>
      </c>
      <c r="BB911">
        <f t="shared" si="337"/>
        <v>-312595.206323953</v>
      </c>
      <c r="BD911">
        <f t="shared" si="338"/>
        <v>682.60210399693403</v>
      </c>
      <c r="BF911">
        <f t="shared" si="339"/>
        <v>-826.93061784130532</v>
      </c>
      <c r="BH911">
        <f t="shared" si="324"/>
        <v>-3.1769146452957129</v>
      </c>
      <c r="BJ911">
        <f t="shared" si="325"/>
        <v>11.314834629965677</v>
      </c>
      <c r="BN911" s="20">
        <f t="shared" si="326"/>
        <v>-1.0443797426388017</v>
      </c>
      <c r="BP911">
        <f t="shared" si="327"/>
        <v>4.7548961851409146</v>
      </c>
      <c r="BR911">
        <f t="shared" si="328"/>
        <v>-0.49958950958004911</v>
      </c>
      <c r="BT911">
        <f t="shared" si="329"/>
        <v>1.461064603051726</v>
      </c>
      <c r="BV911">
        <f t="shared" si="330"/>
        <v>-1.6329453930768623</v>
      </c>
      <c r="BX911">
        <f t="shared" si="331"/>
        <v>5.0988738417730373</v>
      </c>
      <c r="CB911">
        <f t="shared" si="332"/>
        <v>327725.44898299704</v>
      </c>
      <c r="CD911">
        <f t="shared" si="333"/>
        <v>340932.88208230643</v>
      </c>
      <c r="CF911">
        <f t="shared" si="334"/>
        <v>312484.03073663986</v>
      </c>
    </row>
    <row r="912" spans="12:84" x14ac:dyDescent="0.25">
      <c r="L912">
        <v>901</v>
      </c>
      <c r="M912">
        <f t="shared" si="346"/>
        <v>5.6611499617687331</v>
      </c>
      <c r="P912">
        <f t="shared" si="340"/>
        <v>24063.470822165255</v>
      </c>
      <c r="Q912">
        <f t="shared" si="341"/>
        <v>4586.5476016568173</v>
      </c>
      <c r="V912">
        <f t="shared" si="342"/>
        <v>-17155.570424484322</v>
      </c>
      <c r="W912">
        <f t="shared" si="343"/>
        <v>7960.5833211597719</v>
      </c>
      <c r="AB912">
        <f t="shared" si="344"/>
        <v>-936.52917783474686</v>
      </c>
      <c r="AC912">
        <f t="shared" si="345"/>
        <v>-17913.452398343183</v>
      </c>
      <c r="AW912">
        <v>905</v>
      </c>
      <c r="AX912">
        <f t="shared" si="335"/>
        <v>452.5</v>
      </c>
      <c r="AZ912">
        <f t="shared" si="336"/>
        <v>90647.580715431555</v>
      </c>
      <c r="BB912">
        <f t="shared" si="337"/>
        <v>-313007.25727854489</v>
      </c>
      <c r="BD912">
        <f t="shared" si="338"/>
        <v>681.01364667428618</v>
      </c>
      <c r="BF912">
        <f t="shared" si="339"/>
        <v>-821.27320052632251</v>
      </c>
      <c r="BH912">
        <f t="shared" si="324"/>
        <v>-3.1748346700432419</v>
      </c>
      <c r="BJ912">
        <f t="shared" si="325"/>
        <v>11.278577326521996</v>
      </c>
      <c r="BN912" s="20">
        <f t="shared" si="326"/>
        <v>-1.0448915053492898</v>
      </c>
      <c r="BP912">
        <f t="shared" si="327"/>
        <v>4.7403648807467178</v>
      </c>
      <c r="BR912">
        <f t="shared" si="328"/>
        <v>-0.4989349947444775</v>
      </c>
      <c r="BT912">
        <f t="shared" si="329"/>
        <v>1.4565128597540373</v>
      </c>
      <c r="BV912">
        <f t="shared" si="330"/>
        <v>-1.6310081699494747</v>
      </c>
      <c r="BX912">
        <f t="shared" si="331"/>
        <v>5.0816995860212408</v>
      </c>
      <c r="CB912">
        <f t="shared" si="332"/>
        <v>328201.13136483671</v>
      </c>
      <c r="CD912">
        <f t="shared" si="333"/>
        <v>341433.11991191778</v>
      </c>
      <c r="CF912">
        <f t="shared" si="334"/>
        <v>312980.48675180349</v>
      </c>
    </row>
    <row r="913" spans="12:84" x14ac:dyDescent="0.25">
      <c r="L913">
        <v>902</v>
      </c>
      <c r="M913">
        <f t="shared" si="346"/>
        <v>5.6674331470759123</v>
      </c>
      <c r="P913">
        <f t="shared" si="340"/>
        <v>24081.696253585702</v>
      </c>
      <c r="Q913">
        <f t="shared" si="341"/>
        <v>4612.136482888357</v>
      </c>
      <c r="V913">
        <f t="shared" si="342"/>
        <v>-17142.812622490008</v>
      </c>
      <c r="W913">
        <f t="shared" si="343"/>
        <v>7978.4955380218498</v>
      </c>
      <c r="AB913">
        <f t="shared" si="344"/>
        <v>-918.30374641429626</v>
      </c>
      <c r="AC913">
        <f t="shared" si="345"/>
        <v>-17887.863517111644</v>
      </c>
      <c r="AW913">
        <v>906</v>
      </c>
      <c r="AX913">
        <f t="shared" si="335"/>
        <v>453</v>
      </c>
      <c r="AZ913">
        <f t="shared" si="336"/>
        <v>90987.690684434943</v>
      </c>
      <c r="BB913">
        <f t="shared" si="337"/>
        <v>-313416.48405664228</v>
      </c>
      <c r="BD913">
        <f t="shared" si="338"/>
        <v>679.42622933926452</v>
      </c>
      <c r="BF913">
        <f t="shared" si="339"/>
        <v>-815.63391186306148</v>
      </c>
      <c r="BH913">
        <f t="shared" si="324"/>
        <v>-3.1727838639156891</v>
      </c>
      <c r="BJ913">
        <f t="shared" si="325"/>
        <v>11.242681760023874</v>
      </c>
      <c r="BN913" s="20">
        <f t="shared" si="326"/>
        <v>-1.0454002443446304</v>
      </c>
      <c r="BP913">
        <f t="shared" si="327"/>
        <v>4.7259766814839308</v>
      </c>
      <c r="BR913">
        <f t="shared" si="328"/>
        <v>-0.49828859003763781</v>
      </c>
      <c r="BT913">
        <f t="shared" si="329"/>
        <v>1.4520055588300929</v>
      </c>
      <c r="BV913">
        <f t="shared" si="330"/>
        <v>-1.6290950295334208</v>
      </c>
      <c r="BX913">
        <f t="shared" si="331"/>
        <v>5.0646995197098503</v>
      </c>
      <c r="CB913">
        <f t="shared" si="332"/>
        <v>328674.06646704901</v>
      </c>
      <c r="CD913">
        <f t="shared" si="333"/>
        <v>341930.53335878643</v>
      </c>
      <c r="CF913">
        <f t="shared" si="334"/>
        <v>313474.13724206819</v>
      </c>
    </row>
    <row r="914" spans="12:84" x14ac:dyDescent="0.25">
      <c r="L914">
        <v>903</v>
      </c>
      <c r="M914">
        <f t="shared" si="346"/>
        <v>5.6737163323830915</v>
      </c>
      <c r="P914">
        <f t="shared" si="340"/>
        <v>24099.760546627047</v>
      </c>
      <c r="Q914">
        <f t="shared" si="341"/>
        <v>4637.8393720267377</v>
      </c>
      <c r="V914">
        <f t="shared" si="342"/>
        <v>-17130.167617361069</v>
      </c>
      <c r="W914">
        <f t="shared" si="343"/>
        <v>7996.4875604187164</v>
      </c>
      <c r="AB914">
        <f t="shared" si="344"/>
        <v>-900.2394533729539</v>
      </c>
      <c r="AC914">
        <f t="shared" si="345"/>
        <v>-17862.160627973262</v>
      </c>
      <c r="AW914">
        <v>907</v>
      </c>
      <c r="AX914">
        <f t="shared" si="335"/>
        <v>453.5</v>
      </c>
      <c r="AZ914">
        <f t="shared" si="336"/>
        <v>91327.007201121582</v>
      </c>
      <c r="BB914">
        <f t="shared" si="337"/>
        <v>-313822.89567735384</v>
      </c>
      <c r="BD914">
        <f t="shared" si="338"/>
        <v>677.83983740730673</v>
      </c>
      <c r="BF914">
        <f t="shared" si="339"/>
        <v>-810.0125709830495</v>
      </c>
      <c r="BH914">
        <f t="shared" si="324"/>
        <v>-3.1707622039877368</v>
      </c>
      <c r="BJ914">
        <f t="shared" si="325"/>
        <v>11.207143611313231</v>
      </c>
      <c r="BN914" s="20">
        <f t="shared" si="326"/>
        <v>-1.0459061575765112</v>
      </c>
      <c r="BP914">
        <f t="shared" si="327"/>
        <v>4.7117299371839438</v>
      </c>
      <c r="BR914">
        <f t="shared" si="328"/>
        <v>-0.49765022993399222</v>
      </c>
      <c r="BT914">
        <f t="shared" si="329"/>
        <v>1.4475421781580307</v>
      </c>
      <c r="BV914">
        <f t="shared" si="330"/>
        <v>-1.6272058164772332</v>
      </c>
      <c r="BX914">
        <f t="shared" si="331"/>
        <v>5.0478714959712567</v>
      </c>
      <c r="CB914">
        <f t="shared" si="332"/>
        <v>329144.2620535082</v>
      </c>
      <c r="CD914">
        <f t="shared" si="333"/>
        <v>342425.13093700493</v>
      </c>
      <c r="CF914">
        <f t="shared" si="334"/>
        <v>313964.99055997247</v>
      </c>
    </row>
    <row r="915" spans="12:84" x14ac:dyDescent="0.25">
      <c r="L915">
        <v>904</v>
      </c>
      <c r="M915">
        <f t="shared" si="346"/>
        <v>5.6799995176902707</v>
      </c>
      <c r="P915">
        <f t="shared" si="340"/>
        <v>24117.662988141921</v>
      </c>
      <c r="Q915">
        <f t="shared" si="341"/>
        <v>4663.6552543659063</v>
      </c>
      <c r="V915">
        <f t="shared" si="342"/>
        <v>-17117.635908300654</v>
      </c>
      <c r="W915">
        <f t="shared" si="343"/>
        <v>8014.5586780561343</v>
      </c>
      <c r="AB915">
        <f t="shared" si="344"/>
        <v>-882.33701185807695</v>
      </c>
      <c r="AC915">
        <f t="shared" si="345"/>
        <v>-17836.344745634095</v>
      </c>
      <c r="AW915">
        <v>908</v>
      </c>
      <c r="AX915">
        <f t="shared" si="335"/>
        <v>454</v>
      </c>
      <c r="AZ915">
        <f t="shared" si="336"/>
        <v>91665.530774549741</v>
      </c>
      <c r="BB915">
        <f t="shared" si="337"/>
        <v>-314226.50106989394</v>
      </c>
      <c r="BD915">
        <f t="shared" si="338"/>
        <v>676.25445630531283</v>
      </c>
      <c r="BF915">
        <f t="shared" si="339"/>
        <v>-804.40899917739284</v>
      </c>
      <c r="BH915">
        <f t="shared" si="324"/>
        <v>-3.1687696661580604</v>
      </c>
      <c r="BJ915">
        <f t="shared" si="325"/>
        <v>11.171958633223323</v>
      </c>
      <c r="BN915" s="20">
        <f t="shared" si="326"/>
        <v>-1.0464094387959815</v>
      </c>
      <c r="BP915">
        <f t="shared" si="327"/>
        <v>4.6976230245112225</v>
      </c>
      <c r="BR915">
        <f t="shared" si="328"/>
        <v>-0.49701984992525017</v>
      </c>
      <c r="BT915">
        <f t="shared" si="329"/>
        <v>1.4431222041911924</v>
      </c>
      <c r="BV915">
        <f t="shared" si="330"/>
        <v>-1.6253403774368287</v>
      </c>
      <c r="BX915">
        <f t="shared" si="331"/>
        <v>5.0312134045209076</v>
      </c>
      <c r="CB915">
        <f t="shared" si="332"/>
        <v>329611.72581064893</v>
      </c>
      <c r="CD915">
        <f t="shared" si="333"/>
        <v>342916.92107446061</v>
      </c>
      <c r="CF915">
        <f t="shared" si="334"/>
        <v>314453.05497396056</v>
      </c>
    </row>
    <row r="916" spans="12:84" x14ac:dyDescent="0.25">
      <c r="L916">
        <v>905</v>
      </c>
      <c r="M916">
        <f t="shared" si="346"/>
        <v>5.6862827029974499</v>
      </c>
      <c r="P916">
        <f t="shared" si="340"/>
        <v>24135.402871372597</v>
      </c>
      <c r="Q916">
        <f t="shared" si="341"/>
        <v>4689.5831107390331</v>
      </c>
      <c r="V916">
        <f t="shared" si="342"/>
        <v>-17105.217990039182</v>
      </c>
      <c r="W916">
        <f t="shared" si="343"/>
        <v>8032.7081775173228</v>
      </c>
      <c r="AB916">
        <f t="shared" si="344"/>
        <v>-864.59712862740435</v>
      </c>
      <c r="AC916">
        <f t="shared" si="345"/>
        <v>-17810.416889260967</v>
      </c>
      <c r="AW916">
        <v>909</v>
      </c>
      <c r="AX916">
        <f t="shared" si="335"/>
        <v>454.5</v>
      </c>
      <c r="AZ916">
        <f t="shared" si="336"/>
        <v>92003.261906494139</v>
      </c>
      <c r="BB916">
        <f t="shared" si="337"/>
        <v>-314627.30907465349</v>
      </c>
      <c r="BD916">
        <f t="shared" si="338"/>
        <v>674.67007147223376</v>
      </c>
      <c r="BF916">
        <f t="shared" si="339"/>
        <v>-798.82301986078119</v>
      </c>
      <c r="BH916">
        <f t="shared" si="324"/>
        <v>-3.1668062252246525</v>
      </c>
      <c r="BJ916">
        <f t="shared" si="325"/>
        <v>11.13712264913914</v>
      </c>
      <c r="BN916" s="20">
        <f t="shared" si="326"/>
        <v>-1.0469102776637094</v>
      </c>
      <c r="BP916">
        <f t="shared" si="327"/>
        <v>4.6836543464427791</v>
      </c>
      <c r="BR916">
        <f t="shared" si="328"/>
        <v>-0.49639738650378767</v>
      </c>
      <c r="BT916">
        <f t="shared" si="329"/>
        <v>1.4387451317886295</v>
      </c>
      <c r="BV916">
        <f t="shared" si="330"/>
        <v>-1.6234985610571555</v>
      </c>
      <c r="BX916">
        <f t="shared" si="331"/>
        <v>5.0147231709077325</v>
      </c>
      <c r="CB916">
        <f t="shared" si="332"/>
        <v>330076.46534833789</v>
      </c>
      <c r="CD916">
        <f t="shared" si="333"/>
        <v>343405.91211385006</v>
      </c>
      <c r="CF916">
        <f t="shared" si="334"/>
        <v>314938.33866936213</v>
      </c>
    </row>
    <row r="917" spans="12:84" x14ac:dyDescent="0.25">
      <c r="L917">
        <v>906</v>
      </c>
      <c r="M917">
        <f t="shared" si="346"/>
        <v>5.6925658883046291</v>
      </c>
      <c r="P917">
        <f t="shared" si="340"/>
        <v>24152.979495978849</v>
      </c>
      <c r="Q917">
        <f t="shared" si="341"/>
        <v>4715.621917558743</v>
      </c>
      <c r="V917">
        <f t="shared" si="342"/>
        <v>-17092.914352814805</v>
      </c>
      <c r="W917">
        <f t="shared" si="343"/>
        <v>8050.9353422911208</v>
      </c>
      <c r="AB917">
        <f t="shared" si="344"/>
        <v>-847.02050402114946</v>
      </c>
      <c r="AC917">
        <f t="shared" si="345"/>
        <v>-17784.378082441257</v>
      </c>
      <c r="AW917">
        <v>910</v>
      </c>
      <c r="AX917">
        <f t="shared" si="335"/>
        <v>455</v>
      </c>
      <c r="AZ917">
        <f t="shared" si="336"/>
        <v>92340.201091452109</v>
      </c>
      <c r="BB917">
        <f t="shared" si="337"/>
        <v>-315025.32844425272</v>
      </c>
      <c r="BD917">
        <f t="shared" si="338"/>
        <v>673.0866683596214</v>
      </c>
      <c r="BF917">
        <f t="shared" si="339"/>
        <v>-793.25445853621159</v>
      </c>
      <c r="BH917">
        <f t="shared" si="324"/>
        <v>-3.1648718549574988</v>
      </c>
      <c r="BJ917">
        <f t="shared" si="325"/>
        <v>11.102631551592243</v>
      </c>
      <c r="BN917" s="20">
        <f t="shared" si="326"/>
        <v>-1.0474088598571656</v>
      </c>
      <c r="BP917">
        <f t="shared" si="327"/>
        <v>4.6698223317597298</v>
      </c>
      <c r="BR917">
        <f t="shared" si="328"/>
        <v>-0.49578277714645302</v>
      </c>
      <c r="BT917">
        <f t="shared" si="329"/>
        <v>1.4344104640497286</v>
      </c>
      <c r="BV917">
        <f t="shared" si="330"/>
        <v>-1.6216802179538803</v>
      </c>
      <c r="BX917">
        <f t="shared" si="331"/>
        <v>4.9983987557827847</v>
      </c>
      <c r="CB917">
        <f t="shared" si="332"/>
        <v>330538.48820073105</v>
      </c>
      <c r="CD917">
        <f t="shared" si="333"/>
        <v>343892.11231367645</v>
      </c>
      <c r="CF917">
        <f t="shared" si="334"/>
        <v>315420.84974935639</v>
      </c>
    </row>
    <row r="918" spans="12:84" x14ac:dyDescent="0.25">
      <c r="L918">
        <v>907</v>
      </c>
      <c r="M918">
        <f t="shared" si="346"/>
        <v>5.6988490736118083</v>
      </c>
      <c r="P918">
        <f t="shared" si="340"/>
        <v>24170.392168065642</v>
      </c>
      <c r="Q918">
        <f t="shared" si="341"/>
        <v>4741.7706468575288</v>
      </c>
      <c r="V918">
        <f t="shared" si="342"/>
        <v>-17080.72548235405</v>
      </c>
      <c r="W918">
        <f t="shared" si="343"/>
        <v>8069.2394528002696</v>
      </c>
      <c r="AB918">
        <f t="shared" si="344"/>
        <v>-829.607831934356</v>
      </c>
      <c r="AC918">
        <f t="shared" si="345"/>
        <v>-17758.229353142473</v>
      </c>
      <c r="AW918">
        <v>911</v>
      </c>
      <c r="AX918">
        <f t="shared" si="335"/>
        <v>455.5</v>
      </c>
      <c r="AZ918">
        <f t="shared" si="336"/>
        <v>92676.348816650047</v>
      </c>
      <c r="BB918">
        <f t="shared" si="337"/>
        <v>-315420.56784457684</v>
      </c>
      <c r="BD918">
        <f t="shared" si="338"/>
        <v>671.50423243214266</v>
      </c>
      <c r="BF918">
        <f t="shared" si="339"/>
        <v>-787.70314276041552</v>
      </c>
      <c r="BH918">
        <f t="shared" si="324"/>
        <v>-3.1629665281686674</v>
      </c>
      <c r="BJ918">
        <f t="shared" si="325"/>
        <v>11.068481300888962</v>
      </c>
      <c r="BN918" s="20">
        <f t="shared" si="326"/>
        <v>-1.0479053671748479</v>
      </c>
      <c r="BP918">
        <f t="shared" si="327"/>
        <v>4.656125434550682</v>
      </c>
      <c r="BR918">
        <f t="shared" si="328"/>
        <v>-0.49517596029870714</v>
      </c>
      <c r="BT918">
        <f t="shared" si="329"/>
        <v>1.4301177121527155</v>
      </c>
      <c r="BV918">
        <f t="shared" si="330"/>
        <v>-1.6198852006951123</v>
      </c>
      <c r="BX918">
        <f t="shared" si="331"/>
        <v>4.9822381541855654</v>
      </c>
      <c r="CB918">
        <f t="shared" si="332"/>
        <v>330997.80182711687</v>
      </c>
      <c r="CD918">
        <f t="shared" si="333"/>
        <v>344375.52984923049</v>
      </c>
      <c r="CF918">
        <f t="shared" si="334"/>
        <v>315900.59623592021</v>
      </c>
    </row>
    <row r="919" spans="12:84" x14ac:dyDescent="0.25">
      <c r="L919">
        <v>908</v>
      </c>
      <c r="M919">
        <f t="shared" si="346"/>
        <v>5.7051322589189875</v>
      </c>
      <c r="P919">
        <f t="shared" si="340"/>
        <v>24187.640200210499</v>
      </c>
      <c r="Q919">
        <f t="shared" si="341"/>
        <v>4768.0282663283324</v>
      </c>
      <c r="V919">
        <f t="shared" si="342"/>
        <v>-17068.651859852653</v>
      </c>
      <c r="W919">
        <f t="shared" si="343"/>
        <v>8087.6197864298319</v>
      </c>
      <c r="AB919">
        <f t="shared" si="344"/>
        <v>-812.35979978950218</v>
      </c>
      <c r="AC919">
        <f t="shared" si="345"/>
        <v>-17731.971733671668</v>
      </c>
      <c r="AW919">
        <v>912</v>
      </c>
      <c r="AX919">
        <f t="shared" si="335"/>
        <v>456</v>
      </c>
      <c r="AZ919">
        <f t="shared" si="336"/>
        <v>93011.705562050091</v>
      </c>
      <c r="BB919">
        <f t="shared" si="337"/>
        <v>-315813.03585579444</v>
      </c>
      <c r="BD919">
        <f t="shared" si="338"/>
        <v>669.92274916805832</v>
      </c>
      <c r="BF919">
        <f t="shared" si="339"/>
        <v>-782.16890210997099</v>
      </c>
      <c r="BH919">
        <f t="shared" si="324"/>
        <v>-3.1610902167800532</v>
      </c>
      <c r="BJ919">
        <f t="shared" si="325"/>
        <v>11.03466792377151</v>
      </c>
      <c r="BN919" s="20">
        <f t="shared" si="326"/>
        <v>-1.0483999776376114</v>
      </c>
      <c r="BP919">
        <f t="shared" si="327"/>
        <v>4.6425621337265124</v>
      </c>
      <c r="BR919">
        <f t="shared" si="328"/>
        <v>-0.49457687535907879</v>
      </c>
      <c r="BT919">
        <f t="shared" si="329"/>
        <v>1.4258663951969044</v>
      </c>
      <c r="BV919">
        <f t="shared" si="330"/>
        <v>-1.6181133637833633</v>
      </c>
      <c r="BX919">
        <f t="shared" si="331"/>
        <v>4.9662393948480927</v>
      </c>
      <c r="CB919">
        <f t="shared" si="332"/>
        <v>331454.41361274663</v>
      </c>
      <c r="CD919">
        <f t="shared" si="333"/>
        <v>344856.17281355528</v>
      </c>
      <c r="CF919">
        <f t="shared" si="334"/>
        <v>316377.5860707605</v>
      </c>
    </row>
    <row r="920" spans="12:84" x14ac:dyDescent="0.25">
      <c r="L920">
        <v>909</v>
      </c>
      <c r="M920">
        <f t="shared" si="346"/>
        <v>5.7114154442261666</v>
      </c>
      <c r="P920">
        <f t="shared" si="340"/>
        <v>24204.722911490637</v>
      </c>
      <c r="Q920">
        <f t="shared" si="341"/>
        <v>4794.393739365295</v>
      </c>
      <c r="V920">
        <f t="shared" si="342"/>
        <v>-17056.693961956553</v>
      </c>
      <c r="W920">
        <f t="shared" si="343"/>
        <v>8106.0756175557071</v>
      </c>
      <c r="AB920">
        <f t="shared" si="344"/>
        <v>-795.27708850936415</v>
      </c>
      <c r="AC920">
        <f t="shared" si="345"/>
        <v>-17705.606260634704</v>
      </c>
      <c r="AW920">
        <v>913</v>
      </c>
      <c r="AX920">
        <f t="shared" si="335"/>
        <v>456.5</v>
      </c>
      <c r="AZ920">
        <f t="shared" si="336"/>
        <v>93346.271800357019</v>
      </c>
      <c r="BB920">
        <f t="shared" si="337"/>
        <v>-316202.74097335897</v>
      </c>
      <c r="BD920">
        <f t="shared" si="338"/>
        <v>668.34220405966835</v>
      </c>
      <c r="BF920">
        <f t="shared" si="339"/>
        <v>-776.65156814808518</v>
      </c>
      <c r="BH920">
        <f t="shared" si="324"/>
        <v>-3.1592428918886402</v>
      </c>
      <c r="BJ920">
        <f t="shared" si="325"/>
        <v>11.001187512110427</v>
      </c>
      <c r="BN920" s="20">
        <f t="shared" si="326"/>
        <v>-1.0488928655872654</v>
      </c>
      <c r="BP920">
        <f t="shared" si="327"/>
        <v>4.6291309325465413</v>
      </c>
      <c r="BR920">
        <f t="shared" si="328"/>
        <v>-0.49398546266395765</v>
      </c>
      <c r="BT920">
        <f t="shared" si="329"/>
        <v>1.4216560400486706</v>
      </c>
      <c r="BV920">
        <f t="shared" si="330"/>
        <v>-1.6163645636374173</v>
      </c>
      <c r="BX920">
        <f t="shared" si="331"/>
        <v>4.9504005395152149</v>
      </c>
      <c r="CB920">
        <f t="shared" si="332"/>
        <v>331908.33086965047</v>
      </c>
      <c r="CD920">
        <f t="shared" si="333"/>
        <v>345334.04921839485</v>
      </c>
      <c r="CF920">
        <f t="shared" si="334"/>
        <v>316851.8271162312</v>
      </c>
    </row>
    <row r="921" spans="12:84" x14ac:dyDescent="0.25">
      <c r="L921">
        <v>910</v>
      </c>
      <c r="M921">
        <f t="shared" si="346"/>
        <v>5.7176986295333458</v>
      </c>
      <c r="P921">
        <f t="shared" si="340"/>
        <v>24221.639627509867</v>
      </c>
      <c r="Q921">
        <f t="shared" si="341"/>
        <v>4820.8660251046877</v>
      </c>
      <c r="V921">
        <f t="shared" si="342"/>
        <v>-17044.852260743093</v>
      </c>
      <c r="W921">
        <f t="shared" si="343"/>
        <v>8124.6062175732814</v>
      </c>
      <c r="AB921">
        <f t="shared" si="344"/>
        <v>-778.36037249013316</v>
      </c>
      <c r="AC921">
        <f t="shared" si="345"/>
        <v>-17679.133974895311</v>
      </c>
      <c r="AW921">
        <v>914</v>
      </c>
      <c r="AX921">
        <f t="shared" si="335"/>
        <v>457</v>
      </c>
      <c r="AZ921">
        <f t="shared" si="336"/>
        <v>93680.047997025365</v>
      </c>
      <c r="BB921">
        <f t="shared" si="337"/>
        <v>-316589.69160899398</v>
      </c>
      <c r="BD921">
        <f t="shared" si="338"/>
        <v>666.76258261372402</v>
      </c>
      <c r="BF921">
        <f t="shared" si="339"/>
        <v>-771.15097439202998</v>
      </c>
      <c r="BH921">
        <f t="shared" si="324"/>
        <v>-3.1574245238295529</v>
      </c>
      <c r="BJ921">
        <f t="shared" si="325"/>
        <v>10.968036221627987</v>
      </c>
      <c r="BN921" s="20">
        <f t="shared" si="326"/>
        <v>-1.0493842017823576</v>
      </c>
      <c r="BP921">
        <f t="shared" si="327"/>
        <v>4.615830358155101</v>
      </c>
      <c r="BR921">
        <f t="shared" si="328"/>
        <v>-0.49340166347271208</v>
      </c>
      <c r="BT921">
        <f t="shared" si="329"/>
        <v>1.4174861811910406</v>
      </c>
      <c r="BV921">
        <f t="shared" si="330"/>
        <v>-1.6146386585744834</v>
      </c>
      <c r="BX921">
        <f t="shared" si="331"/>
        <v>4.9347196822818447</v>
      </c>
      <c r="CB921">
        <f t="shared" si="332"/>
        <v>332359.56083744118</v>
      </c>
      <c r="CD921">
        <f t="shared" si="333"/>
        <v>345809.16699512722</v>
      </c>
      <c r="CF921">
        <f t="shared" si="334"/>
        <v>317323.32715623558</v>
      </c>
    </row>
    <row r="922" spans="12:84" x14ac:dyDescent="0.25">
      <c r="L922">
        <v>911</v>
      </c>
      <c r="M922">
        <f t="shared" si="346"/>
        <v>5.723981814840525</v>
      </c>
      <c r="P922">
        <f t="shared" si="340"/>
        <v>24238.389680425207</v>
      </c>
      <c r="Q922">
        <f t="shared" si="341"/>
        <v>4847.4440784659982</v>
      </c>
      <c r="V922">
        <f t="shared" si="342"/>
        <v>-17033.127223702355</v>
      </c>
      <c r="W922">
        <f t="shared" si="343"/>
        <v>8143.2108549261993</v>
      </c>
      <c r="AB922">
        <f t="shared" si="344"/>
        <v>-761.61031957479099</v>
      </c>
      <c r="AC922">
        <f t="shared" si="345"/>
        <v>-17652.555921534004</v>
      </c>
      <c r="AW922">
        <v>915</v>
      </c>
      <c r="AX922">
        <f t="shared" si="335"/>
        <v>457.5</v>
      </c>
      <c r="AZ922">
        <f t="shared" si="336"/>
        <v>94013.034610266754</v>
      </c>
      <c r="BB922">
        <f t="shared" si="337"/>
        <v>-316973.89609166229</v>
      </c>
      <c r="BD922">
        <f t="shared" si="338"/>
        <v>665.18387035180922</v>
      </c>
      <c r="BF922">
        <f t="shared" si="339"/>
        <v>-765.66695628121602</v>
      </c>
      <c r="BH922">
        <f t="shared" si="324"/>
        <v>-3.1556350822369206</v>
      </c>
      <c r="BJ922">
        <f t="shared" si="325"/>
        <v>10.935210270651698</v>
      </c>
      <c r="BN922" s="20">
        <f t="shared" si="326"/>
        <v>-1.0498741534914651</v>
      </c>
      <c r="BP922">
        <f t="shared" si="327"/>
        <v>4.6026589611292223</v>
      </c>
      <c r="BR922">
        <f t="shared" si="328"/>
        <v>-0.4928254199531093</v>
      </c>
      <c r="BT922">
        <f t="shared" si="329"/>
        <v>1.4133563605767512</v>
      </c>
      <c r="BV922">
        <f t="shared" si="330"/>
        <v>-1.6129355087923465</v>
      </c>
      <c r="BX922">
        <f t="shared" si="331"/>
        <v>4.9191949489457256</v>
      </c>
      <c r="CB922">
        <f t="shared" si="332"/>
        <v>332808.1106841049</v>
      </c>
      <c r="CD922">
        <f t="shared" si="333"/>
        <v>346281.53399568255</v>
      </c>
      <c r="CF922">
        <f t="shared" si="334"/>
        <v>317792.09389711369</v>
      </c>
    </row>
    <row r="923" spans="12:84" x14ac:dyDescent="0.25">
      <c r="L923">
        <v>912</v>
      </c>
      <c r="M923">
        <f t="shared" si="346"/>
        <v>5.7302650001477042</v>
      </c>
      <c r="P923">
        <f t="shared" si="340"/>
        <v>24254.972408973252</v>
      </c>
      <c r="Q923">
        <f t="shared" si="341"/>
        <v>4874.1268501931863</v>
      </c>
      <c r="V923">
        <f t="shared" si="342"/>
        <v>-17021.519313718723</v>
      </c>
      <c r="W923">
        <f t="shared" si="343"/>
        <v>8161.8887951352308</v>
      </c>
      <c r="AB923">
        <f t="shared" si="344"/>
        <v>-745.02759102674736</v>
      </c>
      <c r="AC923">
        <f t="shared" si="345"/>
        <v>-17625.873149806812</v>
      </c>
      <c r="AW923">
        <v>916</v>
      </c>
      <c r="AX923">
        <f t="shared" si="335"/>
        <v>458</v>
      </c>
      <c r="AZ923">
        <f t="shared" si="336"/>
        <v>94345.232091057376</v>
      </c>
      <c r="BB923">
        <f t="shared" si="337"/>
        <v>-317355.36266851902</v>
      </c>
      <c r="BD923">
        <f t="shared" si="338"/>
        <v>663.60605281069081</v>
      </c>
      <c r="BF923">
        <f t="shared" si="339"/>
        <v>-760.1993511458902</v>
      </c>
      <c r="BH923">
        <f t="shared" si="324"/>
        <v>-3.1538745361026583</v>
      </c>
      <c r="BJ923">
        <f t="shared" si="325"/>
        <v>10.902705938897055</v>
      </c>
      <c r="BN923" s="20">
        <f t="shared" si="326"/>
        <v>-1.0503628845838779</v>
      </c>
      <c r="BP923">
        <f t="shared" si="327"/>
        <v>4.5896153150363315</v>
      </c>
      <c r="BR923">
        <f t="shared" si="328"/>
        <v>-0.49225667516702476</v>
      </c>
      <c r="BT923">
        <f t="shared" si="329"/>
        <v>1.4092661274846745</v>
      </c>
      <c r="BV923">
        <f t="shared" si="330"/>
        <v>-1.6112549763517556</v>
      </c>
      <c r="BX923">
        <f t="shared" si="331"/>
        <v>4.9038244963760498</v>
      </c>
      <c r="CB923">
        <f t="shared" si="332"/>
        <v>333253.98750677868</v>
      </c>
      <c r="CD923">
        <f t="shared" si="333"/>
        <v>346751.15799344546</v>
      </c>
      <c r="CF923">
        <f t="shared" si="334"/>
        <v>318258.13496851531</v>
      </c>
    </row>
    <row r="924" spans="12:84" x14ac:dyDescent="0.25">
      <c r="L924">
        <v>913</v>
      </c>
      <c r="M924">
        <f t="shared" si="346"/>
        <v>5.7365481854548834</v>
      </c>
      <c r="P924">
        <f t="shared" si="340"/>
        <v>24271.387158496269</v>
      </c>
      <c r="Q924">
        <f t="shared" si="341"/>
        <v>4900.9132868961151</v>
      </c>
      <c r="V924">
        <f t="shared" si="342"/>
        <v>-17010.028989052611</v>
      </c>
      <c r="W924">
        <f t="shared" si="343"/>
        <v>8180.6393008272807</v>
      </c>
      <c r="AB924">
        <f t="shared" si="344"/>
        <v>-728.61284150372921</v>
      </c>
      <c r="AC924">
        <f t="shared" si="345"/>
        <v>-17599.086713103883</v>
      </c>
      <c r="AW924">
        <v>917</v>
      </c>
      <c r="AX924">
        <f t="shared" si="335"/>
        <v>458.5</v>
      </c>
      <c r="AZ924">
        <f t="shared" si="336"/>
        <v>94676.640883145723</v>
      </c>
      <c r="BB924">
        <f t="shared" si="337"/>
        <v>-317734.09950584959</v>
      </c>
      <c r="BD924">
        <f t="shared" si="338"/>
        <v>662.02911554263949</v>
      </c>
      <c r="BF924">
        <f t="shared" si="339"/>
        <v>-754.74799817644168</v>
      </c>
      <c r="BH924">
        <f t="shared" si="324"/>
        <v>-3.1521428538330429</v>
      </c>
      <c r="BJ924">
        <f t="shared" si="325"/>
        <v>10.870519566278112</v>
      </c>
      <c r="BN924" s="20">
        <f t="shared" si="326"/>
        <v>-1.0508505556178227</v>
      </c>
      <c r="BP924">
        <f t="shared" si="327"/>
        <v>4.5766980160019646</v>
      </c>
      <c r="BR924">
        <f t="shared" si="328"/>
        <v>-0.49169537305648464</v>
      </c>
      <c r="BT924">
        <f t="shared" si="329"/>
        <v>1.4052150383796569</v>
      </c>
      <c r="BV924">
        <f t="shared" si="330"/>
        <v>-1.6095969251587359</v>
      </c>
      <c r="BX924">
        <f t="shared" si="331"/>
        <v>4.8886065118964916</v>
      </c>
      <c r="CB924">
        <f t="shared" si="332"/>
        <v>333697.198332517</v>
      </c>
      <c r="CD924">
        <f t="shared" si="333"/>
        <v>347218.04668414354</v>
      </c>
      <c r="CF924">
        <f t="shared" si="334"/>
        <v>318721.45792425907</v>
      </c>
    </row>
    <row r="925" spans="12:84" x14ac:dyDescent="0.25">
      <c r="L925">
        <v>914</v>
      </c>
      <c r="M925">
        <f t="shared" si="346"/>
        <v>5.7428313707620626</v>
      </c>
      <c r="P925">
        <f t="shared" si="340"/>
        <v>24287.633280968057</v>
      </c>
      <c r="Q925">
        <f t="shared" si="341"/>
        <v>4927.8023310921271</v>
      </c>
      <c r="V925">
        <f t="shared" si="342"/>
        <v>-16998.656703322362</v>
      </c>
      <c r="W925">
        <f t="shared" si="343"/>
        <v>8199.4616317644886</v>
      </c>
      <c r="AB925">
        <f t="shared" si="344"/>
        <v>-712.36671903194292</v>
      </c>
      <c r="AC925">
        <f t="shared" si="345"/>
        <v>-17572.197668907873</v>
      </c>
      <c r="AW925">
        <v>918</v>
      </c>
      <c r="AX925">
        <f t="shared" si="335"/>
        <v>459</v>
      </c>
      <c r="AZ925">
        <f t="shared" si="336"/>
        <v>95007.261423060321</v>
      </c>
      <c r="BB925">
        <f t="shared" si="337"/>
        <v>-318110.11468999204</v>
      </c>
      <c r="BD925">
        <f t="shared" si="338"/>
        <v>660.45304411572295</v>
      </c>
      <c r="BF925">
        <f t="shared" si="339"/>
        <v>-749.31273839330265</v>
      </c>
      <c r="BH925">
        <f t="shared" si="324"/>
        <v>-3.150440003303602</v>
      </c>
      <c r="BJ925">
        <f t="shared" si="325"/>
        <v>10.838647551746675</v>
      </c>
      <c r="BN925" s="20">
        <f t="shared" si="326"/>
        <v>-1.0513373239263646</v>
      </c>
      <c r="BP925">
        <f t="shared" si="327"/>
        <v>4.5639056822875519</v>
      </c>
      <c r="BR925">
        <f t="shared" si="328"/>
        <v>-0.49114145842996237</v>
      </c>
      <c r="BT925">
        <f t="shared" si="329"/>
        <v>1.4012026567754854</v>
      </c>
      <c r="BV925">
        <f t="shared" si="330"/>
        <v>-1.6079612209472751</v>
      </c>
      <c r="BX925">
        <f t="shared" si="331"/>
        <v>4.8735392126836388</v>
      </c>
      <c r="CB925">
        <f t="shared" si="332"/>
        <v>334137.75011904462</v>
      </c>
      <c r="CD925">
        <f t="shared" si="333"/>
        <v>347682.20768672053</v>
      </c>
      <c r="CF925">
        <f t="shared" si="334"/>
        <v>319182.07024317712</v>
      </c>
    </row>
    <row r="926" spans="12:84" x14ac:dyDescent="0.25">
      <c r="L926">
        <v>915</v>
      </c>
      <c r="M926">
        <f t="shared" si="346"/>
        <v>5.7491145560692418</v>
      </c>
      <c r="P926">
        <f t="shared" si="340"/>
        <v>24303.710135019515</v>
      </c>
      <c r="Q926">
        <f t="shared" si="341"/>
        <v>4954.7929212477993</v>
      </c>
      <c r="V926">
        <f t="shared" si="342"/>
        <v>-16987.402905486339</v>
      </c>
      <c r="W926">
        <f t="shared" si="343"/>
        <v>8218.3550448734604</v>
      </c>
      <c r="AB926">
        <f t="shared" si="344"/>
        <v>-696.28986498048471</v>
      </c>
      <c r="AC926">
        <f t="shared" si="345"/>
        <v>-17545.207078752199</v>
      </c>
      <c r="AW926">
        <v>919</v>
      </c>
      <c r="AX926">
        <f t="shared" si="335"/>
        <v>459.5</v>
      </c>
      <c r="AZ926">
        <f t="shared" si="336"/>
        <v>95337.09414011777</v>
      </c>
      <c r="BB926">
        <f t="shared" si="337"/>
        <v>-318483.41622824472</v>
      </c>
      <c r="BD926">
        <f t="shared" si="338"/>
        <v>658.87782411407113</v>
      </c>
      <c r="BF926">
        <f t="shared" si="339"/>
        <v>-743.89341461742936</v>
      </c>
      <c r="BH926">
        <f t="shared" si="324"/>
        <v>-3.1487659519118583</v>
      </c>
      <c r="BJ926">
        <f t="shared" si="325"/>
        <v>10.807086352157413</v>
      </c>
      <c r="BN926" s="20">
        <f t="shared" si="326"/>
        <v>-1.0518233437008833</v>
      </c>
      <c r="BP926">
        <f t="shared" si="327"/>
        <v>4.5512369538771953</v>
      </c>
      <c r="BR926">
        <f t="shared" si="328"/>
        <v>-0.49059487694896581</v>
      </c>
      <c r="BT926">
        <f t="shared" si="329"/>
        <v>1.3972285531010091</v>
      </c>
      <c r="BV926">
        <f t="shared" si="330"/>
        <v>-1.6063477312620091</v>
      </c>
      <c r="BX926">
        <f t="shared" si="331"/>
        <v>4.8586208451792086</v>
      </c>
      <c r="CB926">
        <f t="shared" si="332"/>
        <v>334575.64975549851</v>
      </c>
      <c r="CD926">
        <f t="shared" si="333"/>
        <v>348143.64854419598</v>
      </c>
      <c r="CF926">
        <f t="shared" si="334"/>
        <v>319639.97932994692</v>
      </c>
    </row>
    <row r="927" spans="12:84" x14ac:dyDescent="0.25">
      <c r="L927">
        <v>916</v>
      </c>
      <c r="M927">
        <f t="shared" si="346"/>
        <v>5.755397741376421</v>
      </c>
      <c r="P927">
        <f t="shared" si="340"/>
        <v>24319.617085963975</v>
      </c>
      <c r="Q927">
        <f t="shared" si="341"/>
        <v>4981.8839918208496</v>
      </c>
      <c r="V927">
        <f t="shared" si="342"/>
        <v>-16976.26803982522</v>
      </c>
      <c r="W927">
        <f t="shared" si="343"/>
        <v>8237.3187942745953</v>
      </c>
      <c r="AB927">
        <f t="shared" si="344"/>
        <v>-680.38291403602489</v>
      </c>
      <c r="AC927">
        <f t="shared" si="345"/>
        <v>-17518.11600817915</v>
      </c>
      <c r="AW927">
        <v>920</v>
      </c>
      <c r="AX927">
        <f t="shared" si="335"/>
        <v>460</v>
      </c>
      <c r="AZ927">
        <f t="shared" si="336"/>
        <v>95666.139456430828</v>
      </c>
      <c r="BB927">
        <f t="shared" si="337"/>
        <v>-318854.01204975939</v>
      </c>
      <c r="BD927">
        <f t="shared" si="338"/>
        <v>657.3034411381152</v>
      </c>
      <c r="BF927">
        <f t="shared" si="339"/>
        <v>-738.4898714413506</v>
      </c>
      <c r="BH927">
        <f t="shared" si="324"/>
        <v>-3.1471206666283358</v>
      </c>
      <c r="BJ927">
        <f t="shared" si="325"/>
        <v>10.775832481159629</v>
      </c>
      <c r="BN927" s="20">
        <f t="shared" si="326"/>
        <v>-1.0523087660724302</v>
      </c>
      <c r="BP927">
        <f t="shared" si="327"/>
        <v>4.5386904920742817</v>
      </c>
      <c r="BR927">
        <f t="shared" si="328"/>
        <v>-0.49005557511490966</v>
      </c>
      <c r="BT927">
        <f t="shared" si="329"/>
        <v>1.3932923045693495</v>
      </c>
      <c r="BV927">
        <f t="shared" si="330"/>
        <v>-1.604756325440996</v>
      </c>
      <c r="BX927">
        <f t="shared" si="331"/>
        <v>4.8438496845159991</v>
      </c>
      <c r="CB927">
        <f t="shared" si="332"/>
        <v>335010.90406315814</v>
      </c>
      <c r="CD927">
        <f t="shared" si="333"/>
        <v>348602.37672451086</v>
      </c>
      <c r="CF927">
        <f t="shared" si="334"/>
        <v>320095.19251590909</v>
      </c>
    </row>
    <row r="928" spans="12:84" x14ac:dyDescent="0.25">
      <c r="L928">
        <v>917</v>
      </c>
      <c r="M928">
        <f t="shared" si="346"/>
        <v>5.7616809266836002</v>
      </c>
      <c r="P928">
        <f t="shared" si="340"/>
        <v>24335.353505822248</v>
      </c>
      <c r="Q928">
        <f t="shared" si="341"/>
        <v>5009.0744733021966</v>
      </c>
      <c r="V928">
        <f t="shared" si="342"/>
        <v>-16965.252545924424</v>
      </c>
      <c r="W928">
        <f t="shared" si="343"/>
        <v>8256.352131311538</v>
      </c>
      <c r="AB928">
        <f t="shared" si="344"/>
        <v>-664.64649417775036</v>
      </c>
      <c r="AC928">
        <f t="shared" si="345"/>
        <v>-17490.925526697803</v>
      </c>
      <c r="AW928">
        <v>921</v>
      </c>
      <c r="AX928">
        <f t="shared" si="335"/>
        <v>460.5</v>
      </c>
      <c r="AZ928">
        <f t="shared" si="336"/>
        <v>95994.397786916568</v>
      </c>
      <c r="BB928">
        <f t="shared" si="337"/>
        <v>-319221.91000641993</v>
      </c>
      <c r="BD928">
        <f t="shared" si="338"/>
        <v>655.72988080480104</v>
      </c>
      <c r="BF928">
        <f t="shared" si="339"/>
        <v>-733.10195520077082</v>
      </c>
      <c r="BH928">
        <f t="shared" si="324"/>
        <v>-3.1455041140459605</v>
      </c>
      <c r="BJ928">
        <f t="shared" si="325"/>
        <v>10.744882508114882</v>
      </c>
      <c r="BN928" s="20">
        <f t="shared" si="326"/>
        <v>-1.0527937391908646</v>
      </c>
      <c r="BP928">
        <f t="shared" si="327"/>
        <v>4.5262649791069078</v>
      </c>
      <c r="BR928">
        <f t="shared" si="328"/>
        <v>-0.48952350025626312</v>
      </c>
      <c r="BT928">
        <f t="shared" si="329"/>
        <v>1.3893934950500959</v>
      </c>
      <c r="BV928">
        <f t="shared" si="330"/>
        <v>-1.6031868745988329</v>
      </c>
      <c r="BX928">
        <f t="shared" si="331"/>
        <v>4.8292240339578782</v>
      </c>
      <c r="CB928">
        <f t="shared" si="332"/>
        <v>335443.51979616372</v>
      </c>
      <c r="CD928">
        <f t="shared" si="333"/>
        <v>349058.39962135948</v>
      </c>
      <c r="CF928">
        <f t="shared" si="334"/>
        <v>320547.7170598727</v>
      </c>
    </row>
    <row r="929" spans="12:84" x14ac:dyDescent="0.25">
      <c r="L929">
        <v>918</v>
      </c>
      <c r="M929">
        <f t="shared" si="346"/>
        <v>5.7679641119907794</v>
      </c>
      <c r="P929">
        <f t="shared" si="340"/>
        <v>24350.918773347428</v>
      </c>
      <c r="Q929">
        <f t="shared" si="341"/>
        <v>5036.3632922581901</v>
      </c>
      <c r="V929">
        <f t="shared" si="342"/>
        <v>-16954.3568586568</v>
      </c>
      <c r="W929">
        <f t="shared" si="343"/>
        <v>8275.4543045807332</v>
      </c>
      <c r="AB929">
        <f t="shared" si="344"/>
        <v>-649.08122665257179</v>
      </c>
      <c r="AC929">
        <f t="shared" si="345"/>
        <v>-17463.636707741811</v>
      </c>
      <c r="AW929">
        <v>922</v>
      </c>
      <c r="AX929">
        <f t="shared" si="335"/>
        <v>461</v>
      </c>
      <c r="AZ929">
        <f t="shared" si="336"/>
        <v>96321.869539304709</v>
      </c>
      <c r="BB929">
        <f t="shared" si="337"/>
        <v>-319587.1178737068</v>
      </c>
      <c r="BD929">
        <f t="shared" si="338"/>
        <v>654.15712874777807</v>
      </c>
      <c r="BF929">
        <f t="shared" si="339"/>
        <v>-727.72951394671338</v>
      </c>
      <c r="BH929">
        <f t="shared" si="324"/>
        <v>-3.1439162604274618</v>
      </c>
      <c r="BJ929">
        <f t="shared" si="325"/>
        <v>10.714233057038427</v>
      </c>
      <c r="BN929" s="20">
        <f t="shared" si="326"/>
        <v>-1.053278408301823</v>
      </c>
      <c r="BP929">
        <f t="shared" si="327"/>
        <v>4.5139591177418517</v>
      </c>
      <c r="BR929">
        <f t="shared" si="328"/>
        <v>-0.4889986005159348</v>
      </c>
      <c r="BT929">
        <f t="shared" si="329"/>
        <v>1.3855317149443267</v>
      </c>
      <c r="BV929">
        <f t="shared" si="330"/>
        <v>-1.6016392516097042</v>
      </c>
      <c r="BX929">
        <f t="shared" si="331"/>
        <v>4.8147422243522504</v>
      </c>
      <c r="CB929">
        <f t="shared" si="332"/>
        <v>335873.50364222366</v>
      </c>
      <c r="CD929">
        <f t="shared" si="333"/>
        <v>349511.72455500788</v>
      </c>
      <c r="CF929">
        <f t="shared" si="334"/>
        <v>320997.56014890713</v>
      </c>
    </row>
    <row r="930" spans="12:84" x14ac:dyDescent="0.25">
      <c r="L930">
        <v>919</v>
      </c>
      <c r="M930">
        <f t="shared" si="346"/>
        <v>5.7742472972979586</v>
      </c>
      <c r="P930">
        <f t="shared" si="340"/>
        <v>24366.312274049404</v>
      </c>
      <c r="Q930">
        <f t="shared" si="341"/>
        <v>5063.7493713729837</v>
      </c>
      <c r="V930">
        <f t="shared" si="342"/>
        <v>-16943.581408165417</v>
      </c>
      <c r="W930">
        <f t="shared" si="343"/>
        <v>8294.6245599610884</v>
      </c>
      <c r="AB930">
        <f t="shared" si="344"/>
        <v>-633.68772595059727</v>
      </c>
      <c r="AC930">
        <f t="shared" si="345"/>
        <v>-17436.250628627018</v>
      </c>
      <c r="AW930">
        <v>923</v>
      </c>
      <c r="AX930">
        <f t="shared" si="335"/>
        <v>461.5</v>
      </c>
      <c r="AZ930">
        <f t="shared" si="336"/>
        <v>96648.555114146046</v>
      </c>
      <c r="BB930">
        <f t="shared" si="337"/>
        <v>-319949.643351548</v>
      </c>
      <c r="BD930">
        <f t="shared" si="338"/>
        <v>652.58517061756436</v>
      </c>
      <c r="BF930">
        <f t="shared" si="339"/>
        <v>-722.37239741819417</v>
      </c>
      <c r="BH930">
        <f t="shared" si="324"/>
        <v>-3.1423570717514266</v>
      </c>
      <c r="BJ930">
        <f t="shared" si="325"/>
        <v>10.683880805565883</v>
      </c>
      <c r="BN930" s="20">
        <f t="shared" si="326"/>
        <v>-1.0537629158217765</v>
      </c>
      <c r="BP930">
        <f t="shared" si="327"/>
        <v>4.5017716309077009</v>
      </c>
      <c r="BR930">
        <f t="shared" si="328"/>
        <v>-0.48848082483893945</v>
      </c>
      <c r="BT930">
        <f t="shared" si="329"/>
        <v>1.3817065610625157</v>
      </c>
      <c r="BV930">
        <f t="shared" si="330"/>
        <v>-1.600113331090711</v>
      </c>
      <c r="BX930">
        <f t="shared" si="331"/>
        <v>4.8004026135956659</v>
      </c>
      <c r="CB930">
        <f t="shared" si="332"/>
        <v>336300.8622233108</v>
      </c>
      <c r="CD930">
        <f t="shared" si="333"/>
        <v>349962.35877309961</v>
      </c>
      <c r="CF930">
        <f t="shared" si="334"/>
        <v>321444.72889912181</v>
      </c>
    </row>
    <row r="931" spans="12:84" x14ac:dyDescent="0.25">
      <c r="L931">
        <v>920</v>
      </c>
      <c r="M931">
        <f t="shared" si="346"/>
        <v>5.7805304826051378</v>
      </c>
      <c r="P931">
        <f t="shared" si="340"/>
        <v>24381.533400219123</v>
      </c>
      <c r="Q931">
        <f t="shared" si="341"/>
        <v>5091.2316294910652</v>
      </c>
      <c r="V931">
        <f t="shared" si="342"/>
        <v>-16932.926619846614</v>
      </c>
      <c r="W931">
        <f t="shared" si="343"/>
        <v>8313.8621406437451</v>
      </c>
      <c r="AB931">
        <f t="shared" si="344"/>
        <v>-618.46659978087882</v>
      </c>
      <c r="AC931">
        <f t="shared" si="345"/>
        <v>-17408.768370508937</v>
      </c>
      <c r="AW931">
        <v>924</v>
      </c>
      <c r="AX931">
        <f t="shared" si="335"/>
        <v>462</v>
      </c>
      <c r="AZ931">
        <f t="shared" si="336"/>
        <v>96974.454904820857</v>
      </c>
      <c r="BB931">
        <f t="shared" si="337"/>
        <v>-320309.49406515644</v>
      </c>
      <c r="BD931">
        <f t="shared" si="338"/>
        <v>651.01399208168868</v>
      </c>
      <c r="BF931">
        <f t="shared" si="339"/>
        <v>-717.03045701541123</v>
      </c>
      <c r="BH931">
        <f t="shared" si="324"/>
        <v>-3.1408265137565703</v>
      </c>
      <c r="BJ931">
        <f t="shared" si="325"/>
        <v>10.653822483942523</v>
      </c>
      <c r="BN931" s="20">
        <f t="shared" si="326"/>
        <v>-1.0542474014109331</v>
      </c>
      <c r="BP931">
        <f t="shared" si="327"/>
        <v>4.4897012613255889</v>
      </c>
      <c r="BR931">
        <f t="shared" si="328"/>
        <v>-0.4879701229603175</v>
      </c>
      <c r="BT931">
        <f t="shared" si="329"/>
        <v>1.3779176365051982</v>
      </c>
      <c r="BV931">
        <f t="shared" si="330"/>
        <v>-1.5986089893853199</v>
      </c>
      <c r="BX931">
        <f t="shared" si="331"/>
        <v>4.7862035861117356</v>
      </c>
      <c r="CB931">
        <f t="shared" si="332"/>
        <v>336725.60209634807</v>
      </c>
      <c r="CD931">
        <f t="shared" si="333"/>
        <v>350410.30945144803</v>
      </c>
      <c r="CF931">
        <f t="shared" si="334"/>
        <v>321889.23035643355</v>
      </c>
    </row>
    <row r="932" spans="12:84" x14ac:dyDescent="0.25">
      <c r="L932">
        <v>921</v>
      </c>
      <c r="M932">
        <f t="shared" si="346"/>
        <v>5.786813667912317</v>
      </c>
      <c r="P932">
        <f t="shared" si="340"/>
        <v>24396.581550952586</v>
      </c>
      <c r="Q932">
        <f t="shared" si="341"/>
        <v>5118.8089816599431</v>
      </c>
      <c r="V932">
        <f t="shared" si="342"/>
        <v>-16922.392914333192</v>
      </c>
      <c r="W932">
        <f t="shared" si="343"/>
        <v>8333.166287161961</v>
      </c>
      <c r="AB932">
        <f t="shared" si="344"/>
        <v>-603.41844904741447</v>
      </c>
      <c r="AC932">
        <f t="shared" si="345"/>
        <v>-17381.191018340058</v>
      </c>
      <c r="AW932">
        <v>925</v>
      </c>
      <c r="AX932">
        <f t="shared" si="335"/>
        <v>462.5</v>
      </c>
      <c r="AZ932">
        <f t="shared" si="336"/>
        <v>97299.569297547481</v>
      </c>
      <c r="BB932">
        <f t="shared" si="337"/>
        <v>-320666.67756585364</v>
      </c>
      <c r="BD932">
        <f t="shared" si="338"/>
        <v>649.4435788248104</v>
      </c>
      <c r="BF932">
        <f t="shared" si="339"/>
        <v>-711.70354577343994</v>
      </c>
      <c r="BH932">
        <f t="shared" si="324"/>
        <v>-3.1393245519846662</v>
      </c>
      <c r="BJ932">
        <f t="shared" si="325"/>
        <v>10.624054874036325</v>
      </c>
      <c r="BN932" s="20">
        <f t="shared" si="326"/>
        <v>-1.0547320020444133</v>
      </c>
      <c r="BP932">
        <f t="shared" si="327"/>
        <v>4.4777467711489312</v>
      </c>
      <c r="BR932">
        <f t="shared" si="328"/>
        <v>-0.48746644539326744</v>
      </c>
      <c r="BT932">
        <f t="shared" si="329"/>
        <v>1.3741645505462101</v>
      </c>
      <c r="BV932">
        <f t="shared" si="330"/>
        <v>-1.5971261045469856</v>
      </c>
      <c r="BX932">
        <f t="shared" si="331"/>
        <v>4.7721435523411833</v>
      </c>
      <c r="CB932">
        <f t="shared" si="332"/>
        <v>337147.72975388297</v>
      </c>
      <c r="CD932">
        <f t="shared" si="333"/>
        <v>350855.58369481645</v>
      </c>
      <c r="CF932">
        <f t="shared" si="334"/>
        <v>322331.0714973213</v>
      </c>
    </row>
    <row r="933" spans="12:84" x14ac:dyDescent="0.25">
      <c r="L933">
        <v>922</v>
      </c>
      <c r="M933">
        <f t="shared" si="346"/>
        <v>5.7930968532194962</v>
      </c>
      <c r="P933">
        <f t="shared" si="340"/>
        <v>24411.456132174571</v>
      </c>
      <c r="Q933">
        <f t="shared" si="341"/>
        <v>5146.4803391729729</v>
      </c>
      <c r="V933">
        <f t="shared" si="342"/>
        <v>-16911.9807074778</v>
      </c>
      <c r="W933">
        <f t="shared" si="343"/>
        <v>8352.5362374210818</v>
      </c>
      <c r="AB933">
        <f t="shared" si="344"/>
        <v>-588.5438678254277</v>
      </c>
      <c r="AC933">
        <f t="shared" si="345"/>
        <v>-17353.519660827027</v>
      </c>
      <c r="AW933">
        <v>926</v>
      </c>
      <c r="AX933">
        <f t="shared" si="335"/>
        <v>463</v>
      </c>
      <c r="AZ933">
        <f t="shared" si="336"/>
        <v>97623.898671390882</v>
      </c>
      <c r="BB933">
        <f t="shared" si="337"/>
        <v>-321021.20133188111</v>
      </c>
      <c r="BD933">
        <f t="shared" si="338"/>
        <v>647.8739165488181</v>
      </c>
      <c r="BF933">
        <f t="shared" si="339"/>
        <v>-706.39151833642177</v>
      </c>
      <c r="BH933">
        <f t="shared" si="324"/>
        <v>-3.1378511518218444</v>
      </c>
      <c r="BJ933">
        <f t="shared" si="325"/>
        <v>10.59457480837259</v>
      </c>
      <c r="BN933" s="20">
        <f t="shared" si="326"/>
        <v>-1.0552168520814069</v>
      </c>
      <c r="BP933">
        <f t="shared" si="327"/>
        <v>4.4659069416104362</v>
      </c>
      <c r="BR933">
        <f t="shared" si="328"/>
        <v>-0.48696974341757387</v>
      </c>
      <c r="BT933">
        <f t="shared" si="329"/>
        <v>1.370446918518698</v>
      </c>
      <c r="BV933">
        <f t="shared" si="330"/>
        <v>-1.5956645563228637</v>
      </c>
      <c r="BX933">
        <f t="shared" si="331"/>
        <v>4.7582209482434559</v>
      </c>
      <c r="CB933">
        <f t="shared" si="332"/>
        <v>337567.25162475213</v>
      </c>
      <c r="CD933">
        <f t="shared" si="333"/>
        <v>351298.18853768572</v>
      </c>
      <c r="CF933">
        <f t="shared" si="334"/>
        <v>322770.2592295697</v>
      </c>
    </row>
    <row r="934" spans="12:84" x14ac:dyDescent="0.25">
      <c r="L934">
        <v>923</v>
      </c>
      <c r="M934">
        <f t="shared" si="346"/>
        <v>5.7993800385266754</v>
      </c>
      <c r="P934">
        <f t="shared" si="340"/>
        <v>24426.156556662085</v>
      </c>
      <c r="Q934">
        <f t="shared" si="341"/>
        <v>5174.2446096123413</v>
      </c>
      <c r="V934">
        <f t="shared" si="342"/>
        <v>-16901.690410336541</v>
      </c>
      <c r="W934">
        <f t="shared" si="343"/>
        <v>8371.9712267286395</v>
      </c>
      <c r="AB934">
        <f t="shared" si="344"/>
        <v>-573.84344333791705</v>
      </c>
      <c r="AC934">
        <f t="shared" si="345"/>
        <v>-17325.755390387658</v>
      </c>
      <c r="AW934">
        <v>927</v>
      </c>
      <c r="AX934">
        <f t="shared" si="335"/>
        <v>463.5</v>
      </c>
      <c r="AZ934">
        <f t="shared" si="336"/>
        <v>97947.443398271309</v>
      </c>
      <c r="BB934">
        <f t="shared" si="337"/>
        <v>-321373.07276919828</v>
      </c>
      <c r="BD934">
        <f t="shared" si="338"/>
        <v>646.30499097290715</v>
      </c>
      <c r="BF934">
        <f t="shared" si="339"/>
        <v>-701.09423093223552</v>
      </c>
      <c r="BH934">
        <f t="shared" si="324"/>
        <v>-3.13640627853861</v>
      </c>
      <c r="BJ934">
        <f t="shared" si="325"/>
        <v>10.565379169190766</v>
      </c>
      <c r="BN934" s="20">
        <f t="shared" si="326"/>
        <v>-1.0557020833325605</v>
      </c>
      <c r="BP934">
        <f t="shared" si="327"/>
        <v>4.4541805726770418</v>
      </c>
      <c r="BR934">
        <f t="shared" si="328"/>
        <v>-0.48647996906822749</v>
      </c>
      <c r="BT934">
        <f t="shared" si="329"/>
        <v>1.366764361703543</v>
      </c>
      <c r="BV934">
        <f t="shared" si="330"/>
        <v>-1.5942242261378221</v>
      </c>
      <c r="BX934">
        <f t="shared" si="331"/>
        <v>4.7444342348101811</v>
      </c>
      <c r="CB934">
        <f t="shared" si="332"/>
        <v>337984.17407473549</v>
      </c>
      <c r="CD934">
        <f t="shared" si="333"/>
        <v>351738.1309450097</v>
      </c>
      <c r="CF934">
        <f t="shared" si="334"/>
        <v>323206.8003930003</v>
      </c>
    </row>
    <row r="935" spans="12:84" x14ac:dyDescent="0.25">
      <c r="L935">
        <v>924</v>
      </c>
      <c r="M935">
        <f t="shared" si="346"/>
        <v>5.8056632238338546</v>
      </c>
      <c r="P935">
        <f t="shared" si="340"/>
        <v>24440.682244067531</v>
      </c>
      <c r="Q935">
        <f t="shared" si="341"/>
        <v>5202.1006968921902</v>
      </c>
      <c r="V935">
        <f t="shared" si="342"/>
        <v>-16891.522429152727</v>
      </c>
      <c r="W935">
        <f t="shared" si="343"/>
        <v>8391.4704878245338</v>
      </c>
      <c r="AB935">
        <f t="shared" si="344"/>
        <v>-559.31775593246857</v>
      </c>
      <c r="AC935">
        <f t="shared" si="345"/>
        <v>-17297.89930310781</v>
      </c>
      <c r="AW935">
        <v>928</v>
      </c>
      <c r="AX935">
        <f t="shared" si="335"/>
        <v>464</v>
      </c>
      <c r="AZ935">
        <f t="shared" si="336"/>
        <v>98270.203842972944</v>
      </c>
      <c r="BB935">
        <f t="shared" si="337"/>
        <v>-321722.2992122682</v>
      </c>
      <c r="BD935">
        <f t="shared" si="338"/>
        <v>644.73678783363789</v>
      </c>
      <c r="BF935">
        <f t="shared" si="339"/>
        <v>-695.81154134764017</v>
      </c>
      <c r="BH935">
        <f t="shared" si="324"/>
        <v>-3.1349898973284258</v>
      </c>
      <c r="BJ935">
        <f t="shared" si="325"/>
        <v>10.536464887522275</v>
      </c>
      <c r="BN935" s="20">
        <f t="shared" si="326"/>
        <v>-1.0561878251256569</v>
      </c>
      <c r="BP935">
        <f t="shared" si="327"/>
        <v>4.442566482712591</v>
      </c>
      <c r="BR935">
        <f t="shared" si="328"/>
        <v>-0.48599707512428336</v>
      </c>
      <c r="BT935">
        <f t="shared" si="329"/>
        <v>1.3631165072202878</v>
      </c>
      <c r="BV935">
        <f t="shared" si="330"/>
        <v>-1.5928049970784859</v>
      </c>
      <c r="BX935">
        <f t="shared" si="331"/>
        <v>4.730781897589396</v>
      </c>
      <c r="CB935">
        <f t="shared" si="332"/>
        <v>338398.50340720004</v>
      </c>
      <c r="CD935">
        <f t="shared" si="333"/>
        <v>352175.41781295859</v>
      </c>
      <c r="CF935">
        <f t="shared" si="334"/>
        <v>323640.7017601917</v>
      </c>
    </row>
    <row r="936" spans="12:84" x14ac:dyDescent="0.25">
      <c r="L936">
        <v>925</v>
      </c>
      <c r="M936">
        <f t="shared" si="346"/>
        <v>5.8119464091410338</v>
      </c>
      <c r="P936">
        <f t="shared" si="340"/>
        <v>24455.032620941649</v>
      </c>
      <c r="Q936">
        <f t="shared" si="341"/>
        <v>5230.0475013018931</v>
      </c>
      <c r="V936">
        <f t="shared" si="342"/>
        <v>-16881.477165340846</v>
      </c>
      <c r="W936">
        <f t="shared" si="343"/>
        <v>8411.033250911325</v>
      </c>
      <c r="AB936">
        <f t="shared" si="344"/>
        <v>-544.96737905835107</v>
      </c>
      <c r="AC936">
        <f t="shared" si="345"/>
        <v>-17269.952498698105</v>
      </c>
      <c r="AW936">
        <v>929</v>
      </c>
      <c r="AX936">
        <f t="shared" si="335"/>
        <v>464.5</v>
      </c>
      <c r="AZ936">
        <f t="shared" si="336"/>
        <v>98592.180363152598</v>
      </c>
      <c r="BB936">
        <f t="shared" si="337"/>
        <v>-322068.88792483107</v>
      </c>
      <c r="BD936">
        <f t="shared" si="338"/>
        <v>643.16929288497363</v>
      </c>
      <c r="BF936">
        <f t="shared" si="339"/>
        <v>-690.54330890387905</v>
      </c>
      <c r="BH936">
        <f t="shared" si="324"/>
        <v>-3.1336019733449669</v>
      </c>
      <c r="BJ936">
        <f t="shared" si="325"/>
        <v>10.507828942288853</v>
      </c>
      <c r="BN936" s="20">
        <f t="shared" si="326"/>
        <v>-1.0566742043695339</v>
      </c>
      <c r="BP936">
        <f t="shared" si="327"/>
        <v>4.4310635081476386</v>
      </c>
      <c r="BR936">
        <f t="shared" si="328"/>
        <v>-0.4855210150979537</v>
      </c>
      <c r="BT936">
        <f t="shared" si="329"/>
        <v>1.3595029879204985</v>
      </c>
      <c r="BV936">
        <f t="shared" si="330"/>
        <v>-1.5914067538774792</v>
      </c>
      <c r="BX936">
        <f t="shared" si="331"/>
        <v>4.7172624462207171</v>
      </c>
      <c r="CB936">
        <f t="shared" si="332"/>
        <v>338810.24586373445</v>
      </c>
      <c r="CD936">
        <f t="shared" si="333"/>
        <v>352610.05596965115</v>
      </c>
      <c r="CF936">
        <f t="shared" si="334"/>
        <v>324071.9700371885</v>
      </c>
    </row>
    <row r="937" spans="12:84" x14ac:dyDescent="0.25">
      <c r="L937">
        <v>926</v>
      </c>
      <c r="M937">
        <f t="shared" si="346"/>
        <v>5.818229594448213</v>
      </c>
      <c r="P937">
        <f t="shared" si="340"/>
        <v>24469.207120756131</v>
      </c>
      <c r="Q937">
        <f t="shared" si="341"/>
        <v>5258.0839195494627</v>
      </c>
      <c r="V937">
        <f t="shared" si="342"/>
        <v>-16871.555015470709</v>
      </c>
      <c r="W937">
        <f t="shared" si="343"/>
        <v>8430.6587436846239</v>
      </c>
      <c r="AB937">
        <f t="shared" si="344"/>
        <v>-530.79287924386972</v>
      </c>
      <c r="AC937">
        <f t="shared" si="345"/>
        <v>-17241.916080450537</v>
      </c>
      <c r="AW937">
        <v>930</v>
      </c>
      <c r="AX937">
        <f t="shared" si="335"/>
        <v>465</v>
      </c>
      <c r="AZ937">
        <f t="shared" si="336"/>
        <v>98913.373309348419</v>
      </c>
      <c r="BB937">
        <f t="shared" si="337"/>
        <v>-322412.84610066522</v>
      </c>
      <c r="BD937">
        <f t="shared" si="338"/>
        <v>641.6024918983012</v>
      </c>
      <c r="BF937">
        <f t="shared" si="339"/>
        <v>-685.28939443273464</v>
      </c>
      <c r="BH937">
        <f t="shared" si="324"/>
        <v>-3.1322424717382638</v>
      </c>
      <c r="BJ937">
        <f t="shared" si="325"/>
        <v>10.479468359421507</v>
      </c>
      <c r="BN937" s="20">
        <f t="shared" si="326"/>
        <v>-1.0571613456163946</v>
      </c>
      <c r="BP937">
        <f t="shared" si="327"/>
        <v>4.4196705031566159</v>
      </c>
      <c r="BR937">
        <f t="shared" si="328"/>
        <v>-0.48505174322392136</v>
      </c>
      <c r="BT937">
        <f t="shared" si="329"/>
        <v>1.3559234422834845</v>
      </c>
      <c r="BV937">
        <f t="shared" si="330"/>
        <v>-1.5900293828979477</v>
      </c>
      <c r="BX937">
        <f t="shared" si="331"/>
        <v>4.7038744139814073</v>
      </c>
      <c r="CB937">
        <f t="shared" si="332"/>
        <v>339219.40762477281</v>
      </c>
      <c r="CD937">
        <f t="shared" si="333"/>
        <v>353042.05217587465</v>
      </c>
      <c r="CF937">
        <f t="shared" si="334"/>
        <v>324500.61186419858</v>
      </c>
    </row>
    <row r="938" spans="12:84" x14ac:dyDescent="0.25">
      <c r="L938">
        <v>927</v>
      </c>
      <c r="M938">
        <f t="shared" si="346"/>
        <v>5.8245127797553922</v>
      </c>
      <c r="P938">
        <f t="shared" si="340"/>
        <v>24483.205183925991</v>
      </c>
      <c r="Q938">
        <f t="shared" si="341"/>
        <v>5286.2088448051136</v>
      </c>
      <c r="V938">
        <f t="shared" si="342"/>
        <v>-16861.756371251806</v>
      </c>
      <c r="W938">
        <f t="shared" si="343"/>
        <v>8450.3461913635801</v>
      </c>
      <c r="AB938">
        <f t="shared" si="344"/>
        <v>-516.79481607400794</v>
      </c>
      <c r="AC938">
        <f t="shared" si="345"/>
        <v>-17213.791155194886</v>
      </c>
      <c r="AW938">
        <v>931</v>
      </c>
      <c r="AX938">
        <f t="shared" si="335"/>
        <v>465.5</v>
      </c>
      <c r="AZ938">
        <f t="shared" si="336"/>
        <v>99233.783024988588</v>
      </c>
      <c r="BB938">
        <f t="shared" si="337"/>
        <v>-322754.18086433661</v>
      </c>
      <c r="BD938">
        <f t="shared" si="338"/>
        <v>640.03637066243209</v>
      </c>
      <c r="BF938">
        <f t="shared" si="339"/>
        <v>-680.04966025302383</v>
      </c>
      <c r="BH938">
        <f t="shared" si="324"/>
        <v>-3.1309113576893566</v>
      </c>
      <c r="BJ938">
        <f t="shared" si="325"/>
        <v>10.451380210998153</v>
      </c>
      <c r="BN938" s="20">
        <f t="shared" si="326"/>
        <v>-1.0576493711224471</v>
      </c>
      <c r="BP938">
        <f t="shared" si="327"/>
        <v>4.4083863393417078</v>
      </c>
      <c r="BR938">
        <f t="shared" si="328"/>
        <v>-0.4845892144488656</v>
      </c>
      <c r="BT938">
        <f t="shared" si="329"/>
        <v>1.3523775143142998</v>
      </c>
      <c r="BV938">
        <f t="shared" si="330"/>
        <v>-1.588672772118044</v>
      </c>
      <c r="BX938">
        <f t="shared" si="331"/>
        <v>4.6906163573421464</v>
      </c>
      <c r="CB938">
        <f t="shared" si="332"/>
        <v>339625.99481021019</v>
      </c>
      <c r="CD938">
        <f t="shared" si="333"/>
        <v>353471.41312579392</v>
      </c>
      <c r="CF938">
        <f t="shared" si="334"/>
        <v>324926.63381628046</v>
      </c>
    </row>
    <row r="939" spans="12:84" x14ac:dyDescent="0.25">
      <c r="L939">
        <v>928</v>
      </c>
      <c r="M939">
        <f t="shared" si="346"/>
        <v>5.8307959650625714</v>
      </c>
      <c r="P939">
        <f t="shared" si="340"/>
        <v>24497.026257831669</v>
      </c>
      <c r="Q939">
        <f t="shared" si="341"/>
        <v>5314.4211667449536</v>
      </c>
      <c r="V939">
        <f t="shared" si="342"/>
        <v>-16852.08161951783</v>
      </c>
      <c r="W939">
        <f t="shared" si="343"/>
        <v>8470.0948167214683</v>
      </c>
      <c r="AB939">
        <f t="shared" si="344"/>
        <v>-502.97374216833032</v>
      </c>
      <c r="AC939">
        <f t="shared" si="345"/>
        <v>-17185.578833255047</v>
      </c>
      <c r="AW939">
        <v>932</v>
      </c>
      <c r="AX939">
        <f t="shared" si="335"/>
        <v>466</v>
      </c>
      <c r="AZ939">
        <f t="shared" si="336"/>
        <v>99553.409846400085</v>
      </c>
      <c r="BB939">
        <f t="shared" si="337"/>
        <v>-323092.89927193674</v>
      </c>
      <c r="BD939">
        <f t="shared" si="338"/>
        <v>638.47091498358736</v>
      </c>
      <c r="BF939">
        <f t="shared" si="339"/>
        <v>-674.82397014752473</v>
      </c>
      <c r="BH939">
        <f t="shared" si="324"/>
        <v>-3.1296085964440716</v>
      </c>
      <c r="BJ939">
        <f t="shared" si="325"/>
        <v>10.423561614401368</v>
      </c>
      <c r="BN939" s="20">
        <f t="shared" si="326"/>
        <v>-1.0581384009070824</v>
      </c>
      <c r="BP939">
        <f t="shared" si="327"/>
        <v>4.3972099054239706</v>
      </c>
      <c r="BR939">
        <f t="shared" si="328"/>
        <v>-0.48413338442118159</v>
      </c>
      <c r="BT939">
        <f t="shared" si="329"/>
        <v>1.3488648534439294</v>
      </c>
      <c r="BV939">
        <f t="shared" si="330"/>
        <v>-1.5873368111158075</v>
      </c>
      <c r="BX939">
        <f t="shared" si="331"/>
        <v>4.6774868555334672</v>
      </c>
      <c r="CB939">
        <f t="shared" si="332"/>
        <v>340030.01348000771</v>
      </c>
      <c r="CD939">
        <f t="shared" si="333"/>
        <v>353898.14544764982</v>
      </c>
      <c r="CF939">
        <f t="shared" si="334"/>
        <v>325350.04240401916</v>
      </c>
    </row>
    <row r="940" spans="12:84" x14ac:dyDescent="0.25">
      <c r="L940">
        <v>929</v>
      </c>
      <c r="M940">
        <f t="shared" si="346"/>
        <v>5.8370791503697506</v>
      </c>
      <c r="P940">
        <f t="shared" si="340"/>
        <v>24510.66979684083</v>
      </c>
      <c r="Q940">
        <f t="shared" si="341"/>
        <v>5342.7197715948205</v>
      </c>
      <c r="V940">
        <f t="shared" si="342"/>
        <v>-16842.531142211417</v>
      </c>
      <c r="W940">
        <f t="shared" si="343"/>
        <v>8489.9038401163743</v>
      </c>
      <c r="AB940">
        <f t="shared" si="344"/>
        <v>-489.3302031591702</v>
      </c>
      <c r="AC940">
        <f t="shared" si="345"/>
        <v>-17157.28022840518</v>
      </c>
      <c r="AW940">
        <v>933</v>
      </c>
      <c r="AX940">
        <f t="shared" si="335"/>
        <v>466.5</v>
      </c>
      <c r="AZ940">
        <f t="shared" si="336"/>
        <v>99872.254102817329</v>
      </c>
      <c r="BB940">
        <f t="shared" si="337"/>
        <v>-323429.00831180869</v>
      </c>
      <c r="BD940">
        <f t="shared" si="338"/>
        <v>636.90611068536532</v>
      </c>
      <c r="BF940">
        <f t="shared" si="339"/>
        <v>-669.61218934032399</v>
      </c>
      <c r="BH940">
        <f t="shared" si="324"/>
        <v>-3.1283341533454201</v>
      </c>
      <c r="BJ940">
        <f t="shared" si="325"/>
        <v>10.396009731493882</v>
      </c>
      <c r="BN940" s="20">
        <f t="shared" si="326"/>
        <v>-1.0586285528104367</v>
      </c>
      <c r="BP940">
        <f t="shared" si="327"/>
        <v>4.3861401069406627</v>
      </c>
      <c r="BR940">
        <f t="shared" si="328"/>
        <v>-0.48368420948094387</v>
      </c>
      <c r="BT940">
        <f t="shared" si="329"/>
        <v>1.345385114431763</v>
      </c>
      <c r="BV940">
        <f t="shared" si="330"/>
        <v>-1.5860213910540395</v>
      </c>
      <c r="BX940">
        <f t="shared" si="331"/>
        <v>4.664484510121456</v>
      </c>
      <c r="CB940">
        <f t="shared" si="332"/>
        <v>340431.46963478887</v>
      </c>
      <c r="CD940">
        <f t="shared" si="333"/>
        <v>354322.25570444571</v>
      </c>
      <c r="CF940">
        <f t="shared" si="334"/>
        <v>325770.84407419217</v>
      </c>
    </row>
    <row r="941" spans="12:84" x14ac:dyDescent="0.25">
      <c r="L941">
        <v>930</v>
      </c>
      <c r="M941">
        <f t="shared" si="346"/>
        <v>5.8433623356769298</v>
      </c>
      <c r="P941">
        <f t="shared" si="340"/>
        <v>24524.135262329917</v>
      </c>
      <c r="Q941">
        <f t="shared" si="341"/>
        <v>5371.103542174249</v>
      </c>
      <c r="V941">
        <f t="shared" si="342"/>
        <v>-16833.105316369059</v>
      </c>
      <c r="W941">
        <f t="shared" si="343"/>
        <v>8509.7724795219747</v>
      </c>
      <c r="AB941">
        <f t="shared" si="344"/>
        <v>-475.86473767008465</v>
      </c>
      <c r="AC941">
        <f t="shared" si="345"/>
        <v>-17128.896457825751</v>
      </c>
      <c r="AW941">
        <v>934</v>
      </c>
      <c r="AX941">
        <f t="shared" si="335"/>
        <v>467</v>
      </c>
      <c r="AZ941">
        <f t="shared" si="336"/>
        <v>100190.31611639085</v>
      </c>
      <c r="BB941">
        <f t="shared" si="337"/>
        <v>-323762.51490526239</v>
      </c>
      <c r="BD941">
        <f t="shared" si="338"/>
        <v>635.34194360869265</v>
      </c>
      <c r="BF941">
        <f t="shared" si="339"/>
        <v>-664.41418447457704</v>
      </c>
      <c r="BH941">
        <f t="shared" si="324"/>
        <v>-3.1270879938650431</v>
      </c>
      <c r="BJ941">
        <f t="shared" si="325"/>
        <v>10.368721767812737</v>
      </c>
      <c r="BN941" s="20">
        <f t="shared" si="326"/>
        <v>-1.0591199425495852</v>
      </c>
      <c r="BP941">
        <f t="shared" si="327"/>
        <v>4.375175865949477</v>
      </c>
      <c r="BR941">
        <f t="shared" si="328"/>
        <v>-0.48324164665002639</v>
      </c>
      <c r="BT941">
        <f t="shared" si="329"/>
        <v>1.3419379572700656</v>
      </c>
      <c r="BV941">
        <f t="shared" si="330"/>
        <v>-1.5847264046654317</v>
      </c>
      <c r="BX941">
        <f t="shared" si="331"/>
        <v>4.651607944593195</v>
      </c>
      <c r="CB941">
        <f t="shared" si="332"/>
        <v>340830.36921642692</v>
      </c>
      <c r="CD941">
        <f t="shared" si="333"/>
        <v>354743.75039462425</v>
      </c>
      <c r="CF941">
        <f t="shared" si="334"/>
        <v>326189.04521042487</v>
      </c>
    </row>
    <row r="942" spans="12:84" x14ac:dyDescent="0.25">
      <c r="L942">
        <v>931</v>
      </c>
      <c r="M942">
        <f t="shared" si="346"/>
        <v>5.8496455209841089</v>
      </c>
      <c r="P942">
        <f t="shared" si="340"/>
        <v>24537.422122705404</v>
      </c>
      <c r="Q942">
        <f t="shared" si="341"/>
        <v>5399.5713579405783</v>
      </c>
      <c r="V942">
        <f t="shared" si="342"/>
        <v>-16823.804514106218</v>
      </c>
      <c r="W942">
        <f t="shared" si="343"/>
        <v>8529.6999505584045</v>
      </c>
      <c r="AB942">
        <f t="shared" si="344"/>
        <v>-462.57787729459596</v>
      </c>
      <c r="AC942">
        <f t="shared" si="345"/>
        <v>-17100.428642059422</v>
      </c>
      <c r="AW942">
        <v>935</v>
      </c>
      <c r="AX942">
        <f t="shared" si="335"/>
        <v>467.5</v>
      </c>
      <c r="AZ942">
        <f t="shared" si="336"/>
        <v>100507.59620219596</v>
      </c>
      <c r="BB942">
        <f t="shared" si="337"/>
        <v>-324093.42590727872</v>
      </c>
      <c r="BD942">
        <f t="shared" si="338"/>
        <v>633.77839961176016</v>
      </c>
      <c r="BF942">
        <f t="shared" si="339"/>
        <v>-659.22982359067066</v>
      </c>
      <c r="BH942">
        <f t="shared" si="324"/>
        <v>-3.125870083633576</v>
      </c>
      <c r="BJ942">
        <f t="shared" si="325"/>
        <v>10.3416949717809</v>
      </c>
      <c r="BN942" s="20">
        <f t="shared" si="326"/>
        <v>-1.0596126837732038</v>
      </c>
      <c r="BP942">
        <f t="shared" si="327"/>
        <v>4.364316120738664</v>
      </c>
      <c r="BR942">
        <f t="shared" si="328"/>
        <v>-0.48280565362246042</v>
      </c>
      <c r="BT942">
        <f t="shared" si="329"/>
        <v>1.3385230470906315</v>
      </c>
      <c r="BV942">
        <f t="shared" si="330"/>
        <v>-1.5834517462379116</v>
      </c>
      <c r="BX942">
        <f t="shared" si="331"/>
        <v>4.6388558039516044</v>
      </c>
      <c r="CB942">
        <f t="shared" si="332"/>
        <v>341226.71810862317</v>
      </c>
      <c r="CD942">
        <f t="shared" si="333"/>
        <v>355162.63595273346</v>
      </c>
      <c r="CF942">
        <f t="shared" si="334"/>
        <v>326604.652133836</v>
      </c>
    </row>
    <row r="943" spans="12:84" x14ac:dyDescent="0.25">
      <c r="L943">
        <v>932</v>
      </c>
      <c r="M943">
        <f t="shared" si="346"/>
        <v>5.8559287062912881</v>
      </c>
      <c r="P943">
        <f t="shared" si="340"/>
        <v>24550.5298534248</v>
      </c>
      <c r="Q943">
        <f t="shared" si="341"/>
        <v>5428.1220950331863</v>
      </c>
      <c r="V943">
        <f t="shared" si="342"/>
        <v>-16814.629102602641</v>
      </c>
      <c r="W943">
        <f t="shared" si="343"/>
        <v>8549.6854665232295</v>
      </c>
      <c r="AB943">
        <f t="shared" si="344"/>
        <v>-449.47014657520049</v>
      </c>
      <c r="AC943">
        <f t="shared" si="345"/>
        <v>-17071.877904966816</v>
      </c>
      <c r="AW943">
        <v>936</v>
      </c>
      <c r="AX943">
        <f t="shared" si="335"/>
        <v>468</v>
      </c>
      <c r="AZ943">
        <f t="shared" si="336"/>
        <v>100824.09466824138</v>
      </c>
      <c r="BB943">
        <f t="shared" si="337"/>
        <v>-324421.74810720258</v>
      </c>
      <c r="BD943">
        <f t="shared" si="338"/>
        <v>632.21546456994338</v>
      </c>
      <c r="BF943">
        <f t="shared" si="339"/>
        <v>-654.05897610478019</v>
      </c>
      <c r="BH943">
        <f t="shared" si="324"/>
        <v>-3.1246803884699785</v>
      </c>
      <c r="BJ943">
        <f t="shared" si="325"/>
        <v>10.314926633936212</v>
      </c>
      <c r="BN943" s="20">
        <f t="shared" si="326"/>
        <v>-1.060106888114972</v>
      </c>
      <c r="BP943">
        <f t="shared" si="327"/>
        <v>4.3535598255438455</v>
      </c>
      <c r="BR943">
        <f t="shared" si="328"/>
        <v>-0.48237618875495381</v>
      </c>
      <c r="BT943">
        <f t="shared" si="329"/>
        <v>1.3351400540733682</v>
      </c>
      <c r="BV943">
        <f t="shared" si="330"/>
        <v>-1.5821973116000529</v>
      </c>
      <c r="BX943">
        <f t="shared" si="331"/>
        <v>4.6262267543189983</v>
      </c>
      <c r="CB943">
        <f t="shared" si="332"/>
        <v>341620.52213747654</v>
      </c>
      <c r="CD943">
        <f t="shared" si="333"/>
        <v>355578.91875008203</v>
      </c>
      <c r="CF943">
        <f t="shared" si="334"/>
        <v>327017.671103673</v>
      </c>
    </row>
    <row r="944" spans="12:84" x14ac:dyDescent="0.25">
      <c r="L944">
        <v>933</v>
      </c>
      <c r="M944">
        <f t="shared" si="346"/>
        <v>5.8622118915984673</v>
      </c>
      <c r="P944">
        <f t="shared" si="340"/>
        <v>24563.457937017338</v>
      </c>
      <c r="Q944">
        <f t="shared" si="341"/>
        <v>5456.7546263178583</v>
      </c>
      <c r="V944">
        <f t="shared" si="342"/>
        <v>-16805.579444087864</v>
      </c>
      <c r="W944">
        <f t="shared" si="343"/>
        <v>8569.7282384225</v>
      </c>
      <c r="AB944">
        <f t="shared" si="344"/>
        <v>-436.54206298266308</v>
      </c>
      <c r="AC944">
        <f t="shared" si="345"/>
        <v>-17043.245373682141</v>
      </c>
      <c r="AW944">
        <v>937</v>
      </c>
      <c r="AX944">
        <f t="shared" si="335"/>
        <v>468.5</v>
      </c>
      <c r="AZ944">
        <f t="shared" si="336"/>
        <v>101139.81181547779</v>
      </c>
      <c r="BB944">
        <f t="shared" si="337"/>
        <v>-324747.48822942574</v>
      </c>
      <c r="BD944">
        <f t="shared" si="338"/>
        <v>630.65312437570844</v>
      </c>
      <c r="BF944">
        <f t="shared" si="339"/>
        <v>-648.90151278781207</v>
      </c>
      <c r="BH944">
        <f t="shared" si="324"/>
        <v>-3.1235188744098652</v>
      </c>
      <c r="BJ944">
        <f t="shared" si="325"/>
        <v>10.288414086176925</v>
      </c>
      <c r="BN944" s="20">
        <f t="shared" si="326"/>
        <v>-1.0606026652455205</v>
      </c>
      <c r="BP944">
        <f t="shared" si="327"/>
        <v>4.3429059502703948</v>
      </c>
      <c r="BR944">
        <f t="shared" si="328"/>
        <v>-0.4819532110576224</v>
      </c>
      <c r="BT944">
        <f t="shared" si="329"/>
        <v>1.3317886533569161</v>
      </c>
      <c r="BV944">
        <f t="shared" si="330"/>
        <v>-1.5809629981067221</v>
      </c>
      <c r="BX944">
        <f t="shared" si="331"/>
        <v>4.6137194825496142</v>
      </c>
      <c r="CB944">
        <f t="shared" si="332"/>
        <v>342011.78707204456</v>
      </c>
      <c r="CD944">
        <f t="shared" si="333"/>
        <v>355992.60509538522</v>
      </c>
      <c r="CF944">
        <f t="shared" si="334"/>
        <v>327428.10831793788</v>
      </c>
    </row>
    <row r="945" spans="12:84" x14ac:dyDescent="0.25">
      <c r="L945">
        <v>934</v>
      </c>
      <c r="M945">
        <f t="shared" si="346"/>
        <v>5.8684950769056465</v>
      </c>
      <c r="P945">
        <f t="shared" si="340"/>
        <v>24576.205863104413</v>
      </c>
      <c r="Q945">
        <f t="shared" si="341"/>
        <v>5485.4678214312871</v>
      </c>
      <c r="V945">
        <f t="shared" si="342"/>
        <v>-16796.655895826912</v>
      </c>
      <c r="W945">
        <f t="shared" si="343"/>
        <v>8589.8274750019009</v>
      </c>
      <c r="AB945">
        <f t="shared" si="344"/>
        <v>-423.79413689558805</v>
      </c>
      <c r="AC945">
        <f t="shared" si="345"/>
        <v>-17014.532178568712</v>
      </c>
      <c r="AW945">
        <v>938</v>
      </c>
      <c r="AX945">
        <f t="shared" si="335"/>
        <v>469</v>
      </c>
      <c r="AZ945">
        <f t="shared" si="336"/>
        <v>101454.74793780634</v>
      </c>
      <c r="BB945">
        <f t="shared" si="337"/>
        <v>-325070.65293405886</v>
      </c>
      <c r="BD945">
        <f t="shared" si="338"/>
        <v>629.09136493850349</v>
      </c>
      <c r="BF945">
        <f t="shared" si="339"/>
        <v>-643.75730574472357</v>
      </c>
      <c r="BH945">
        <f t="shared" si="324"/>
        <v>-3.1223855077330009</v>
      </c>
      <c r="BJ945">
        <f t="shared" si="325"/>
        <v>10.262154701024027</v>
      </c>
      <c r="BN945" s="20">
        <f t="shared" si="326"/>
        <v>-1.0611001229231223</v>
      </c>
      <c r="BP945">
        <f t="shared" si="327"/>
        <v>4.332353480221899</v>
      </c>
      <c r="BR945">
        <f t="shared" si="328"/>
        <v>-0.48153668018489143</v>
      </c>
      <c r="BT945">
        <f t="shared" si="329"/>
        <v>1.3284685249511445</v>
      </c>
      <c r="BV945">
        <f t="shared" si="330"/>
        <v>-1.5797487046249874</v>
      </c>
      <c r="BX945">
        <f t="shared" si="331"/>
        <v>4.6013326958509841</v>
      </c>
      <c r="CB945">
        <f t="shared" si="332"/>
        <v>342400.51862489607</v>
      </c>
      <c r="CD945">
        <f t="shared" si="333"/>
        <v>356403.70123540045</v>
      </c>
      <c r="CF945">
        <f t="shared" si="334"/>
        <v>327835.96991400362</v>
      </c>
    </row>
    <row r="946" spans="12:84" x14ac:dyDescent="0.25">
      <c r="L946">
        <v>935</v>
      </c>
      <c r="M946">
        <f t="shared" si="346"/>
        <v>5.8747782622128257</v>
      </c>
      <c r="P946">
        <f t="shared" si="340"/>
        <v>24588.773128419733</v>
      </c>
      <c r="Q946">
        <f t="shared" si="341"/>
        <v>5514.2605468256952</v>
      </c>
      <c r="V946">
        <f t="shared" si="342"/>
        <v>-16787.858810106187</v>
      </c>
      <c r="W946">
        <f t="shared" si="343"/>
        <v>8609.9823827779855</v>
      </c>
      <c r="AB946">
        <f t="shared" si="344"/>
        <v>-411.22687158026838</v>
      </c>
      <c r="AC946">
        <f t="shared" si="345"/>
        <v>-16985.739453174305</v>
      </c>
      <c r="AW946">
        <v>939</v>
      </c>
      <c r="AX946">
        <f t="shared" si="335"/>
        <v>469.5</v>
      </c>
      <c r="AZ946">
        <f t="shared" si="336"/>
        <v>101768.90332208714</v>
      </c>
      <c r="BB946">
        <f t="shared" si="337"/>
        <v>-325391.24881759356</v>
      </c>
      <c r="BD946">
        <f t="shared" si="338"/>
        <v>627.53017218463697</v>
      </c>
      <c r="BF946">
        <f t="shared" si="339"/>
        <v>-638.62622839421158</v>
      </c>
      <c r="BH946">
        <f t="shared" si="324"/>
        <v>-3.1212802549896752</v>
      </c>
      <c r="BJ946">
        <f t="shared" si="325"/>
        <v>10.236145890898907</v>
      </c>
      <c r="BN946" s="20">
        <f t="shared" si="326"/>
        <v>-1.0615993670431367</v>
      </c>
      <c r="BP946">
        <f t="shared" si="327"/>
        <v>4.321901415834426</v>
      </c>
      <c r="BR946">
        <f t="shared" si="328"/>
        <v>-0.48112655642658086</v>
      </c>
      <c r="BT946">
        <f t="shared" si="329"/>
        <v>1.3251793536515322</v>
      </c>
      <c r="BV946">
        <f t="shared" si="330"/>
        <v>-1.5785543315199577</v>
      </c>
      <c r="BX946">
        <f t="shared" si="331"/>
        <v>4.5890651214129488</v>
      </c>
      <c r="CB946">
        <f t="shared" si="332"/>
        <v>342786.72245265543</v>
      </c>
      <c r="CD946">
        <f t="shared" si="333"/>
        <v>356812.2133555531</v>
      </c>
      <c r="CF946">
        <f t="shared" si="334"/>
        <v>328241.26196922053</v>
      </c>
    </row>
    <row r="947" spans="12:84" x14ac:dyDescent="0.25">
      <c r="L947">
        <v>936</v>
      </c>
      <c r="M947">
        <f t="shared" si="346"/>
        <v>5.8810614475200049</v>
      </c>
      <c r="P947">
        <f t="shared" si="340"/>
        <v>24601.159236829179</v>
      </c>
      <c r="Q947">
        <f t="shared" si="341"/>
        <v>5543.1316658135829</v>
      </c>
      <c r="V947">
        <f t="shared" si="342"/>
        <v>-16779.188534219575</v>
      </c>
      <c r="W947">
        <f t="shared" si="343"/>
        <v>8630.1921660695079</v>
      </c>
      <c r="AB947">
        <f t="shared" si="344"/>
        <v>-398.84076317082054</v>
      </c>
      <c r="AC947">
        <f t="shared" si="345"/>
        <v>-16956.868334186416</v>
      </c>
      <c r="AW947">
        <v>940</v>
      </c>
      <c r="AX947">
        <f t="shared" si="335"/>
        <v>470</v>
      </c>
      <c r="AZ947">
        <f t="shared" si="336"/>
        <v>102082.27824814757</v>
      </c>
      <c r="BB947">
        <f t="shared" si="337"/>
        <v>-325709.28241355432</v>
      </c>
      <c r="BD947">
        <f t="shared" si="338"/>
        <v>625.96953205714215</v>
      </c>
      <c r="BF947">
        <f t="shared" si="339"/>
        <v>-633.50815544876218</v>
      </c>
      <c r="BH947">
        <f t="shared" si="324"/>
        <v>-3.1202030830264684</v>
      </c>
      <c r="BJ947">
        <f t="shared" si="325"/>
        <v>10.210385107417368</v>
      </c>
      <c r="BN947" s="20">
        <f t="shared" si="326"/>
        <v>-1.0621005016861942</v>
      </c>
      <c r="BP947">
        <f t="shared" si="327"/>
        <v>4.3115487724162875</v>
      </c>
      <c r="BR947">
        <f t="shared" si="328"/>
        <v>-0.48072280069917633</v>
      </c>
      <c r="BT947">
        <f t="shared" si="329"/>
        <v>1.3219208289553963</v>
      </c>
      <c r="BV947">
        <f t="shared" si="330"/>
        <v>-1.5773797806410976</v>
      </c>
      <c r="BX947">
        <f t="shared" si="331"/>
        <v>4.5769155060456841</v>
      </c>
      <c r="CB947">
        <f t="shared" si="332"/>
        <v>343170.40415653872</v>
      </c>
      <c r="CD947">
        <f t="shared" si="333"/>
        <v>357218.1475805529</v>
      </c>
      <c r="CF947">
        <f t="shared" si="334"/>
        <v>328643.99050151452</v>
      </c>
    </row>
    <row r="948" spans="12:84" x14ac:dyDescent="0.25">
      <c r="L948">
        <v>937</v>
      </c>
      <c r="M948">
        <f t="shared" si="346"/>
        <v>5.8873446328271841</v>
      </c>
      <c r="P948">
        <f t="shared" si="340"/>
        <v>24613.363699350404</v>
      </c>
      <c r="Q948">
        <f t="shared" si="341"/>
        <v>5572.0800386126093</v>
      </c>
      <c r="V948">
        <f t="shared" si="342"/>
        <v>-16770.645410454716</v>
      </c>
      <c r="W948">
        <f t="shared" si="343"/>
        <v>8650.4560270288275</v>
      </c>
      <c r="AB948">
        <f t="shared" si="344"/>
        <v>-386.63630064959671</v>
      </c>
      <c r="AC948">
        <f t="shared" si="345"/>
        <v>-16927.91996138739</v>
      </c>
      <c r="AW948">
        <v>941</v>
      </c>
      <c r="AX948">
        <f t="shared" si="335"/>
        <v>470.5</v>
      </c>
      <c r="AZ948">
        <f t="shared" si="336"/>
        <v>102394.87298879077</v>
      </c>
      <c r="BB948">
        <f t="shared" si="337"/>
        <v>-326024.76019314025</v>
      </c>
      <c r="BD948">
        <f t="shared" si="338"/>
        <v>624.40943051562886</v>
      </c>
      <c r="BF948">
        <f t="shared" si="339"/>
        <v>-628.40296289505352</v>
      </c>
      <c r="BH948">
        <f t="shared" si="324"/>
        <v>-3.1191539590109842</v>
      </c>
      <c r="BJ948">
        <f t="shared" si="325"/>
        <v>10.184869840698271</v>
      </c>
      <c r="BN948" s="20">
        <f t="shared" si="326"/>
        <v>-1.062603629165183</v>
      </c>
      <c r="BP948">
        <f t="shared" si="327"/>
        <v>4.3012945798932467</v>
      </c>
      <c r="BR948">
        <f t="shared" si="328"/>
        <v>-0.48032537453726526</v>
      </c>
      <c r="BT948">
        <f t="shared" si="329"/>
        <v>1.318692644979879</v>
      </c>
      <c r="BV948">
        <f t="shared" si="330"/>
        <v>-1.5762249553085357</v>
      </c>
      <c r="BX948">
        <f t="shared" si="331"/>
        <v>4.5648826158251454</v>
      </c>
      <c r="CB948">
        <f t="shared" si="332"/>
        <v>343551.56928288168</v>
      </c>
      <c r="CD948">
        <f t="shared" si="333"/>
        <v>357621.50997500087</v>
      </c>
      <c r="CF948">
        <f t="shared" si="334"/>
        <v>329044.16146997485</v>
      </c>
    </row>
    <row r="949" spans="12:84" x14ac:dyDescent="0.25">
      <c r="L949">
        <v>938</v>
      </c>
      <c r="M949">
        <f t="shared" si="346"/>
        <v>5.8936278181343633</v>
      </c>
      <c r="P949">
        <f t="shared" si="340"/>
        <v>24625.386034172123</v>
      </c>
      <c r="Q949">
        <f t="shared" si="341"/>
        <v>5601.104522390584</v>
      </c>
      <c r="V949">
        <f t="shared" si="342"/>
        <v>-16762.229776079515</v>
      </c>
      <c r="W949">
        <f t="shared" si="343"/>
        <v>8670.7731656734086</v>
      </c>
      <c r="AB949">
        <f t="shared" si="344"/>
        <v>-374.61396582787893</v>
      </c>
      <c r="AC949">
        <f t="shared" si="345"/>
        <v>-16898.895477609418</v>
      </c>
      <c r="AW949">
        <v>942</v>
      </c>
      <c r="AX949">
        <f t="shared" si="335"/>
        <v>471</v>
      </c>
      <c r="AZ949">
        <f t="shared" si="336"/>
        <v>102706.68780980371</v>
      </c>
      <c r="BB949">
        <f t="shared" si="337"/>
        <v>-326337.68856585771</v>
      </c>
      <c r="BD949">
        <f t="shared" si="338"/>
        <v>622.84985353612342</v>
      </c>
      <c r="BF949">
        <f t="shared" si="339"/>
        <v>-623.31052797470443</v>
      </c>
      <c r="BH949">
        <f t="shared" si="324"/>
        <v>-3.1181328504557739</v>
      </c>
      <c r="BJ949">
        <f t="shared" si="325"/>
        <v>10.159597618687043</v>
      </c>
      <c r="BN949" s="20">
        <f t="shared" si="326"/>
        <v>-1.0631088500710839</v>
      </c>
      <c r="BP949">
        <f t="shared" si="327"/>
        <v>4.2911378825591004</v>
      </c>
      <c r="BR949">
        <f t="shared" si="328"/>
        <v>-0.47993424008513103</v>
      </c>
      <c r="BT949">
        <f t="shared" si="329"/>
        <v>1.3154945003816463</v>
      </c>
      <c r="BV949">
        <f t="shared" si="330"/>
        <v>-1.575089760299559</v>
      </c>
      <c r="BX949">
        <f t="shared" si="331"/>
        <v>4.5529652357462957</v>
      </c>
      <c r="CB949">
        <f t="shared" si="332"/>
        <v>343930.22332366044</v>
      </c>
      <c r="CD949">
        <f t="shared" si="333"/>
        <v>358022.3065439869</v>
      </c>
      <c r="CF949">
        <f t="shared" si="334"/>
        <v>329441.78077543463</v>
      </c>
    </row>
    <row r="950" spans="12:84" x14ac:dyDescent="0.25">
      <c r="L950">
        <v>939</v>
      </c>
      <c r="M950">
        <f t="shared" si="346"/>
        <v>5.8999110034415425</v>
      </c>
      <c r="P950">
        <f t="shared" si="340"/>
        <v>24637.225766673138</v>
      </c>
      <c r="Q950">
        <f t="shared" si="341"/>
        <v>5630.2039713105842</v>
      </c>
      <c r="V950">
        <f t="shared" si="342"/>
        <v>-16753.941963328802</v>
      </c>
      <c r="W950">
        <f t="shared" si="343"/>
        <v>8691.1427799174089</v>
      </c>
      <c r="AB950">
        <f t="shared" si="344"/>
        <v>-362.77423332685976</v>
      </c>
      <c r="AC950">
        <f t="shared" si="345"/>
        <v>-16869.796028689416</v>
      </c>
      <c r="AW950">
        <v>943</v>
      </c>
      <c r="AX950">
        <f t="shared" si="335"/>
        <v>471.5</v>
      </c>
      <c r="AZ950">
        <f t="shared" si="336"/>
        <v>103017.72296996546</v>
      </c>
      <c r="BB950">
        <f t="shared" si="337"/>
        <v>-326648.07388014277</v>
      </c>
      <c r="BD950">
        <f t="shared" si="338"/>
        <v>621.29078711089551</v>
      </c>
      <c r="BF950">
        <f t="shared" si="339"/>
        <v>-618.23072916536091</v>
      </c>
      <c r="BH950">
        <f t="shared" si="324"/>
        <v>-3.1171397252416124</v>
      </c>
      <c r="BJ950">
        <f t="shared" si="325"/>
        <v>10.13456600649404</v>
      </c>
      <c r="BN950" s="20">
        <f t="shared" si="326"/>
        <v>-1.0636162633177118</v>
      </c>
      <c r="BP950">
        <f t="shared" si="327"/>
        <v>4.2810777388316028</v>
      </c>
      <c r="BR950">
        <f t="shared" si="328"/>
        <v>-0.47954936008855653</v>
      </c>
      <c r="BT950">
        <f t="shared" si="329"/>
        <v>1.3123260982783975</v>
      </c>
      <c r="BV950">
        <f t="shared" si="330"/>
        <v>-1.5739741018353441</v>
      </c>
      <c r="BX950">
        <f t="shared" si="331"/>
        <v>4.5411621693840409</v>
      </c>
      <c r="CB950">
        <f t="shared" si="332"/>
        <v>344306.37171700335</v>
      </c>
      <c r="CD950">
        <f t="shared" si="333"/>
        <v>358420.54323367856</v>
      </c>
      <c r="CF950">
        <f t="shared" si="334"/>
        <v>329836.85426104086</v>
      </c>
    </row>
    <row r="951" spans="12:84" x14ac:dyDescent="0.25">
      <c r="L951">
        <v>940</v>
      </c>
      <c r="M951">
        <f t="shared" si="346"/>
        <v>5.9061941887487217</v>
      </c>
      <c r="P951">
        <f t="shared" si="340"/>
        <v>24648.882429441092</v>
      </c>
      <c r="Q951">
        <f t="shared" si="341"/>
        <v>5659.3772365761943</v>
      </c>
      <c r="V951">
        <f t="shared" si="342"/>
        <v>-16745.782299391234</v>
      </c>
      <c r="W951">
        <f t="shared" si="343"/>
        <v>8711.5640656033356</v>
      </c>
      <c r="AB951">
        <f t="shared" si="344"/>
        <v>-351.11757055890848</v>
      </c>
      <c r="AC951">
        <f t="shared" si="345"/>
        <v>-16840.622763423806</v>
      </c>
      <c r="AW951">
        <v>944</v>
      </c>
      <c r="AX951">
        <f t="shared" si="335"/>
        <v>472</v>
      </c>
      <c r="AZ951">
        <f t="shared" si="336"/>
        <v>103327.97872105525</v>
      </c>
      <c r="BB951">
        <f t="shared" si="337"/>
        <v>-326955.92242397461</v>
      </c>
      <c r="BD951">
        <f t="shared" si="338"/>
        <v>619.73221724827465</v>
      </c>
      <c r="BF951">
        <f t="shared" si="339"/>
        <v>-613.16344616211393</v>
      </c>
      <c r="BH951">
        <f t="shared" si="324"/>
        <v>-3.1161745516398316</v>
      </c>
      <c r="BJ951">
        <f t="shared" si="325"/>
        <v>10.109772605746432</v>
      </c>
      <c r="BN951" s="20">
        <f t="shared" si="326"/>
        <v>-1.0641259661852787</v>
      </c>
      <c r="BP951">
        <f t="shared" si="327"/>
        <v>4.2711132210131399</v>
      </c>
      <c r="BR951">
        <f t="shared" si="328"/>
        <v>-0.47917069788672495</v>
      </c>
      <c r="BT951">
        <f t="shared" si="329"/>
        <v>1.3091871461718509</v>
      </c>
      <c r="BV951">
        <f t="shared" si="330"/>
        <v>-1.5728778875678278</v>
      </c>
      <c r="BX951">
        <f t="shared" si="331"/>
        <v>4.5294722385614419</v>
      </c>
      <c r="CB951">
        <f t="shared" si="332"/>
        <v>344680.01984769636</v>
      </c>
      <c r="CD951">
        <f t="shared" si="333"/>
        <v>358816.2259319005</v>
      </c>
      <c r="CF951">
        <f t="shared" si="334"/>
        <v>330229.38771281741</v>
      </c>
    </row>
    <row r="952" spans="12:84" x14ac:dyDescent="0.25">
      <c r="L952">
        <v>941</v>
      </c>
      <c r="M952">
        <f t="shared" si="346"/>
        <v>5.9124773740559009</v>
      </c>
      <c r="P952">
        <f t="shared" si="340"/>
        <v>24660.355562290893</v>
      </c>
      <c r="Q952">
        <f t="shared" si="341"/>
        <v>5688.623166476852</v>
      </c>
      <c r="V952">
        <f t="shared" si="342"/>
        <v>-16737.751106396376</v>
      </c>
      <c r="W952">
        <f t="shared" si="343"/>
        <v>8732.0362165337974</v>
      </c>
      <c r="AB952">
        <f t="shared" si="344"/>
        <v>-339.64443770910748</v>
      </c>
      <c r="AC952">
        <f t="shared" si="345"/>
        <v>-16811.376833523147</v>
      </c>
      <c r="AW952">
        <v>945</v>
      </c>
      <c r="AX952">
        <f t="shared" si="335"/>
        <v>472.5</v>
      </c>
      <c r="AZ952">
        <f t="shared" si="336"/>
        <v>103637.45530786042</v>
      </c>
      <c r="BB952">
        <f t="shared" si="337"/>
        <v>-327261.24042547995</v>
      </c>
      <c r="BD952">
        <f t="shared" si="338"/>
        <v>618.17412997245469</v>
      </c>
      <c r="BF952">
        <f t="shared" si="339"/>
        <v>-608.1085598592407</v>
      </c>
      <c r="BH952">
        <f t="shared" si="324"/>
        <v>-3.115237298334117</v>
      </c>
      <c r="BJ952">
        <f t="shared" si="325"/>
        <v>10.085215053954467</v>
      </c>
      <c r="BN952" s="20">
        <f t="shared" si="326"/>
        <v>-1.0646380543629925</v>
      </c>
      <c r="BP952">
        <f t="shared" si="327"/>
        <v>4.2612434150567671</v>
      </c>
      <c r="BR952">
        <f t="shared" si="328"/>
        <v>-0.47879821740434952</v>
      </c>
      <c r="BT952">
        <f t="shared" si="329"/>
        <v>1.3060773558725389</v>
      </c>
      <c r="BV952">
        <f t="shared" si="330"/>
        <v>-1.5718010265667752</v>
      </c>
      <c r="BX952">
        <f t="shared" si="331"/>
        <v>4.5178942830251607</v>
      </c>
      <c r="CB952">
        <f t="shared" si="332"/>
        <v>345051.17304768047</v>
      </c>
      <c r="CD952">
        <f t="shared" si="333"/>
        <v>359209.36046870577</v>
      </c>
      <c r="CF952">
        <f t="shared" si="334"/>
        <v>330619.38686021842</v>
      </c>
    </row>
    <row r="953" spans="12:84" x14ac:dyDescent="0.25">
      <c r="L953">
        <v>942</v>
      </c>
      <c r="M953">
        <f t="shared" si="346"/>
        <v>5.9187605593630801</v>
      </c>
      <c r="P953">
        <f t="shared" si="340"/>
        <v>24671.644712282898</v>
      </c>
      <c r="Q953">
        <f t="shared" si="341"/>
        <v>5717.9406064333243</v>
      </c>
      <c r="V953">
        <f t="shared" si="342"/>
        <v>-16729.84870140197</v>
      </c>
      <c r="W953">
        <f t="shared" si="343"/>
        <v>8752.5584245033278</v>
      </c>
      <c r="AB953">
        <f t="shared" si="344"/>
        <v>-328.35528771710051</v>
      </c>
      <c r="AC953">
        <f t="shared" si="345"/>
        <v>-16782.059393566677</v>
      </c>
      <c r="AW953">
        <v>946</v>
      </c>
      <c r="AX953">
        <f t="shared" si="335"/>
        <v>473</v>
      </c>
      <c r="AZ953">
        <f t="shared" si="336"/>
        <v>103946.15296818437</v>
      </c>
      <c r="BB953">
        <f t="shared" si="337"/>
        <v>-327564.03405352781</v>
      </c>
      <c r="BD953">
        <f t="shared" si="338"/>
        <v>616.61651132328768</v>
      </c>
      <c r="BF953">
        <f t="shared" si="339"/>
        <v>-603.06595233226346</v>
      </c>
      <c r="BH953">
        <f t="shared" si="324"/>
        <v>-3.1143279344414112</v>
      </c>
      <c r="BJ953">
        <f t="shared" si="325"/>
        <v>10.060891023890523</v>
      </c>
      <c r="BN953" s="20">
        <f t="shared" si="326"/>
        <v>-1.0651526219905227</v>
      </c>
      <c r="BP953">
        <f t="shared" si="327"/>
        <v>4.2514674203367013</v>
      </c>
      <c r="BR953">
        <f t="shared" si="328"/>
        <v>-0.47843188314388985</v>
      </c>
      <c r="BT953">
        <f t="shared" si="329"/>
        <v>1.3029964434259862</v>
      </c>
      <c r="BV953">
        <f t="shared" si="330"/>
        <v>-1.5707434293069986</v>
      </c>
      <c r="BX953">
        <f t="shared" si="331"/>
        <v>4.506427160127835</v>
      </c>
      <c r="CB953">
        <f t="shared" si="332"/>
        <v>345419.83659654151</v>
      </c>
      <c r="CD953">
        <f t="shared" si="333"/>
        <v>359599.95261693769</v>
      </c>
      <c r="CF953">
        <f t="shared" si="334"/>
        <v>331006.85737667419</v>
      </c>
    </row>
    <row r="954" spans="12:84" x14ac:dyDescent="0.25">
      <c r="L954">
        <v>943</v>
      </c>
      <c r="M954">
        <f t="shared" si="346"/>
        <v>5.9250437446702593</v>
      </c>
      <c r="P954">
        <f t="shared" si="340"/>
        <v>24682.749433740802</v>
      </c>
      <c r="Q954">
        <f t="shared" si="341"/>
        <v>5747.3283990432801</v>
      </c>
      <c r="V954">
        <f t="shared" si="342"/>
        <v>-16722.075396381439</v>
      </c>
      <c r="W954">
        <f t="shared" si="343"/>
        <v>8773.1298793302958</v>
      </c>
      <c r="AB954">
        <f t="shared" si="344"/>
        <v>-317.25056625919751</v>
      </c>
      <c r="AC954">
        <f t="shared" si="345"/>
        <v>-16752.671600956721</v>
      </c>
      <c r="AW954">
        <v>947</v>
      </c>
      <c r="AX954">
        <f t="shared" si="335"/>
        <v>473.5</v>
      </c>
      <c r="AZ954">
        <f t="shared" si="336"/>
        <v>104254.0719328542</v>
      </c>
      <c r="BB954">
        <f t="shared" si="337"/>
        <v>-327864.30941831594</v>
      </c>
      <c r="BD954">
        <f t="shared" si="338"/>
        <v>615.05934735606695</v>
      </c>
      <c r="BF954">
        <f t="shared" si="339"/>
        <v>-598.03550682031823</v>
      </c>
      <c r="BH954">
        <f t="shared" si="324"/>
        <v>-3.113446429532313</v>
      </c>
      <c r="BJ954">
        <f t="shared" si="325"/>
        <v>10.036798222981879</v>
      </c>
      <c r="BN954" s="20">
        <f t="shared" si="326"/>
        <v>-1.0656697616985658</v>
      </c>
      <c r="BP954">
        <f t="shared" si="327"/>
        <v>4.241784349423952</v>
      </c>
      <c r="BR954">
        <f t="shared" si="328"/>
        <v>-0.47807166017799813</v>
      </c>
      <c r="BT954">
        <f t="shared" si="329"/>
        <v>1.2999441290406395</v>
      </c>
      <c r="BV954">
        <f t="shared" si="330"/>
        <v>-1.5697050076557491</v>
      </c>
      <c r="BX954">
        <f t="shared" si="331"/>
        <v>4.4950697445172869</v>
      </c>
      <c r="CB954">
        <f t="shared" si="332"/>
        <v>345786.01572199317</v>
      </c>
      <c r="CD954">
        <f t="shared" si="333"/>
        <v>359988.00809278415</v>
      </c>
      <c r="CF954">
        <f t="shared" si="334"/>
        <v>331391.8048801283</v>
      </c>
    </row>
    <row r="955" spans="12:84" x14ac:dyDescent="0.25">
      <c r="L955">
        <v>944</v>
      </c>
      <c r="M955">
        <f t="shared" si="346"/>
        <v>5.9313269299774385</v>
      </c>
      <c r="P955">
        <f t="shared" si="340"/>
        <v>24693.669288269215</v>
      </c>
      <c r="Q955">
        <f t="shared" si="341"/>
        <v>5776.7853841269871</v>
      </c>
      <c r="V955">
        <f t="shared" si="342"/>
        <v>-16714.43149821155</v>
      </c>
      <c r="W955">
        <f t="shared" si="343"/>
        <v>8793.7497688888907</v>
      </c>
      <c r="AB955">
        <f t="shared" si="344"/>
        <v>-306.33071173078679</v>
      </c>
      <c r="AC955">
        <f t="shared" si="345"/>
        <v>-16723.214615873014</v>
      </c>
      <c r="AW955">
        <v>948</v>
      </c>
      <c r="AX955">
        <f t="shared" si="335"/>
        <v>474</v>
      </c>
      <c r="AZ955">
        <f t="shared" si="336"/>
        <v>104561.21242572855</v>
      </c>
      <c r="BB955">
        <f t="shared" si="337"/>
        <v>-328162.07257194823</v>
      </c>
      <c r="BD955">
        <f t="shared" si="338"/>
        <v>613.50262414130077</v>
      </c>
      <c r="BF955">
        <f t="shared" si="339"/>
        <v>-593.01710770882733</v>
      </c>
      <c r="BH955">
        <f t="shared" si="324"/>
        <v>-3.1125927536507261</v>
      </c>
      <c r="BJ955">
        <f t="shared" si="325"/>
        <v>10.012934392715863</v>
      </c>
      <c r="BN955" s="20">
        <f t="shared" si="326"/>
        <v>-1.0661895646483353</v>
      </c>
      <c r="BP955">
        <f t="shared" si="327"/>
        <v>4.2321933278661845</v>
      </c>
      <c r="BR955">
        <f t="shared" si="328"/>
        <v>-0.47771751414202995</v>
      </c>
      <c r="BT955">
        <f t="shared" si="329"/>
        <v>1.2969201370170669</v>
      </c>
      <c r="BV955">
        <f t="shared" si="330"/>
        <v>-1.568685674860361</v>
      </c>
      <c r="BX955">
        <f t="shared" si="331"/>
        <v>4.4838209278326113</v>
      </c>
      <c r="CB955">
        <f t="shared" si="332"/>
        <v>346149.71560035268</v>
      </c>
      <c r="CD955">
        <f t="shared" si="333"/>
        <v>360373.53255632281</v>
      </c>
      <c r="CF955">
        <f t="shared" si="334"/>
        <v>331774.23493356712</v>
      </c>
    </row>
    <row r="956" spans="12:84" x14ac:dyDescent="0.25">
      <c r="L956">
        <v>945</v>
      </c>
      <c r="M956">
        <f t="shared" si="346"/>
        <v>5.9376101152846177</v>
      </c>
      <c r="P956">
        <f t="shared" si="340"/>
        <v>24704.403844770972</v>
      </c>
      <c r="Q956">
        <f t="shared" si="341"/>
        <v>5806.310398773112</v>
      </c>
      <c r="V956">
        <f t="shared" si="342"/>
        <v>-16706.917308660319</v>
      </c>
      <c r="W956">
        <f t="shared" si="343"/>
        <v>8814.4172791411784</v>
      </c>
      <c r="AB956">
        <f t="shared" si="344"/>
        <v>-295.59615522902732</v>
      </c>
      <c r="AC956">
        <f t="shared" si="345"/>
        <v>-16693.689601226888</v>
      </c>
      <c r="AW956">
        <v>949</v>
      </c>
      <c r="AX956">
        <f t="shared" si="335"/>
        <v>474.5</v>
      </c>
      <c r="AZ956">
        <f t="shared" si="336"/>
        <v>104867.574663705</v>
      </c>
      <c r="BB956">
        <f t="shared" si="337"/>
        <v>-328457.32950900355</v>
      </c>
      <c r="BD956">
        <f t="shared" si="338"/>
        <v>611.94632776447543</v>
      </c>
      <c r="BF956">
        <f t="shared" si="339"/>
        <v>-588.01064051246942</v>
      </c>
      <c r="BH956">
        <f t="shared" si="324"/>
        <v>-3.1117668773328857</v>
      </c>
      <c r="BJ956">
        <f t="shared" si="325"/>
        <v>9.9892973080575871</v>
      </c>
      <c r="BN956" s="20">
        <f t="shared" si="326"/>
        <v>-1.0667121205701877</v>
      </c>
      <c r="BP956">
        <f t="shared" si="327"/>
        <v>4.2226934939724297</v>
      </c>
      <c r="BR956">
        <f t="shared" si="328"/>
        <v>-0.47736941122678983</v>
      </c>
      <c r="BT956">
        <f t="shared" si="329"/>
        <v>1.2939241956788612</v>
      </c>
      <c r="BV956">
        <f t="shared" si="330"/>
        <v>-1.5676853455359081</v>
      </c>
      <c r="BX956">
        <f t="shared" si="331"/>
        <v>4.4726796184062954</v>
      </c>
      <c r="CB956">
        <f t="shared" si="332"/>
        <v>346510.94135700929</v>
      </c>
      <c r="CD956">
        <f t="shared" si="333"/>
        <v>360756.53161205852</v>
      </c>
      <c r="CF956">
        <f t="shared" si="334"/>
        <v>332154.1530455412</v>
      </c>
    </row>
    <row r="957" spans="12:84" x14ac:dyDescent="0.25">
      <c r="L957">
        <v>946</v>
      </c>
      <c r="M957">
        <f t="shared" si="346"/>
        <v>5.9438933005917969</v>
      </c>
      <c r="P957">
        <f t="shared" si="340"/>
        <v>24714.952679464172</v>
      </c>
      <c r="Q957">
        <f t="shared" si="341"/>
        <v>5835.9022773846336</v>
      </c>
      <c r="V957">
        <f t="shared" si="342"/>
        <v>-16699.533124375081</v>
      </c>
      <c r="W957">
        <f t="shared" si="343"/>
        <v>8835.1315941692428</v>
      </c>
      <c r="AB957">
        <f t="shared" si="344"/>
        <v>-285.04732053583029</v>
      </c>
      <c r="AC957">
        <f t="shared" si="345"/>
        <v>-16664.097722615366</v>
      </c>
      <c r="AW957">
        <v>950</v>
      </c>
      <c r="AX957">
        <f t="shared" si="335"/>
        <v>475</v>
      </c>
      <c r="AZ957">
        <f t="shared" si="336"/>
        <v>105173.15885672758</v>
      </c>
      <c r="BB957">
        <f t="shared" si="337"/>
        <v>-328750.08616709628</v>
      </c>
      <c r="BD957">
        <f t="shared" si="338"/>
        <v>610.39044432580897</v>
      </c>
      <c r="BF957">
        <f t="shared" si="339"/>
        <v>-583.01599185844066</v>
      </c>
      <c r="BH957">
        <f t="shared" si="324"/>
        <v>-3.1109687716258003</v>
      </c>
      <c r="BJ957">
        <f t="shared" si="325"/>
        <v>9.9658847768798502</v>
      </c>
      <c r="BN957" s="20">
        <f t="shared" si="326"/>
        <v>-1.0672375178012388</v>
      </c>
      <c r="BP957">
        <f t="shared" si="327"/>
        <v>4.2132839986018586</v>
      </c>
      <c r="BR957">
        <f t="shared" si="328"/>
        <v>-0.4770273181713367</v>
      </c>
      <c r="BT957">
        <f t="shared" si="329"/>
        <v>1.2909560373047511</v>
      </c>
      <c r="BV957">
        <f t="shared" si="330"/>
        <v>-1.5667039356532246</v>
      </c>
      <c r="BX957">
        <f t="shared" si="331"/>
        <v>4.4616447409732407</v>
      </c>
      <c r="CB957">
        <f t="shared" si="332"/>
        <v>346869.69806688651</v>
      </c>
      <c r="CD957">
        <f t="shared" si="333"/>
        <v>361137.01080945262</v>
      </c>
      <c r="CF957">
        <f t="shared" si="334"/>
        <v>332531.56467067916</v>
      </c>
    </row>
    <row r="958" spans="12:84" x14ac:dyDescent="0.25">
      <c r="L958">
        <v>947</v>
      </c>
      <c r="M958">
        <f t="shared" si="346"/>
        <v>5.9501764858989761</v>
      </c>
      <c r="P958">
        <f t="shared" si="340"/>
        <v>24725.315375898874</v>
      </c>
      <c r="Q958">
        <f t="shared" si="341"/>
        <v>5865.5598517248509</v>
      </c>
      <c r="V958">
        <f t="shared" si="342"/>
        <v>-16692.279236870789</v>
      </c>
      <c r="W958">
        <f t="shared" si="343"/>
        <v>8855.8918962073967</v>
      </c>
      <c r="AB958">
        <f t="shared" si="344"/>
        <v>-274.68462410112716</v>
      </c>
      <c r="AC958">
        <f t="shared" si="345"/>
        <v>-16634.440148275149</v>
      </c>
      <c r="AW958">
        <v>951</v>
      </c>
      <c r="AX958">
        <f t="shared" si="335"/>
        <v>475.5</v>
      </c>
      <c r="AZ958">
        <f t="shared" si="336"/>
        <v>105477.96520779403</v>
      </c>
      <c r="BB958">
        <f t="shared" si="337"/>
        <v>-329040.3484274284</v>
      </c>
      <c r="BD958">
        <f t="shared" si="338"/>
        <v>608.83495993999611</v>
      </c>
      <c r="BF958">
        <f t="shared" si="339"/>
        <v>-578.03304947000072</v>
      </c>
      <c r="BH958">
        <f t="shared" si="324"/>
        <v>-3.1101984081051199</v>
      </c>
      <c r="BJ958">
        <f t="shared" si="325"/>
        <v>9.9426946394050475</v>
      </c>
      <c r="BN958" s="20">
        <f t="shared" si="326"/>
        <v>-1.0677658433221815</v>
      </c>
      <c r="BP958">
        <f t="shared" si="327"/>
        <v>4.2039640049572462</v>
      </c>
      <c r="BR958">
        <f t="shared" si="328"/>
        <v>-0.47669120225600303</v>
      </c>
      <c r="BT958">
        <f t="shared" si="329"/>
        <v>1.2880153980623061</v>
      </c>
      <c r="BV958">
        <f t="shared" si="330"/>
        <v>-1.5657413625269356</v>
      </c>
      <c r="BX958">
        <f t="shared" si="331"/>
        <v>4.450715236385494</v>
      </c>
      <c r="CB958">
        <f t="shared" si="332"/>
        <v>347225.99075489689</v>
      </c>
      <c r="CD958">
        <f t="shared" si="333"/>
        <v>361514.97564344469</v>
      </c>
      <c r="CF958">
        <f t="shared" si="334"/>
        <v>332906.47521019349</v>
      </c>
    </row>
    <row r="959" spans="12:84" x14ac:dyDescent="0.25">
      <c r="L959">
        <v>948</v>
      </c>
      <c r="M959">
        <f t="shared" si="346"/>
        <v>5.9564596712061553</v>
      </c>
      <c r="P959">
        <f t="shared" si="340"/>
        <v>24735.491524973571</v>
      </c>
      <c r="Q959">
        <f t="shared" si="341"/>
        <v>5895.2819509635137</v>
      </c>
      <c r="V959">
        <f t="shared" si="342"/>
        <v>-16685.155932518501</v>
      </c>
      <c r="W959">
        <f t="shared" si="343"/>
        <v>8876.6973656744594</v>
      </c>
      <c r="AB959">
        <f t="shared" si="344"/>
        <v>-264.50847502642773</v>
      </c>
      <c r="AC959">
        <f t="shared" si="345"/>
        <v>-16604.718049036488</v>
      </c>
      <c r="AW959">
        <v>952</v>
      </c>
      <c r="AX959">
        <f t="shared" si="335"/>
        <v>476</v>
      </c>
      <c r="AZ959">
        <f t="shared" si="336"/>
        <v>105781.99391296301</v>
      </c>
      <c r="BB959">
        <f t="shared" si="337"/>
        <v>-329328.12211533351</v>
      </c>
      <c r="BD959">
        <f t="shared" si="338"/>
        <v>607.27986073594354</v>
      </c>
      <c r="BF959">
        <f t="shared" si="339"/>
        <v>-573.06170215029817</v>
      </c>
      <c r="BH959">
        <f t="shared" si="324"/>
        <v>-3.1094557588924312</v>
      </c>
      <c r="BJ959">
        <f t="shared" si="325"/>
        <v>9.9197247676585203</v>
      </c>
      <c r="BN959" s="20">
        <f t="shared" si="326"/>
        <v>-1.0682971827931436</v>
      </c>
      <c r="BP959">
        <f t="shared" si="327"/>
        <v>4.1947326883822802</v>
      </c>
      <c r="BR959">
        <f t="shared" si="328"/>
        <v>-0.47636103129549329</v>
      </c>
      <c r="BT959">
        <f t="shared" si="329"/>
        <v>1.2851020179428445</v>
      </c>
      <c r="BV959">
        <f t="shared" si="330"/>
        <v>-1.5647975448037943</v>
      </c>
      <c r="BX959">
        <f t="shared" si="331"/>
        <v>4.4398900613333954</v>
      </c>
      <c r="CB959">
        <f t="shared" si="332"/>
        <v>347579.82439639047</v>
      </c>
      <c r="CD959">
        <f t="shared" si="333"/>
        <v>361890.43155496573</v>
      </c>
      <c r="CF959">
        <f t="shared" si="334"/>
        <v>333278.89001237956</v>
      </c>
    </row>
    <row r="960" spans="12:84" x14ac:dyDescent="0.25">
      <c r="L960">
        <v>949</v>
      </c>
      <c r="M960">
        <f t="shared" si="346"/>
        <v>5.9627428565133345</v>
      </c>
      <c r="P960">
        <f t="shared" si="340"/>
        <v>24745.480724951325</v>
      </c>
      <c r="Q960">
        <f t="shared" si="341"/>
        <v>5925.067401723034</v>
      </c>
      <c r="V960">
        <f t="shared" si="342"/>
        <v>-16678.16349253407</v>
      </c>
      <c r="W960">
        <f t="shared" si="343"/>
        <v>8897.5471812061242</v>
      </c>
      <c r="AB960">
        <f t="shared" si="344"/>
        <v>-254.51927504867399</v>
      </c>
      <c r="AC960">
        <f t="shared" si="345"/>
        <v>-16574.932598276966</v>
      </c>
      <c r="AW960">
        <v>953</v>
      </c>
      <c r="AX960">
        <f t="shared" si="335"/>
        <v>476.5</v>
      </c>
      <c r="AZ960">
        <f t="shared" si="336"/>
        <v>106085.2451613611</v>
      </c>
      <c r="BB960">
        <f t="shared" si="337"/>
        <v>-329613.4130008127</v>
      </c>
      <c r="BD960">
        <f t="shared" si="338"/>
        <v>605.72513285649734</v>
      </c>
      <c r="BF960">
        <f t="shared" si="339"/>
        <v>-568.10183976646897</v>
      </c>
      <c r="BH960">
        <f t="shared" si="324"/>
        <v>-3.1087407966719947</v>
      </c>
      <c r="BJ960">
        <f t="shared" si="325"/>
        <v>9.8969730649333485</v>
      </c>
      <c r="BN960" s="20">
        <f t="shared" si="326"/>
        <v>-1.0688316205887736</v>
      </c>
      <c r="BP960">
        <f t="shared" si="327"/>
        <v>4.1855892361632918</v>
      </c>
      <c r="BR960">
        <f t="shared" si="328"/>
        <v>-0.47603677363215563</v>
      </c>
      <c r="BT960">
        <f t="shared" si="329"/>
        <v>1.2822156406977829</v>
      </c>
      <c r="BV960">
        <f t="shared" si="330"/>
        <v>-1.5638724024510655</v>
      </c>
      <c r="BX960">
        <f t="shared" si="331"/>
        <v>4.4291681880722749</v>
      </c>
      <c r="CB960">
        <f t="shared" si="332"/>
        <v>347931.20391759655</v>
      </c>
      <c r="CD960">
        <f t="shared" si="333"/>
        <v>362263.38393144443</v>
      </c>
      <c r="CF960">
        <f t="shared" si="334"/>
        <v>333648.81437310646</v>
      </c>
    </row>
    <row r="961" spans="12:84" x14ac:dyDescent="0.25">
      <c r="L961">
        <v>950</v>
      </c>
      <c r="M961">
        <f t="shared" si="346"/>
        <v>5.9690260418205137</v>
      </c>
      <c r="P961">
        <f t="shared" si="340"/>
        <v>24755.282581475622</v>
      </c>
      <c r="Q961">
        <f t="shared" si="341"/>
        <v>5954.9150281248185</v>
      </c>
      <c r="V961">
        <f t="shared" si="342"/>
        <v>-16671.302192967065</v>
      </c>
      <c r="W961">
        <f t="shared" si="343"/>
        <v>8918.4405196873722</v>
      </c>
      <c r="AB961">
        <f t="shared" si="344"/>
        <v>-244.71741852437663</v>
      </c>
      <c r="AC961">
        <f t="shared" si="345"/>
        <v>-16545.084971875182</v>
      </c>
      <c r="AW961">
        <v>954</v>
      </c>
      <c r="AX961">
        <f t="shared" si="335"/>
        <v>477</v>
      </c>
      <c r="AZ961">
        <f t="shared" si="336"/>
        <v>106387.71913518976</v>
      </c>
      <c r="BB961">
        <f t="shared" si="337"/>
        <v>-329896.2267990628</v>
      </c>
      <c r="BD961">
        <f t="shared" si="338"/>
        <v>604.17076245816133</v>
      </c>
      <c r="BF961">
        <f t="shared" si="339"/>
        <v>-563.15335323400234</v>
      </c>
      <c r="BH961">
        <f t="shared" si="324"/>
        <v>-3.10805349470701</v>
      </c>
      <c r="BJ961">
        <f t="shared" si="325"/>
        <v>9.8744374652662081</v>
      </c>
      <c r="BN961" s="20">
        <f t="shared" si="326"/>
        <v>-1.0693692398324424</v>
      </c>
      <c r="BP961">
        <f t="shared" si="327"/>
        <v>4.1765328473347427</v>
      </c>
      <c r="BR961">
        <f t="shared" si="328"/>
        <v>-0.47571839812938227</v>
      </c>
      <c r="BT961">
        <f t="shared" si="329"/>
        <v>1.2793560137762716</v>
      </c>
      <c r="BV961">
        <f t="shared" si="330"/>
        <v>-1.5629658567451854</v>
      </c>
      <c r="BX961">
        <f t="shared" si="331"/>
        <v>4.4185486041551929</v>
      </c>
      <c r="CB961">
        <f t="shared" si="332"/>
        <v>348280.13419605925</v>
      </c>
      <c r="CD961">
        <f t="shared" si="333"/>
        <v>362633.83810730564</v>
      </c>
      <c r="CF961">
        <f t="shared" si="334"/>
        <v>334016.25353630132</v>
      </c>
    </row>
    <row r="962" spans="12:84" x14ac:dyDescent="0.25">
      <c r="L962">
        <v>951</v>
      </c>
      <c r="M962">
        <f t="shared" si="346"/>
        <v>5.9753092271276929</v>
      </c>
      <c r="P962">
        <f t="shared" si="340"/>
        <v>24764.896707585951</v>
      </c>
      <c r="Q962">
        <f t="shared" si="341"/>
        <v>5984.8236518356825</v>
      </c>
      <c r="V962">
        <f t="shared" si="342"/>
        <v>-16664.572304689835</v>
      </c>
      <c r="W962">
        <f t="shared" si="343"/>
        <v>8939.3765562849785</v>
      </c>
      <c r="AB962">
        <f t="shared" si="344"/>
        <v>-235.10329241404816</v>
      </c>
      <c r="AC962">
        <f t="shared" si="345"/>
        <v>-16515.176348164317</v>
      </c>
      <c r="AW962">
        <v>955</v>
      </c>
      <c r="AX962">
        <f t="shared" si="335"/>
        <v>477.5</v>
      </c>
      <c r="AZ962">
        <f t="shared" si="336"/>
        <v>106689.416009732</v>
      </c>
      <c r="BB962">
        <f t="shared" si="337"/>
        <v>-330176.56917099666</v>
      </c>
      <c r="BD962">
        <f t="shared" si="338"/>
        <v>602.6167357108078</v>
      </c>
      <c r="BF962">
        <f t="shared" si="339"/>
        <v>-558.2161345013692</v>
      </c>
      <c r="BH962">
        <f t="shared" si="324"/>
        <v>-3.1073938268553531</v>
      </c>
      <c r="BJ962">
        <f t="shared" si="325"/>
        <v>9.8521159329240291</v>
      </c>
      <c r="BN962" s="20">
        <f t="shared" si="326"/>
        <v>-1.0699101224296956</v>
      </c>
      <c r="BP962">
        <f t="shared" si="327"/>
        <v>4.1675627324888413</v>
      </c>
      <c r="BR962">
        <f t="shared" si="328"/>
        <v>-0.47540587416511765</v>
      </c>
      <c r="BT962">
        <f t="shared" si="329"/>
        <v>1.2765228882640454</v>
      </c>
      <c r="BV962">
        <f t="shared" si="330"/>
        <v>-1.5620778302605398</v>
      </c>
      <c r="BX962">
        <f t="shared" si="331"/>
        <v>4.4080303121711415</v>
      </c>
      <c r="CB962">
        <f t="shared" si="332"/>
        <v>348626.62006106658</v>
      </c>
      <c r="CD962">
        <f t="shared" si="333"/>
        <v>363001.79936446156</v>
      </c>
      <c r="CF962">
        <f t="shared" si="334"/>
        <v>334381.21269442613</v>
      </c>
    </row>
    <row r="963" spans="12:84" x14ac:dyDescent="0.25">
      <c r="L963">
        <v>952</v>
      </c>
      <c r="M963">
        <f t="shared" si="346"/>
        <v>5.9815924124348721</v>
      </c>
      <c r="P963">
        <f t="shared" si="340"/>
        <v>24774.322723733076</v>
      </c>
      <c r="Q963">
        <f t="shared" si="341"/>
        <v>6014.7920921143759</v>
      </c>
      <c r="V963">
        <f t="shared" si="342"/>
        <v>-16657.974093386849</v>
      </c>
      <c r="W963">
        <f t="shared" si="343"/>
        <v>8960.3544644800622</v>
      </c>
      <c r="AB963">
        <f t="shared" si="344"/>
        <v>-225.67727626692522</v>
      </c>
      <c r="AC963">
        <f t="shared" si="345"/>
        <v>-16485.207907885626</v>
      </c>
      <c r="AW963">
        <v>956</v>
      </c>
      <c r="AX963">
        <f t="shared" si="335"/>
        <v>478</v>
      </c>
      <c r="AZ963">
        <f t="shared" si="336"/>
        <v>106990.33595335906</v>
      </c>
      <c r="BB963">
        <f t="shared" si="337"/>
        <v>-330454.44572375575</v>
      </c>
      <c r="BD963">
        <f t="shared" si="338"/>
        <v>601.06303879738016</v>
      </c>
      <c r="BF963">
        <f t="shared" si="339"/>
        <v>-553.29007653490714</v>
      </c>
      <c r="BH963">
        <f t="shared" si="324"/>
        <v>-3.1067617675847838</v>
      </c>
      <c r="BJ963">
        <f t="shared" si="325"/>
        <v>9.8300064619010428</v>
      </c>
      <c r="BN963" s="20">
        <f t="shared" si="326"/>
        <v>-1.0704543491008798</v>
      </c>
      <c r="BP963">
        <f t="shared" si="327"/>
        <v>4.1586781135888042</v>
      </c>
      <c r="BR963">
        <f t="shared" si="328"/>
        <v>-0.47509917162550941</v>
      </c>
      <c r="BT963">
        <f t="shared" si="329"/>
        <v>1.2737160188235555</v>
      </c>
      <c r="BV963">
        <f t="shared" si="330"/>
        <v>-1.561208246858395</v>
      </c>
      <c r="BX963">
        <f t="shared" si="331"/>
        <v>4.3976123294886822</v>
      </c>
      <c r="CB963">
        <f t="shared" si="332"/>
        <v>348970.66629407299</v>
      </c>
      <c r="CD963">
        <f t="shared" si="333"/>
        <v>363367.27293279557</v>
      </c>
      <c r="CF963">
        <f t="shared" si="334"/>
        <v>334743.69698894734</v>
      </c>
    </row>
    <row r="964" spans="12:84" x14ac:dyDescent="0.25">
      <c r="L964">
        <v>953</v>
      </c>
      <c r="M964">
        <f t="shared" si="346"/>
        <v>5.9878755977420512</v>
      </c>
      <c r="P964">
        <f t="shared" si="340"/>
        <v>24783.560257794015</v>
      </c>
      <c r="Q964">
        <f t="shared" si="341"/>
        <v>6044.8191658581882</v>
      </c>
      <c r="V964">
        <f t="shared" si="342"/>
        <v>-16651.507819544189</v>
      </c>
      <c r="W964">
        <f t="shared" si="343"/>
        <v>8981.3734161007324</v>
      </c>
      <c r="AB964">
        <f t="shared" si="344"/>
        <v>-216.43974220598557</v>
      </c>
      <c r="AC964">
        <f t="shared" si="345"/>
        <v>-16455.180834141811</v>
      </c>
      <c r="AW964">
        <v>957</v>
      </c>
      <c r="AX964">
        <f t="shared" si="335"/>
        <v>478.5</v>
      </c>
      <c r="AZ964">
        <f t="shared" si="336"/>
        <v>107290.4791275368</v>
      </c>
      <c r="BB964">
        <f t="shared" si="337"/>
        <v>-330729.86201121547</v>
      </c>
      <c r="BD964">
        <f t="shared" si="338"/>
        <v>599.50965791358772</v>
      </c>
      <c r="BF964">
        <f t="shared" si="339"/>
        <v>-548.37507330395658</v>
      </c>
      <c r="BH964">
        <f t="shared" si="324"/>
        <v>-3.10615729198777</v>
      </c>
      <c r="BJ964">
        <f t="shared" si="325"/>
        <v>9.8081070754263457</v>
      </c>
      <c r="BN964" s="20">
        <f t="shared" si="326"/>
        <v>-1.0710019994130318</v>
      </c>
      <c r="BP964">
        <f t="shared" si="327"/>
        <v>4.149878223785934</v>
      </c>
      <c r="BR964">
        <f t="shared" si="328"/>
        <v>-0.47479826089869709</v>
      </c>
      <c r="BT964">
        <f t="shared" si="329"/>
        <v>1.2709351636353503</v>
      </c>
      <c r="BV964">
        <f t="shared" si="330"/>
        <v>-1.5603570316760411</v>
      </c>
      <c r="BX964">
        <f t="shared" si="331"/>
        <v>4.3872936880050606</v>
      </c>
      <c r="CB964">
        <f t="shared" si="332"/>
        <v>349312.27762911626</v>
      </c>
      <c r="CD964">
        <f t="shared" si="333"/>
        <v>363730.26399063884</v>
      </c>
      <c r="CF964">
        <f t="shared" si="334"/>
        <v>335103.71151079918</v>
      </c>
    </row>
    <row r="965" spans="12:84" x14ac:dyDescent="0.25">
      <c r="L965">
        <v>954</v>
      </c>
      <c r="M965">
        <f t="shared" si="346"/>
        <v>5.9941587830492304</v>
      </c>
      <c r="P965">
        <f t="shared" si="340"/>
        <v>24792.608945086744</v>
      </c>
      <c r="Q965">
        <f t="shared" si="341"/>
        <v>6074.9036876496639</v>
      </c>
      <c r="V965">
        <f t="shared" si="342"/>
        <v>-16645.17373843928</v>
      </c>
      <c r="W965">
        <f t="shared" si="343"/>
        <v>9002.4325813547639</v>
      </c>
      <c r="AB965">
        <f t="shared" si="344"/>
        <v>-207.39105491325608</v>
      </c>
      <c r="AC965">
        <f t="shared" si="345"/>
        <v>-16425.096312350335</v>
      </c>
      <c r="AW965">
        <v>958</v>
      </c>
      <c r="AX965">
        <f t="shared" si="335"/>
        <v>479</v>
      </c>
      <c r="AZ965">
        <f t="shared" si="336"/>
        <v>107589.84568683209</v>
      </c>
      <c r="BB965">
        <f t="shared" si="337"/>
        <v>-331002.82353448303</v>
      </c>
      <c r="BD965">
        <f t="shared" si="338"/>
        <v>597.95657926759384</v>
      </c>
      <c r="BF965">
        <f t="shared" si="339"/>
        <v>-543.47101976624344</v>
      </c>
      <c r="BH965">
        <f t="shared" si="324"/>
        <v>-3.1055803757958502</v>
      </c>
      <c r="BJ965">
        <f t="shared" si="325"/>
        <v>9.7864158254815834</v>
      </c>
      <c r="BN965" s="20">
        <f t="shared" si="326"/>
        <v>-1.0715531518110923</v>
      </c>
      <c r="BP965">
        <f t="shared" si="327"/>
        <v>4.1411623072405961</v>
      </c>
      <c r="BR965">
        <f t="shared" si="328"/>
        <v>-0.47450311286868546</v>
      </c>
      <c r="BT965">
        <f t="shared" si="329"/>
        <v>1.2681800843405402</v>
      </c>
      <c r="BV965">
        <f t="shared" si="330"/>
        <v>-1.5595241111160723</v>
      </c>
      <c r="BX965">
        <f t="shared" si="331"/>
        <v>4.3770734339004482</v>
      </c>
      <c r="CB965">
        <f t="shared" si="332"/>
        <v>349651.45875322813</v>
      </c>
      <c r="CD965">
        <f t="shared" si="333"/>
        <v>364090.77766524022</v>
      </c>
      <c r="CF965">
        <f t="shared" si="334"/>
        <v>335461.26130083977</v>
      </c>
    </row>
    <row r="966" spans="12:84" x14ac:dyDescent="0.25">
      <c r="L966">
        <v>955</v>
      </c>
      <c r="M966">
        <f t="shared" si="346"/>
        <v>6.0004419683564096</v>
      </c>
      <c r="P966">
        <f t="shared" si="340"/>
        <v>24801.468428384582</v>
      </c>
      <c r="Q966">
        <f t="shared" si="341"/>
        <v>6105.0444698033953</v>
      </c>
      <c r="V966">
        <f t="shared" si="342"/>
        <v>-16638.972100130792</v>
      </c>
      <c r="W966">
        <f t="shared" si="343"/>
        <v>9023.5311288623761</v>
      </c>
      <c r="AB966">
        <f t="shared" si="344"/>
        <v>-198.53157161541822</v>
      </c>
      <c r="AC966">
        <f t="shared" si="345"/>
        <v>-16394.955530196603</v>
      </c>
      <c r="AW966">
        <v>959</v>
      </c>
      <c r="AX966">
        <f t="shared" si="335"/>
        <v>479.5</v>
      </c>
      <c r="AZ966">
        <f t="shared" si="336"/>
        <v>107888.43577891892</v>
      </c>
      <c r="BB966">
        <f t="shared" si="337"/>
        <v>-331273.33574238798</v>
      </c>
      <c r="BD966">
        <f t="shared" si="338"/>
        <v>596.40378907969591</v>
      </c>
      <c r="BF966">
        <f t="shared" si="339"/>
        <v>-538.57781185350268</v>
      </c>
      <c r="BH966">
        <f t="shared" si="324"/>
        <v>-3.105030995393574</v>
      </c>
      <c r="BJ966">
        <f t="shared" si="325"/>
        <v>9.7649307923283395</v>
      </c>
      <c r="BN966" s="20">
        <f t="shared" si="326"/>
        <v>-1.0721078836483058</v>
      </c>
      <c r="BP966">
        <f t="shared" si="327"/>
        <v>4.1325296189463732</v>
      </c>
      <c r="BR966">
        <f t="shared" si="328"/>
        <v>-0.4742136989093918</v>
      </c>
      <c r="BT966">
        <f t="shared" si="329"/>
        <v>1.265450545984562</v>
      </c>
      <c r="BV966">
        <f t="shared" si="330"/>
        <v>-1.5587094128358763</v>
      </c>
      <c r="BX966">
        <f t="shared" si="331"/>
        <v>4.3669506273974044</v>
      </c>
      <c r="CB966">
        <f t="shared" si="332"/>
        <v>349988.21430683904</v>
      </c>
      <c r="CD966">
        <f t="shared" si="333"/>
        <v>364448.81903322903</v>
      </c>
      <c r="CF966">
        <f t="shared" si="334"/>
        <v>335816.35135030036</v>
      </c>
    </row>
    <row r="967" spans="12:84" x14ac:dyDescent="0.25">
      <c r="L967">
        <v>956</v>
      </c>
      <c r="M967">
        <f t="shared" si="346"/>
        <v>6.0067251536635888</v>
      </c>
      <c r="P967">
        <f t="shared" si="340"/>
        <v>24810.1383579303</v>
      </c>
      <c r="Q967">
        <f t="shared" si="341"/>
        <v>6135.240322412913</v>
      </c>
      <c r="V967">
        <f t="shared" si="342"/>
        <v>-16632.90314944879</v>
      </c>
      <c r="W967">
        <f t="shared" si="343"/>
        <v>9044.6682256890381</v>
      </c>
      <c r="AB967">
        <f t="shared" si="344"/>
        <v>-189.8616420697017</v>
      </c>
      <c r="AC967">
        <f t="shared" si="345"/>
        <v>-16364.759677587088</v>
      </c>
      <c r="AW967">
        <v>960</v>
      </c>
      <c r="AX967">
        <f t="shared" si="335"/>
        <v>480</v>
      </c>
      <c r="AZ967">
        <f t="shared" si="336"/>
        <v>108186.24954458434</v>
      </c>
      <c r="BB967">
        <f t="shared" si="337"/>
        <v>-331541.40403196571</v>
      </c>
      <c r="BD967">
        <f t="shared" si="338"/>
        <v>594.85127358199918</v>
      </c>
      <c r="BF967">
        <f t="shared" si="339"/>
        <v>-533.69534645733847</v>
      </c>
      <c r="BH967">
        <f t="shared" si="324"/>
        <v>-3.1045091278318973</v>
      </c>
      <c r="BJ967">
        <f t="shared" si="325"/>
        <v>9.7436500840448286</v>
      </c>
      <c r="BN967" s="20">
        <f t="shared" si="326"/>
        <v>-1.0726662712159625</v>
      </c>
      <c r="BP967">
        <f t="shared" si="327"/>
        <v>4.1239794245578878</v>
      </c>
      <c r="BR967">
        <f t="shared" si="328"/>
        <v>-0.47392999087876081</v>
      </c>
      <c r="BT967">
        <f t="shared" si="329"/>
        <v>1.2627463169619451</v>
      </c>
      <c r="BV967">
        <f t="shared" si="330"/>
        <v>-1.5579128657371739</v>
      </c>
      <c r="BX967">
        <f t="shared" si="331"/>
        <v>4.3569243425249962</v>
      </c>
      <c r="CB967">
        <f t="shared" si="332"/>
        <v>350322.54888417659</v>
      </c>
      <c r="CD967">
        <f t="shared" si="333"/>
        <v>364804.39312107093</v>
      </c>
      <c r="CF967">
        <f t="shared" si="334"/>
        <v>336168.98660122871</v>
      </c>
    </row>
    <row r="968" spans="12:84" x14ac:dyDescent="0.25">
      <c r="L968">
        <v>957</v>
      </c>
      <c r="M968">
        <f t="shared" si="346"/>
        <v>6.013008338970768</v>
      </c>
      <c r="P968">
        <f t="shared" si="340"/>
        <v>24818.61839144992</v>
      </c>
      <c r="Q968">
        <f t="shared" si="341"/>
        <v>6165.4900533976579</v>
      </c>
      <c r="V968">
        <f t="shared" si="342"/>
        <v>-16626.967125985055</v>
      </c>
      <c r="W968">
        <f t="shared" si="343"/>
        <v>9065.8430373783613</v>
      </c>
      <c r="AB968">
        <f t="shared" si="344"/>
        <v>-181.38160855007936</v>
      </c>
      <c r="AC968">
        <f t="shared" si="345"/>
        <v>-16334.509946602342</v>
      </c>
      <c r="AW968">
        <v>961</v>
      </c>
      <c r="AX968">
        <f t="shared" si="335"/>
        <v>480.5</v>
      </c>
      <c r="AZ968">
        <f t="shared" si="336"/>
        <v>108483.28711773436</v>
      </c>
      <c r="BB968">
        <f t="shared" si="337"/>
        <v>-331807.03374893387</v>
      </c>
      <c r="BD968">
        <f t="shared" si="338"/>
        <v>593.29901901808319</v>
      </c>
      <c r="BF968">
        <f t="shared" si="339"/>
        <v>-528.82352141531601</v>
      </c>
      <c r="BH968">
        <f t="shared" ref="BH968:BH1007" si="347">BN968+BR968+BV968</f>
        <v>-3.1040147508414098</v>
      </c>
      <c r="BJ968">
        <f t="shared" ref="BJ968:BJ1007" si="348">SUM(BP968,BT968,BX968)</f>
        <v>9.7225718360726532</v>
      </c>
      <c r="BN968" s="20">
        <f t="shared" ref="BN968:BN1007" si="349">$F$36*($F$32-AZ968)/(CB968^2+$F$37^2)^(3/2)</f>
        <v>-1.0732283897725032</v>
      </c>
      <c r="BP968">
        <f t="shared" ref="BP968:BP1007" si="350">$F$36*($G$32-BB968)/(CB968^2+($F$37)^2)^(3/2)</f>
        <v>4.115511000222174</v>
      </c>
      <c r="BR968">
        <f t="shared" ref="BR968:BR1007" si="351">$F$47*($F$43-AZ968)/(CD968^2+($F$48)^2)^(3/2)</f>
        <v>-0.47365196111301849</v>
      </c>
      <c r="BT968">
        <f t="shared" ref="BT968:BT1007" si="352">$F$47*($G$43-BB968)/(CD968^2+($F$48)^2)^(3/2)</f>
        <v>1.2600671689622402</v>
      </c>
      <c r="BV968">
        <f t="shared" ref="BV968:BV1007" si="353">$F$58*($F$54-AZ968)/(CF968^2+($F$59)^2)^(3/2)</f>
        <v>-1.5571343999558882</v>
      </c>
      <c r="BX968">
        <f t="shared" ref="BX968:BX1007" si="354">$F$58*($G$54-BB968)/(CF968^2+($F$59)^2)^(3/2)</f>
        <v>4.3469936668882392</v>
      </c>
      <c r="CB968">
        <f t="shared" ref="CB968:CB1007" si="355">SQRT(($F$32-AZ968)^2+($G$32-BB968)^2)</f>
        <v>350654.46703365917</v>
      </c>
      <c r="CD968">
        <f t="shared" ref="CD968:CD1007" si="356">SQRT(($F$43-AZ968)^2+($G$43-BB968)^2)</f>
        <v>365157.50490551745</v>
      </c>
      <c r="CF968">
        <f t="shared" ref="CF968:CF1007" si="357">SQRT(($F$54-AZ968)^2+($G$54-BB968)^2)</f>
        <v>336519.17194692529</v>
      </c>
    </row>
    <row r="969" spans="12:84" x14ac:dyDescent="0.25">
      <c r="L969">
        <v>958</v>
      </c>
      <c r="M969">
        <f t="shared" si="346"/>
        <v>6.0192915242779472</v>
      </c>
      <c r="P969">
        <f t="shared" si="340"/>
        <v>24826.908194166244</v>
      </c>
      <c r="Q969">
        <f t="shared" si="341"/>
        <v>6195.7924685500493</v>
      </c>
      <c r="V969">
        <f t="shared" si="342"/>
        <v>-16621.164264083629</v>
      </c>
      <c r="W969">
        <f t="shared" si="343"/>
        <v>9087.0547279850343</v>
      </c>
      <c r="AB969">
        <f t="shared" si="344"/>
        <v>-173.09180583375655</v>
      </c>
      <c r="AC969">
        <f t="shared" si="345"/>
        <v>-16304.207531449951</v>
      </c>
      <c r="AW969">
        <v>962</v>
      </c>
      <c r="AX969">
        <f t="shared" ref="AX969:AX1007" si="358">$F$17*AW969</f>
        <v>481</v>
      </c>
      <c r="AZ969">
        <f t="shared" ref="AZ969:AZ1007" si="359">AZ968+BD968*$F$17+(BH968*0.5)*$F$17^2</f>
        <v>108779.54862539955</v>
      </c>
      <c r="BB969">
        <f t="shared" ref="BB969:BB1007" si="360">BB968+(BF968*$F$17)+(BJ968*0.5)*$F$17^2</f>
        <v>-332070.23018816207</v>
      </c>
      <c r="BD969">
        <f t="shared" ref="BD969:BD1007" si="361">BD968+BH968*$F$17</f>
        <v>591.74701164266253</v>
      </c>
      <c r="BF969">
        <f t="shared" ref="BF969:BF1007" si="362">BF968+BJ968*$F$17</f>
        <v>-523.96223549727972</v>
      </c>
      <c r="BH969">
        <f t="shared" si="347"/>
        <v>-3.1035478428450234</v>
      </c>
      <c r="BJ969">
        <f t="shared" si="348"/>
        <v>9.7016942107722368</v>
      </c>
      <c r="BN969" s="20">
        <f t="shared" si="349"/>
        <v>-1.0737943135719432</v>
      </c>
      <c r="BP969">
        <f t="shared" si="350"/>
        <v>4.1071236324133</v>
      </c>
      <c r="BR969">
        <f t="shared" si="351"/>
        <v>-0.47337958242103756</v>
      </c>
      <c r="BT969">
        <f t="shared" si="352"/>
        <v>1.257412876917031</v>
      </c>
      <c r="BV969">
        <f t="shared" si="353"/>
        <v>-1.5563739468520426</v>
      </c>
      <c r="BX969">
        <f t="shared" si="354"/>
        <v>4.3371577014419058</v>
      </c>
      <c r="CB969">
        <f t="shared" si="355"/>
        <v>350983.97325828293</v>
      </c>
      <c r="CD969">
        <f t="shared" si="356"/>
        <v>365508.15931404848</v>
      </c>
      <c r="CF969">
        <f t="shared" si="357"/>
        <v>336866.91223237367</v>
      </c>
    </row>
    <row r="970" spans="12:84" x14ac:dyDescent="0.25">
      <c r="L970">
        <v>959</v>
      </c>
      <c r="M970">
        <f t="shared" si="346"/>
        <v>6.0255747095851264</v>
      </c>
      <c r="P970">
        <f t="shared" si="340"/>
        <v>24835.007438812052</v>
      </c>
      <c r="Q970">
        <f t="shared" si="341"/>
        <v>6226.1463715826203</v>
      </c>
      <c r="V970">
        <f t="shared" si="342"/>
        <v>-16615.494792831563</v>
      </c>
      <c r="W970">
        <f t="shared" si="343"/>
        <v>9108.3024601078341</v>
      </c>
      <c r="AB970">
        <f t="shared" si="344"/>
        <v>-164.99256118794801</v>
      </c>
      <c r="AC970">
        <f t="shared" si="345"/>
        <v>-16273.853628417381</v>
      </c>
      <c r="AW970">
        <v>963</v>
      </c>
      <c r="AX970">
        <f t="shared" si="358"/>
        <v>481.5</v>
      </c>
      <c r="AZ970">
        <f t="shared" si="359"/>
        <v>109075.03418774053</v>
      </c>
      <c r="BB970">
        <f t="shared" si="360"/>
        <v>-332330.99859413435</v>
      </c>
      <c r="BD970">
        <f t="shared" si="361"/>
        <v>590.19523772124001</v>
      </c>
      <c r="BF970">
        <f t="shared" si="362"/>
        <v>-519.11138839189357</v>
      </c>
      <c r="BH970">
        <f t="shared" si="347"/>
        <v>-3.1031083829703188</v>
      </c>
      <c r="BJ970">
        <f t="shared" si="348"/>
        <v>9.6810153969872452</v>
      </c>
      <c r="BN970" s="20">
        <f t="shared" si="349"/>
        <v>-1.0743641158915913</v>
      </c>
      <c r="BP970">
        <f t="shared" si="350"/>
        <v>4.0988166177700229</v>
      </c>
      <c r="BR970">
        <f t="shared" si="351"/>
        <v>-0.47311282807882327</v>
      </c>
      <c r="BT970">
        <f t="shared" si="352"/>
        <v>1.2547832189480184</v>
      </c>
      <c r="BV970">
        <f t="shared" si="353"/>
        <v>-1.5556314389999042</v>
      </c>
      <c r="BX970">
        <f t="shared" si="354"/>
        <v>4.3274155602692037</v>
      </c>
      <c r="CB970">
        <f t="shared" si="355"/>
        <v>351311.07201600366</v>
      </c>
      <c r="CD970">
        <f t="shared" si="356"/>
        <v>365856.36122530873</v>
      </c>
      <c r="CF970">
        <f t="shared" si="357"/>
        <v>337212.21225466416</v>
      </c>
    </row>
    <row r="971" spans="12:84" x14ac:dyDescent="0.25">
      <c r="L971">
        <v>960</v>
      </c>
      <c r="M971">
        <f t="shared" si="346"/>
        <v>6.0318578948923056</v>
      </c>
      <c r="P971">
        <f t="shared" ref="P971:P1011" si="363">COS(M971)*$F$33+$F$32</f>
        <v>24842.915805643035</v>
      </c>
      <c r="Q971">
        <f t="shared" ref="Q971:Q1011" si="364">SIN(M971)*$F$33+$G$32</f>
        <v>6256.5505641752543</v>
      </c>
      <c r="V971">
        <f t="shared" si="342"/>
        <v>-16609.958936049876</v>
      </c>
      <c r="W971">
        <f t="shared" si="343"/>
        <v>9129.5853949226785</v>
      </c>
      <c r="AB971">
        <f t="shared" si="344"/>
        <v>-157.08419435696578</v>
      </c>
      <c r="AC971">
        <f t="shared" si="345"/>
        <v>-16243.449435824747</v>
      </c>
      <c r="AW971">
        <v>964</v>
      </c>
      <c r="AX971">
        <f t="shared" si="358"/>
        <v>482</v>
      </c>
      <c r="AZ971">
        <f t="shared" si="359"/>
        <v>109369.74391805327</v>
      </c>
      <c r="BB971">
        <f t="shared" si="360"/>
        <v>-332589.34416140569</v>
      </c>
      <c r="BD971">
        <f t="shared" si="361"/>
        <v>588.64368352975487</v>
      </c>
      <c r="BF971">
        <f t="shared" si="362"/>
        <v>-514.27088069339993</v>
      </c>
      <c r="BH971">
        <f t="shared" si="347"/>
        <v>-3.1026963510616143</v>
      </c>
      <c r="BJ971">
        <f t="shared" si="348"/>
        <v>9.6605336096181205</v>
      </c>
      <c r="BN971" s="20">
        <f t="shared" si="349"/>
        <v>-1.0749378690593101</v>
      </c>
      <c r="BP971">
        <f t="shared" si="350"/>
        <v>4.090589262937244</v>
      </c>
      <c r="BR971">
        <f t="shared" si="351"/>
        <v>-0.47285167182407567</v>
      </c>
      <c r="BT971">
        <f t="shared" si="352"/>
        <v>1.2521779763160557</v>
      </c>
      <c r="BV971">
        <f t="shared" si="353"/>
        <v>-1.5549068101782286</v>
      </c>
      <c r="BX971">
        <f t="shared" si="354"/>
        <v>4.3177663703648212</v>
      </c>
      <c r="CB971">
        <f t="shared" si="355"/>
        <v>351635.76772011333</v>
      </c>
      <c r="CD971">
        <f t="shared" si="356"/>
        <v>366202.11546953791</v>
      </c>
      <c r="CF971">
        <f t="shared" si="357"/>
        <v>337555.07676341187</v>
      </c>
    </row>
    <row r="972" spans="12:84" x14ac:dyDescent="0.25">
      <c r="L972">
        <v>961</v>
      </c>
      <c r="M972">
        <f t="shared" si="346"/>
        <v>6.0381410801994848</v>
      </c>
      <c r="P972">
        <f t="shared" si="363"/>
        <v>24850.63298245041</v>
      </c>
      <c r="Q972">
        <f t="shared" si="364"/>
        <v>6287.0038460224887</v>
      </c>
      <c r="V972">
        <f t="shared" ref="V972:V1011" si="365">COS(M972)*$F$44+$F$43</f>
        <v>-16604.556912284712</v>
      </c>
      <c r="W972">
        <f t="shared" ref="W972:W1011" si="366">SIN(M972)*$F$44+$G$43</f>
        <v>9150.9026922157427</v>
      </c>
      <c r="AB972">
        <f t="shared" ref="AB972:AB1011" si="367">COS(M972)*$F$55+$F$54</f>
        <v>-149.36701754958904</v>
      </c>
      <c r="AC972">
        <f t="shared" ref="AC972:AC1011" si="368">SIN(M972)*$F$55+$G$54</f>
        <v>-16212.996153977512</v>
      </c>
      <c r="AW972">
        <v>965</v>
      </c>
      <c r="AX972">
        <f t="shared" si="358"/>
        <v>482.5</v>
      </c>
      <c r="AZ972">
        <f t="shared" si="359"/>
        <v>109663.67792277427</v>
      </c>
      <c r="BB972">
        <f t="shared" si="360"/>
        <v>-332845.2720350512</v>
      </c>
      <c r="BD972">
        <f t="shared" si="361"/>
        <v>587.09233535422402</v>
      </c>
      <c r="BF972">
        <f t="shared" si="362"/>
        <v>-509.44061388859086</v>
      </c>
      <c r="BH972">
        <f t="shared" si="347"/>
        <v>-3.1023117276915473</v>
      </c>
      <c r="BJ972">
        <f t="shared" si="348"/>
        <v>9.6402470892035232</v>
      </c>
      <c r="BN972" s="20">
        <f t="shared" si="349"/>
        <v>-1.0755156444799499</v>
      </c>
      <c r="BP972">
        <f t="shared" si="350"/>
        <v>4.0824408844097544</v>
      </c>
      <c r="BR972">
        <f t="shared" si="351"/>
        <v>-0.47259608785091139</v>
      </c>
      <c r="BT972">
        <f t="shared" si="352"/>
        <v>1.2495969333713308</v>
      </c>
      <c r="BV972">
        <f t="shared" si="353"/>
        <v>-1.554199995360686</v>
      </c>
      <c r="BX972">
        <f t="shared" si="354"/>
        <v>4.3082092714224389</v>
      </c>
      <c r="CB972">
        <f t="shared" si="355"/>
        <v>351958.06473961071</v>
      </c>
      <c r="CD972">
        <f t="shared" si="356"/>
        <v>366545.42682899372</v>
      </c>
      <c r="CF972">
        <f t="shared" si="357"/>
        <v>337895.51046116813</v>
      </c>
    </row>
    <row r="973" spans="12:84" x14ac:dyDescent="0.25">
      <c r="L973">
        <v>962</v>
      </c>
      <c r="M973">
        <f t="shared" ref="M973:M1011" si="369">M972+$O$5</f>
        <v>6.044424265506664</v>
      </c>
      <c r="P973">
        <f t="shared" si="363"/>
        <v>24858.158664573253</v>
      </c>
      <c r="Q973">
        <f t="shared" si="364"/>
        <v>6317.5050148808996</v>
      </c>
      <c r="V973">
        <f t="shared" si="365"/>
        <v>-16599.288934798722</v>
      </c>
      <c r="W973">
        <f t="shared" si="366"/>
        <v>9172.2535104166291</v>
      </c>
      <c r="AB973">
        <f t="shared" si="367"/>
        <v>-141.84133542674681</v>
      </c>
      <c r="AC973">
        <f t="shared" si="368"/>
        <v>-16182.494985119101</v>
      </c>
      <c r="AW973">
        <v>966</v>
      </c>
      <c r="AX973">
        <f t="shared" si="358"/>
        <v>483</v>
      </c>
      <c r="AZ973">
        <f t="shared" si="359"/>
        <v>109956.83630148541</v>
      </c>
      <c r="BB973">
        <f t="shared" si="360"/>
        <v>-333098.78731110931</v>
      </c>
      <c r="BD973">
        <f t="shared" si="361"/>
        <v>585.54117949037823</v>
      </c>
      <c r="BF973">
        <f t="shared" si="362"/>
        <v>-504.6204903439891</v>
      </c>
      <c r="BH973">
        <f t="shared" si="347"/>
        <v>-3.1019544941725381</v>
      </c>
      <c r="BJ973">
        <f t="shared" si="348"/>
        <v>9.6201541015109591</v>
      </c>
      <c r="BN973" s="20">
        <f t="shared" si="349"/>
        <v>-1.0760975126614156</v>
      </c>
      <c r="BP973">
        <f t="shared" si="350"/>
        <v>4.074370808379876</v>
      </c>
      <c r="BR973">
        <f t="shared" si="351"/>
        <v>-0.47234605080463499</v>
      </c>
      <c r="BT973">
        <f t="shared" si="352"/>
        <v>1.2470398775043858</v>
      </c>
      <c r="BV973">
        <f t="shared" si="353"/>
        <v>-1.5535109307064876</v>
      </c>
      <c r="BX973">
        <f t="shared" si="354"/>
        <v>4.2987434156266975</v>
      </c>
      <c r="CB973">
        <f t="shared" si="355"/>
        <v>352277.96739956719</v>
      </c>
      <c r="CD973">
        <f t="shared" si="356"/>
        <v>366886.30003837007</v>
      </c>
      <c r="CF973">
        <f t="shared" si="357"/>
        <v>338233.51800382655</v>
      </c>
    </row>
    <row r="974" spans="12:84" x14ac:dyDescent="0.25">
      <c r="L974">
        <v>963</v>
      </c>
      <c r="M974">
        <f t="shared" si="369"/>
        <v>6.0507074508138432</v>
      </c>
      <c r="P974">
        <f t="shared" si="363"/>
        <v>24865.492554910517</v>
      </c>
      <c r="Q974">
        <f t="shared" si="364"/>
        <v>6348.0528666165674</v>
      </c>
      <c r="V974">
        <f t="shared" si="365"/>
        <v>-16594.155211562636</v>
      </c>
      <c r="W974">
        <f t="shared" si="366"/>
        <v>9193.6370066315976</v>
      </c>
      <c r="AB974">
        <f t="shared" si="367"/>
        <v>-134.50744508948083</v>
      </c>
      <c r="AC974">
        <f t="shared" si="368"/>
        <v>-16151.947133383434</v>
      </c>
      <c r="AW974">
        <v>967</v>
      </c>
      <c r="AX974">
        <f t="shared" si="358"/>
        <v>483.5</v>
      </c>
      <c r="AZ974">
        <f t="shared" si="359"/>
        <v>110249.21914691884</v>
      </c>
      <c r="BB974">
        <f t="shared" si="360"/>
        <v>-333349.89503701864</v>
      </c>
      <c r="BD974">
        <f t="shared" si="361"/>
        <v>583.99020224329195</v>
      </c>
      <c r="BF974">
        <f t="shared" si="362"/>
        <v>-499.81041329323364</v>
      </c>
      <c r="BH974">
        <f t="shared" si="347"/>
        <v>-3.1016246325677268</v>
      </c>
      <c r="BJ974">
        <f t="shared" si="348"/>
        <v>9.6002529371347745</v>
      </c>
      <c r="BN974" s="20">
        <f t="shared" si="349"/>
        <v>-1.0766835432399966</v>
      </c>
      <c r="BP974">
        <f t="shared" si="350"/>
        <v>4.066378370587457</v>
      </c>
      <c r="BR974">
        <f t="shared" si="351"/>
        <v>-0.47210153577665043</v>
      </c>
      <c r="BT974">
        <f t="shared" si="352"/>
        <v>1.2445065990982009</v>
      </c>
      <c r="BV974">
        <f t="shared" si="353"/>
        <v>-1.5528395535510797</v>
      </c>
      <c r="BX974">
        <f t="shared" si="354"/>
        <v>4.2893679674491167</v>
      </c>
      <c r="CB974">
        <f t="shared" si="355"/>
        <v>352595.47998148703</v>
      </c>
      <c r="CD974">
        <f t="shared" si="356"/>
        <v>367224.73978520813</v>
      </c>
      <c r="CF974">
        <f t="shared" si="357"/>
        <v>338569.10400102264</v>
      </c>
    </row>
    <row r="975" spans="12:84" x14ac:dyDescent="0.25">
      <c r="L975">
        <v>964</v>
      </c>
      <c r="M975">
        <f t="shared" si="369"/>
        <v>6.0569906361210224</v>
      </c>
      <c r="P975">
        <f t="shared" si="363"/>
        <v>24872.634363932775</v>
      </c>
      <c r="Q975">
        <f t="shared" si="364"/>
        <v>6378.6461952526115</v>
      </c>
      <c r="V975">
        <f t="shared" si="365"/>
        <v>-16589.155945247057</v>
      </c>
      <c r="W975">
        <f t="shared" si="366"/>
        <v>9215.0523366768284</v>
      </c>
      <c r="AB975">
        <f t="shared" si="367"/>
        <v>-127.36563606722575</v>
      </c>
      <c r="AC975">
        <f t="shared" si="368"/>
        <v>-16121.353804747388</v>
      </c>
      <c r="AW975">
        <v>968</v>
      </c>
      <c r="AX975">
        <f t="shared" si="358"/>
        <v>484</v>
      </c>
      <c r="AZ975">
        <f t="shared" si="359"/>
        <v>110540.82654496141</v>
      </c>
      <c r="BB975">
        <f t="shared" si="360"/>
        <v>-333598.6002120481</v>
      </c>
      <c r="BD975">
        <f t="shared" si="361"/>
        <v>582.43938992700805</v>
      </c>
      <c r="BF975">
        <f t="shared" si="362"/>
        <v>-495.01028682466625</v>
      </c>
      <c r="BH975">
        <f t="shared" si="347"/>
        <v>-3.1013221257018175</v>
      </c>
      <c r="BJ975">
        <f t="shared" si="348"/>
        <v>9.5805419111028627</v>
      </c>
      <c r="BN975" s="20">
        <f t="shared" si="349"/>
        <v>-1.0772738050052451</v>
      </c>
      <c r="BP975">
        <f t="shared" si="350"/>
        <v>4.0584629161731991</v>
      </c>
      <c r="BR975">
        <f t="shared" si="351"/>
        <v>-0.47186251829946818</v>
      </c>
      <c r="BT975">
        <f t="shared" si="352"/>
        <v>1.2419968914812047</v>
      </c>
      <c r="BV975">
        <f t="shared" si="353"/>
        <v>-1.5521858023971042</v>
      </c>
      <c r="BX975">
        <f t="shared" si="354"/>
        <v>4.2800821034484597</v>
      </c>
      <c r="CB975">
        <f t="shared" si="355"/>
        <v>352910.60672366229</v>
      </c>
      <c r="CD975">
        <f t="shared" si="356"/>
        <v>367560.75071030174</v>
      </c>
      <c r="CF975">
        <f t="shared" si="357"/>
        <v>338902.27301652805</v>
      </c>
    </row>
    <row r="976" spans="12:84" x14ac:dyDescent="0.25">
      <c r="L976">
        <v>965</v>
      </c>
      <c r="M976">
        <f t="shared" si="369"/>
        <v>6.0632738214282016</v>
      </c>
      <c r="P976">
        <f t="shared" si="363"/>
        <v>24879.583809693628</v>
      </c>
      <c r="Q976">
        <f t="shared" si="364"/>
        <v>6409.2837930168025</v>
      </c>
      <c r="V976">
        <f t="shared" si="365"/>
        <v>-16584.29133321446</v>
      </c>
      <c r="W976">
        <f t="shared" si="366"/>
        <v>9236.4986551117618</v>
      </c>
      <c r="AB976">
        <f t="shared" si="367"/>
        <v>-120.41619030637139</v>
      </c>
      <c r="AC976">
        <f t="shared" si="368"/>
        <v>-16090.716206983197</v>
      </c>
      <c r="AW976">
        <v>969</v>
      </c>
      <c r="AX976">
        <f t="shared" si="358"/>
        <v>484.5</v>
      </c>
      <c r="AZ976">
        <f t="shared" si="359"/>
        <v>110831.6585746592</v>
      </c>
      <c r="BB976">
        <f t="shared" si="360"/>
        <v>-333844.90778772155</v>
      </c>
      <c r="BD976">
        <f t="shared" si="361"/>
        <v>580.88872886415709</v>
      </c>
      <c r="BF976">
        <f t="shared" si="362"/>
        <v>-490.22001586911483</v>
      </c>
      <c r="BH976">
        <f t="shared" si="347"/>
        <v>-3.1010469571714498</v>
      </c>
      <c r="BJ976">
        <f t="shared" si="348"/>
        <v>9.5610193624905691</v>
      </c>
      <c r="BN976" s="20">
        <f t="shared" si="349"/>
        <v>-1.0778683659242487</v>
      </c>
      <c r="BP976">
        <f t="shared" si="350"/>
        <v>4.0506237995345913</v>
      </c>
      <c r="BR976">
        <f t="shared" si="351"/>
        <v>-0.47162897434178597</v>
      </c>
      <c r="BT976">
        <f t="shared" si="352"/>
        <v>1.2395105508811404</v>
      </c>
      <c r="BV976">
        <f t="shared" si="353"/>
        <v>-1.551549616905415</v>
      </c>
      <c r="BX976">
        <f t="shared" si="354"/>
        <v>4.270885012074837</v>
      </c>
      <c r="CB976">
        <f t="shared" si="355"/>
        <v>353223.35182152322</v>
      </c>
      <c r="CD976">
        <f t="shared" si="356"/>
        <v>367894.33740809729</v>
      </c>
      <c r="CF976">
        <f t="shared" si="357"/>
        <v>339233.02956863894</v>
      </c>
    </row>
    <row r="977" spans="12:84" x14ac:dyDescent="0.25">
      <c r="L977">
        <v>966</v>
      </c>
      <c r="M977">
        <f t="shared" si="369"/>
        <v>6.0695570067353808</v>
      </c>
      <c r="P977">
        <f t="shared" si="363"/>
        <v>24886.340617840862</v>
      </c>
      <c r="Q977">
        <f t="shared" si="364"/>
        <v>6439.9644503892396</v>
      </c>
      <c r="V977">
        <f t="shared" si="365"/>
        <v>-16579.561567511399</v>
      </c>
      <c r="W977">
        <f t="shared" si="366"/>
        <v>9257.9751152724675</v>
      </c>
      <c r="AB977">
        <f t="shared" si="367"/>
        <v>-113.65938215913866</v>
      </c>
      <c r="AC977">
        <f t="shared" si="368"/>
        <v>-16060.03554961076</v>
      </c>
      <c r="AW977">
        <v>970</v>
      </c>
      <c r="AX977">
        <f t="shared" si="358"/>
        <v>485</v>
      </c>
      <c r="AZ977">
        <f t="shared" si="359"/>
        <v>111121.71530822164</v>
      </c>
      <c r="BB977">
        <f t="shared" si="360"/>
        <v>-334088.82266823581</v>
      </c>
      <c r="BD977">
        <f t="shared" si="361"/>
        <v>579.33820538557131</v>
      </c>
      <c r="BF977">
        <f t="shared" si="362"/>
        <v>-485.43950618786954</v>
      </c>
      <c r="BH977">
        <f t="shared" si="347"/>
        <v>-3.1007991113554234</v>
      </c>
      <c r="BJ977">
        <f t="shared" si="348"/>
        <v>9.5416836540425898</v>
      </c>
      <c r="BN977" s="20">
        <f t="shared" si="349"/>
        <v>-1.078467293165386</v>
      </c>
      <c r="BP977">
        <f t="shared" si="350"/>
        <v>4.0428603841846726</v>
      </c>
      <c r="BR977">
        <f t="shared" si="351"/>
        <v>-0.47140088030371546</v>
      </c>
      <c r="BT977">
        <f t="shared" si="352"/>
        <v>1.2370473763799585</v>
      </c>
      <c r="BV977">
        <f t="shared" si="353"/>
        <v>-1.5509309378863219</v>
      </c>
      <c r="BX977">
        <f t="shared" si="354"/>
        <v>4.2617758934779575</v>
      </c>
      <c r="CB977">
        <f t="shared" si="355"/>
        <v>353533.71942798333</v>
      </c>
      <c r="CD977">
        <f t="shared" si="356"/>
        <v>368225.50442708738</v>
      </c>
      <c r="CF977">
        <f t="shared" si="357"/>
        <v>339561.37813055905</v>
      </c>
    </row>
    <row r="978" spans="12:84" x14ac:dyDescent="0.25">
      <c r="L978">
        <v>967</v>
      </c>
      <c r="M978">
        <f t="shared" si="369"/>
        <v>6.07584019204256</v>
      </c>
      <c r="P978">
        <f t="shared" si="363"/>
        <v>24892.904521627257</v>
      </c>
      <c r="Q978">
        <f t="shared" si="364"/>
        <v>6470.6869561501035</v>
      </c>
      <c r="V978">
        <f t="shared" si="365"/>
        <v>-16574.966834860919</v>
      </c>
      <c r="W978">
        <f t="shared" si="366"/>
        <v>9279.4808693050727</v>
      </c>
      <c r="AB978">
        <f t="shared" si="367"/>
        <v>-107.09547837274204</v>
      </c>
      <c r="AC978">
        <f t="shared" si="368"/>
        <v>-16029.313043849896</v>
      </c>
      <c r="AW978">
        <v>971</v>
      </c>
      <c r="AX978">
        <f t="shared" si="358"/>
        <v>485.5</v>
      </c>
      <c r="AZ978">
        <f t="shared" si="359"/>
        <v>111410.99681102551</v>
      </c>
      <c r="BB978">
        <f t="shared" si="360"/>
        <v>-334330.34971087304</v>
      </c>
      <c r="BD978">
        <f t="shared" si="361"/>
        <v>577.78780582989361</v>
      </c>
      <c r="BF978">
        <f t="shared" si="362"/>
        <v>-480.66866436084825</v>
      </c>
      <c r="BH978">
        <f t="shared" si="347"/>
        <v>-3.1005785734246487</v>
      </c>
      <c r="BJ978">
        <f t="shared" si="348"/>
        <v>9.5225331718024187</v>
      </c>
      <c r="BN978" s="20">
        <f t="shared" si="349"/>
        <v>-1.0790706531216527</v>
      </c>
      <c r="BP978">
        <f t="shared" si="350"/>
        <v>4.0351720426138584</v>
      </c>
      <c r="BR978">
        <f t="shared" si="351"/>
        <v>-0.47117821301205187</v>
      </c>
      <c r="BT978">
        <f t="shared" si="352"/>
        <v>1.2346071698694541</v>
      </c>
      <c r="BV978">
        <f t="shared" si="353"/>
        <v>-1.5503297072909443</v>
      </c>
      <c r="BX978">
        <f t="shared" si="354"/>
        <v>4.252753959319107</v>
      </c>
      <c r="CB978">
        <f t="shared" si="355"/>
        <v>353841.71365377924</v>
      </c>
      <c r="CD978">
        <f t="shared" si="356"/>
        <v>368554.25627019897</v>
      </c>
      <c r="CF978">
        <f t="shared" si="357"/>
        <v>339887.32313077676</v>
      </c>
    </row>
    <row r="979" spans="12:84" x14ac:dyDescent="0.25">
      <c r="L979">
        <v>968</v>
      </c>
      <c r="M979">
        <f t="shared" si="369"/>
        <v>6.0821233773497392</v>
      </c>
      <c r="P979">
        <f t="shared" si="363"/>
        <v>24899.275261921135</v>
      </c>
      <c r="Q979">
        <f t="shared" si="364"/>
        <v>6501.4500974274724</v>
      </c>
      <c r="V979">
        <f t="shared" si="365"/>
        <v>-16570.507316655207</v>
      </c>
      <c r="W979">
        <f t="shared" si="366"/>
        <v>9301.0150681992309</v>
      </c>
      <c r="AB979">
        <f t="shared" si="367"/>
        <v>-100.72473807886581</v>
      </c>
      <c r="AC979">
        <f t="shared" si="368"/>
        <v>-15998.549902572528</v>
      </c>
      <c r="AW979">
        <v>972</v>
      </c>
      <c r="AX979">
        <f t="shared" si="358"/>
        <v>486</v>
      </c>
      <c r="AZ979">
        <f t="shared" si="359"/>
        <v>111699.50314161878</v>
      </c>
      <c r="BB979">
        <f t="shared" si="360"/>
        <v>-334569.493726407</v>
      </c>
      <c r="BD979">
        <f t="shared" si="361"/>
        <v>576.2375165431813</v>
      </c>
      <c r="BF979">
        <f t="shared" si="362"/>
        <v>-475.90739777494707</v>
      </c>
      <c r="BH979">
        <f t="shared" si="347"/>
        <v>-3.1003853293517398</v>
      </c>
      <c r="BJ979">
        <f t="shared" si="348"/>
        <v>9.5035663247486273</v>
      </c>
      <c r="BN979" s="20">
        <f t="shared" si="349"/>
        <v>-1.0796785114333325</v>
      </c>
      <c r="BP979">
        <f t="shared" si="350"/>
        <v>4.0275581561538329</v>
      </c>
      <c r="BR979">
        <f t="shared" si="351"/>
        <v>-0.47096094971567981</v>
      </c>
      <c r="BT979">
        <f t="shared" si="352"/>
        <v>1.2321897360078755</v>
      </c>
      <c r="BV979">
        <f t="shared" si="353"/>
        <v>-1.5497458682027276</v>
      </c>
      <c r="BX979">
        <f t="shared" si="354"/>
        <v>4.2438184325869184</v>
      </c>
      <c r="CB979">
        <f t="shared" si="355"/>
        <v>354147.33856780594</v>
      </c>
      <c r="CD979">
        <f t="shared" si="356"/>
        <v>368880.59739517572</v>
      </c>
      <c r="CF979">
        <f t="shared" si="357"/>
        <v>340210.86895343714</v>
      </c>
    </row>
    <row r="980" spans="12:84" x14ac:dyDescent="0.25">
      <c r="L980">
        <v>969</v>
      </c>
      <c r="M980">
        <f t="shared" si="369"/>
        <v>6.0884065626569184</v>
      </c>
      <c r="P980">
        <f t="shared" si="363"/>
        <v>24905.452587216572</v>
      </c>
      <c r="Q980">
        <f t="shared" si="364"/>
        <v>6532.2526597452033</v>
      </c>
      <c r="V980">
        <f t="shared" si="365"/>
        <v>-16566.183188948398</v>
      </c>
      <c r="W980">
        <f t="shared" si="366"/>
        <v>9322.5768618216425</v>
      </c>
      <c r="AB980">
        <f t="shared" si="367"/>
        <v>-94.547412783427717</v>
      </c>
      <c r="AC980">
        <f t="shared" si="368"/>
        <v>-15967.747340254797</v>
      </c>
      <c r="AW980">
        <v>973</v>
      </c>
      <c r="AX980">
        <f t="shared" si="358"/>
        <v>486.5</v>
      </c>
      <c r="AZ980">
        <f t="shared" si="359"/>
        <v>111987.23435172421</v>
      </c>
      <c r="BB980">
        <f t="shared" si="360"/>
        <v>-334806.2594795039</v>
      </c>
      <c r="BD980">
        <f t="shared" si="361"/>
        <v>574.68732387850548</v>
      </c>
      <c r="BF980">
        <f t="shared" si="362"/>
        <v>-471.15561461257278</v>
      </c>
      <c r="BH980">
        <f t="shared" si="347"/>
        <v>-3.1002193659205144</v>
      </c>
      <c r="BJ980">
        <f t="shared" si="348"/>
        <v>9.4847815444388637</v>
      </c>
      <c r="BN980" s="20">
        <f t="shared" si="349"/>
        <v>-1.0802909330103676</v>
      </c>
      <c r="BP980">
        <f t="shared" si="350"/>
        <v>4.0200181148447678</v>
      </c>
      <c r="BR980">
        <f t="shared" si="351"/>
        <v>-0.4707490680810425</v>
      </c>
      <c r="BT980">
        <f t="shared" si="352"/>
        <v>1.2297948821773017</v>
      </c>
      <c r="BV980">
        <f t="shared" si="353"/>
        <v>-1.5491793648291041</v>
      </c>
      <c r="BX980">
        <f t="shared" si="354"/>
        <v>4.234968547416794</v>
      </c>
      <c r="CB980">
        <f t="shared" si="355"/>
        <v>354450.59819744766</v>
      </c>
      <c r="CD980">
        <f t="shared" si="356"/>
        <v>369204.53221495525</v>
      </c>
      <c r="CF980">
        <f t="shared" si="357"/>
        <v>340532.01993870857</v>
      </c>
    </row>
    <row r="981" spans="12:84" x14ac:dyDescent="0.25">
      <c r="L981">
        <v>970</v>
      </c>
      <c r="M981">
        <f t="shared" si="369"/>
        <v>6.0946897479640976</v>
      </c>
      <c r="P981">
        <f t="shared" si="363"/>
        <v>24911.436253643347</v>
      </c>
      <c r="Q981">
        <f t="shared" si="364"/>
        <v>6563.0934270708794</v>
      </c>
      <c r="V981">
        <f t="shared" si="365"/>
        <v>-16561.994622449656</v>
      </c>
      <c r="W981">
        <f t="shared" si="366"/>
        <v>9344.1653989496153</v>
      </c>
      <c r="AB981">
        <f t="shared" si="367"/>
        <v>-88.563746356650881</v>
      </c>
      <c r="AC981">
        <f t="shared" si="368"/>
        <v>-15936.906572929121</v>
      </c>
      <c r="AW981">
        <v>974</v>
      </c>
      <c r="AX981">
        <f t="shared" si="358"/>
        <v>487</v>
      </c>
      <c r="AZ981">
        <f t="shared" si="359"/>
        <v>112274.19048624273</v>
      </c>
      <c r="BB981">
        <f t="shared" si="360"/>
        <v>-335040.65168911713</v>
      </c>
      <c r="BD981">
        <f t="shared" si="361"/>
        <v>573.1372141955452</v>
      </c>
      <c r="BF981">
        <f t="shared" si="362"/>
        <v>-466.41322384035334</v>
      </c>
      <c r="BH981">
        <f t="shared" si="347"/>
        <v>-3.1000806707351742</v>
      </c>
      <c r="BJ981">
        <f t="shared" si="348"/>
        <v>9.4661772846604535</v>
      </c>
      <c r="BN981" s="20">
        <f t="shared" si="349"/>
        <v>-1.0809079820540906</v>
      </c>
      <c r="BP981">
        <f t="shared" si="350"/>
        <v>4.0125513173044682</v>
      </c>
      <c r="BR981">
        <f t="shared" si="351"/>
        <v>-0.47054254618771346</v>
      </c>
      <c r="BT981">
        <f t="shared" si="352"/>
        <v>1.2274224184418738</v>
      </c>
      <c r="BV981">
        <f t="shared" si="353"/>
        <v>-1.5486301424933699</v>
      </c>
      <c r="BX981">
        <f t="shared" si="354"/>
        <v>4.2262035489141105</v>
      </c>
      <c r="CB981">
        <f t="shared" si="355"/>
        <v>354751.49652890326</v>
      </c>
      <c r="CD981">
        <f t="shared" si="356"/>
        <v>369526.0650980408</v>
      </c>
      <c r="CF981">
        <f t="shared" si="357"/>
        <v>340850.7803831441</v>
      </c>
    </row>
    <row r="982" spans="12:84" x14ac:dyDescent="0.25">
      <c r="L982">
        <v>971</v>
      </c>
      <c r="M982">
        <f t="shared" si="369"/>
        <v>6.1009729332712768</v>
      </c>
      <c r="P982">
        <f t="shared" si="363"/>
        <v>24917.226024976557</v>
      </c>
      <c r="Q982">
        <f t="shared" si="364"/>
        <v>6593.9711818638134</v>
      </c>
      <c r="V982">
        <f t="shared" si="365"/>
        <v>-16557.941782516409</v>
      </c>
      <c r="W982">
        <f t="shared" si="366"/>
        <v>9365.7798273046683</v>
      </c>
      <c r="AB982">
        <f t="shared" si="367"/>
        <v>-82.773975023443199</v>
      </c>
      <c r="AC982">
        <f t="shared" si="368"/>
        <v>-15906.028818136187</v>
      </c>
      <c r="AW982">
        <v>975</v>
      </c>
      <c r="AX982">
        <f t="shared" si="358"/>
        <v>487.5</v>
      </c>
      <c r="AZ982">
        <f t="shared" si="359"/>
        <v>112560.37158325665</v>
      </c>
      <c r="BB982">
        <f t="shared" si="360"/>
        <v>-335272.67502887669</v>
      </c>
      <c r="BD982">
        <f t="shared" si="361"/>
        <v>571.58717386017759</v>
      </c>
      <c r="BF982">
        <f t="shared" si="362"/>
        <v>-461.68013519802309</v>
      </c>
      <c r="BH982">
        <f t="shared" si="347"/>
        <v>-3.0999692322292454</v>
      </c>
      <c r="BJ982">
        <f t="shared" si="348"/>
        <v>9.4477520210878403</v>
      </c>
      <c r="BN982" s="20">
        <f t="shared" si="349"/>
        <v>-1.0815297220785973</v>
      </c>
      <c r="BP982">
        <f t="shared" si="350"/>
        <v>4.0051571706004054</v>
      </c>
      <c r="BR982">
        <f t="shared" si="351"/>
        <v>-0.47034136252407466</v>
      </c>
      <c r="BT982">
        <f t="shared" si="352"/>
        <v>1.2250721575068799</v>
      </c>
      <c r="BV982">
        <f t="shared" si="353"/>
        <v>-1.5480981476265734</v>
      </c>
      <c r="BX982">
        <f t="shared" si="354"/>
        <v>4.2175226929805563</v>
      </c>
      <c r="CB982">
        <f t="shared" si="355"/>
        <v>355050.03750750743</v>
      </c>
      <c r="CD982">
        <f t="shared" si="356"/>
        <v>369845.20036886702</v>
      </c>
      <c r="CF982">
        <f t="shared" si="357"/>
        <v>341167.1545400375</v>
      </c>
    </row>
    <row r="983" spans="12:84" x14ac:dyDescent="0.25">
      <c r="L983">
        <v>972</v>
      </c>
      <c r="M983">
        <f t="shared" si="369"/>
        <v>6.107256118578456</v>
      </c>
      <c r="P983">
        <f t="shared" si="363"/>
        <v>24922.821672645936</v>
      </c>
      <c r="Q983">
        <f t="shared" si="364"/>
        <v>6624.8847051231169</v>
      </c>
      <c r="V983">
        <f t="shared" si="365"/>
        <v>-16554.024829147842</v>
      </c>
      <c r="W983">
        <f t="shared" si="366"/>
        <v>9387.4192935861829</v>
      </c>
      <c r="AB983">
        <f t="shared" si="367"/>
        <v>-77.178327354062276</v>
      </c>
      <c r="AC983">
        <f t="shared" si="368"/>
        <v>-15875.115294876883</v>
      </c>
      <c r="AW983">
        <v>976</v>
      </c>
      <c r="AX983">
        <f t="shared" si="358"/>
        <v>488</v>
      </c>
      <c r="AZ983">
        <f t="shared" si="359"/>
        <v>112845.77767403271</v>
      </c>
      <c r="BB983">
        <f t="shared" si="360"/>
        <v>-335502.33412747306</v>
      </c>
      <c r="BD983">
        <f t="shared" si="361"/>
        <v>570.03718924406292</v>
      </c>
      <c r="BF983">
        <f t="shared" si="362"/>
        <v>-456.95625918747919</v>
      </c>
      <c r="BH983">
        <f t="shared" si="347"/>
        <v>-3.0998850396744211</v>
      </c>
      <c r="BJ983">
        <f t="shared" si="348"/>
        <v>9.4295042509470566</v>
      </c>
      <c r="BN983" s="20">
        <f t="shared" si="349"/>
        <v>-1.0821562159316815</v>
      </c>
      <c r="BP983">
        <f t="shared" si="350"/>
        <v>3.997835090124227</v>
      </c>
      <c r="BR983">
        <f t="shared" si="351"/>
        <v>-0.47014549598303818</v>
      </c>
      <c r="BT983">
        <f t="shared" si="352"/>
        <v>1.2227439146785131</v>
      </c>
      <c r="BV983">
        <f t="shared" si="353"/>
        <v>-1.5475833277597013</v>
      </c>
      <c r="BX983">
        <f t="shared" si="354"/>
        <v>4.2089252461443163</v>
      </c>
      <c r="CB983">
        <f t="shared" si="355"/>
        <v>355346.22503804736</v>
      </c>
      <c r="CD983">
        <f t="shared" si="356"/>
        <v>370161.94230816135</v>
      </c>
      <c r="CF983">
        <f t="shared" si="357"/>
        <v>341481.14661977452</v>
      </c>
    </row>
    <row r="984" spans="12:84" x14ac:dyDescent="0.25">
      <c r="L984">
        <v>973</v>
      </c>
      <c r="M984">
        <f t="shared" si="369"/>
        <v>6.1135393038856352</v>
      </c>
      <c r="P984">
        <f t="shared" si="363"/>
        <v>24928.222975744902</v>
      </c>
      <c r="Q984">
        <f t="shared" si="364"/>
        <v>6655.8327764358255</v>
      </c>
      <c r="V984">
        <f t="shared" si="365"/>
        <v>-16550.243916978568</v>
      </c>
      <c r="W984">
        <f t="shared" si="366"/>
        <v>9409.0829435050782</v>
      </c>
      <c r="AB984">
        <f t="shared" si="367"/>
        <v>-71.777024255095967</v>
      </c>
      <c r="AC984">
        <f t="shared" si="368"/>
        <v>-15844.167223564174</v>
      </c>
      <c r="AW984">
        <v>977</v>
      </c>
      <c r="AX984">
        <f t="shared" si="358"/>
        <v>488.5</v>
      </c>
      <c r="AZ984">
        <f t="shared" si="359"/>
        <v>113130.40878302477</v>
      </c>
      <c r="BB984">
        <f t="shared" si="360"/>
        <v>-335729.63356903539</v>
      </c>
      <c r="BD984">
        <f t="shared" si="361"/>
        <v>568.48724672422566</v>
      </c>
      <c r="BF984">
        <f t="shared" si="362"/>
        <v>-452.24150706200567</v>
      </c>
      <c r="BH984">
        <f t="shared" si="347"/>
        <v>-3.0998280831890441</v>
      </c>
      <c r="BJ984">
        <f t="shared" si="348"/>
        <v>9.4114324926861634</v>
      </c>
      <c r="BN984" s="20">
        <f t="shared" si="349"/>
        <v>-1.0827875258152428</v>
      </c>
      <c r="BP984">
        <f t="shared" si="350"/>
        <v>3.9905844994683335</v>
      </c>
      <c r="BR984">
        <f t="shared" si="351"/>
        <v>-0.46995492585789916</v>
      </c>
      <c r="BT984">
        <f t="shared" si="352"/>
        <v>1.2204375078245224</v>
      </c>
      <c r="BV984">
        <f t="shared" si="353"/>
        <v>-1.5470856315159021</v>
      </c>
      <c r="BX984">
        <f t="shared" si="354"/>
        <v>4.2004104853933084</v>
      </c>
      <c r="CB984">
        <f t="shared" si="355"/>
        <v>355640.0629850743</v>
      </c>
      <c r="CD984">
        <f t="shared" si="356"/>
        <v>370476.29515329958</v>
      </c>
      <c r="CF984">
        <f t="shared" si="357"/>
        <v>341792.76079017861</v>
      </c>
    </row>
    <row r="985" spans="12:84" x14ac:dyDescent="0.25">
      <c r="L985">
        <v>974</v>
      </c>
      <c r="M985">
        <f t="shared" si="369"/>
        <v>6.1198224891928144</v>
      </c>
      <c r="P985">
        <f t="shared" si="363"/>
        <v>24933.429721039258</v>
      </c>
      <c r="Q985">
        <f t="shared" si="364"/>
        <v>6686.814174025074</v>
      </c>
      <c r="V985">
        <f t="shared" si="365"/>
        <v>-16546.59919527252</v>
      </c>
      <c r="W985">
        <f t="shared" si="366"/>
        <v>9430.7699218175512</v>
      </c>
      <c r="AB985">
        <f t="shared" si="367"/>
        <v>-66.570278960743053</v>
      </c>
      <c r="AC985">
        <f t="shared" si="368"/>
        <v>-15813.185825974926</v>
      </c>
      <c r="AW985">
        <v>978</v>
      </c>
      <c r="AX985">
        <f t="shared" si="358"/>
        <v>489</v>
      </c>
      <c r="AZ985">
        <f t="shared" si="359"/>
        <v>113414.26492787649</v>
      </c>
      <c r="BB985">
        <f t="shared" si="360"/>
        <v>-335954.57789350481</v>
      </c>
      <c r="BD985">
        <f t="shared" si="361"/>
        <v>566.93733268263111</v>
      </c>
      <c r="BF985">
        <f t="shared" si="362"/>
        <v>-447.53579081566261</v>
      </c>
      <c r="BH985">
        <f t="shared" si="347"/>
        <v>-3.0997983537465608</v>
      </c>
      <c r="BJ985">
        <f t="shared" si="348"/>
        <v>9.3935352856527032</v>
      </c>
      <c r="BN985" s="20">
        <f t="shared" si="349"/>
        <v>-1.0834237133054025</v>
      </c>
      <c r="BP985">
        <f t="shared" si="350"/>
        <v>3.9834048303052829</v>
      </c>
      <c r="BR985">
        <f t="shared" si="351"/>
        <v>-0.46976963183824799</v>
      </c>
      <c r="BT985">
        <f t="shared" si="352"/>
        <v>1.2181527573355497</v>
      </c>
      <c r="BV985">
        <f t="shared" si="353"/>
        <v>-1.5466050086029099</v>
      </c>
      <c r="BX985">
        <f t="shared" si="354"/>
        <v>4.1919776980118693</v>
      </c>
      <c r="CB985">
        <f t="shared" si="355"/>
        <v>355931.55517321173</v>
      </c>
      <c r="CD985">
        <f t="shared" si="356"/>
        <v>370788.26309865672</v>
      </c>
      <c r="CF985">
        <f t="shared" si="357"/>
        <v>342102.00117685244</v>
      </c>
    </row>
    <row r="986" spans="12:84" x14ac:dyDescent="0.25">
      <c r="L986">
        <v>975</v>
      </c>
      <c r="M986">
        <f t="shared" si="369"/>
        <v>6.1261056744999935</v>
      </c>
      <c r="P986">
        <f t="shared" si="363"/>
        <v>24938.441702975608</v>
      </c>
      <c r="Q986">
        <f t="shared" si="364"/>
        <v>6717.8276747983355</v>
      </c>
      <c r="V986">
        <f t="shared" si="365"/>
        <v>-16543.090807917073</v>
      </c>
      <c r="W986">
        <f t="shared" si="366"/>
        <v>9452.4793723588355</v>
      </c>
      <c r="AB986">
        <f t="shared" si="367"/>
        <v>-61.558297024392232</v>
      </c>
      <c r="AC986">
        <f t="shared" si="368"/>
        <v>-15782.172325201664</v>
      </c>
      <c r="AW986">
        <v>979</v>
      </c>
      <c r="AX986">
        <f t="shared" si="358"/>
        <v>489.5</v>
      </c>
      <c r="AZ986">
        <f t="shared" si="359"/>
        <v>113697.34611942359</v>
      </c>
      <c r="BB986">
        <f t="shared" si="360"/>
        <v>-336177.17159700196</v>
      </c>
      <c r="BD986">
        <f t="shared" si="361"/>
        <v>565.38743350575783</v>
      </c>
      <c r="BF986">
        <f t="shared" si="362"/>
        <v>-442.83902317283628</v>
      </c>
      <c r="BH986">
        <f t="shared" si="347"/>
        <v>-3.0997958431836978</v>
      </c>
      <c r="BJ986">
        <f t="shared" si="348"/>
        <v>9.3758111897769751</v>
      </c>
      <c r="BN986" s="20">
        <f t="shared" si="349"/>
        <v>-1.0840648393720842</v>
      </c>
      <c r="BP986">
        <f t="shared" si="350"/>
        <v>3.9762955222690368</v>
      </c>
      <c r="BR986">
        <f t="shared" si="351"/>
        <v>-0.46958959400598582</v>
      </c>
      <c r="BT986">
        <f t="shared" si="352"/>
        <v>1.2158894860872613</v>
      </c>
      <c r="BV986">
        <f t="shared" si="353"/>
        <v>-1.5461414098056279</v>
      </c>
      <c r="BX986">
        <f t="shared" si="354"/>
        <v>4.1836261814206779</v>
      </c>
      <c r="CB986">
        <f t="shared" si="355"/>
        <v>356220.70538745803</v>
      </c>
      <c r="CD986">
        <f t="shared" si="356"/>
        <v>371097.8502959524</v>
      </c>
      <c r="CF986">
        <f t="shared" si="357"/>
        <v>342408.87186351389</v>
      </c>
    </row>
    <row r="987" spans="12:84" x14ac:dyDescent="0.25">
      <c r="L987">
        <v>976</v>
      </c>
      <c r="M987">
        <f t="shared" si="369"/>
        <v>6.1323888598071727</v>
      </c>
      <c r="P987">
        <f t="shared" si="363"/>
        <v>24943.258723689491</v>
      </c>
      <c r="Q987">
        <f t="shared" si="364"/>
        <v>6748.8720543957024</v>
      </c>
      <c r="V987">
        <f t="shared" si="365"/>
        <v>-16539.718893417354</v>
      </c>
      <c r="W987">
        <f t="shared" si="366"/>
        <v>9474.2104380769924</v>
      </c>
      <c r="AB987">
        <f t="shared" si="367"/>
        <v>-56.741276310507601</v>
      </c>
      <c r="AC987">
        <f t="shared" si="368"/>
        <v>-15751.127945604298</v>
      </c>
      <c r="AW987">
        <v>980</v>
      </c>
      <c r="AX987">
        <f t="shared" si="358"/>
        <v>490</v>
      </c>
      <c r="AZ987">
        <f t="shared" si="359"/>
        <v>113979.65236169606</v>
      </c>
      <c r="BB987">
        <f t="shared" si="360"/>
        <v>-336397.41913218965</v>
      </c>
      <c r="BD987">
        <f t="shared" si="361"/>
        <v>563.83753558416595</v>
      </c>
      <c r="BF987">
        <f t="shared" si="362"/>
        <v>-438.15111757794779</v>
      </c>
      <c r="BH987">
        <f t="shared" si="347"/>
        <v>-3.0998205442084625</v>
      </c>
      <c r="BJ987">
        <f t="shared" si="348"/>
        <v>9.358258785261576</v>
      </c>
      <c r="BN987" s="20">
        <f t="shared" si="349"/>
        <v>-1.0847109643982984</v>
      </c>
      <c r="BP987">
        <f t="shared" si="350"/>
        <v>3.9692560228388474</v>
      </c>
      <c r="BR987">
        <f t="shared" si="351"/>
        <v>-0.4694147928313786</v>
      </c>
      <c r="BT987">
        <f t="shared" si="352"/>
        <v>1.2136475194030918</v>
      </c>
      <c r="BV987">
        <f t="shared" si="353"/>
        <v>-1.5456947869787854</v>
      </c>
      <c r="BX987">
        <f t="shared" si="354"/>
        <v>4.1753552430196361</v>
      </c>
      <c r="CB987">
        <f t="shared" si="355"/>
        <v>356507.51737348561</v>
      </c>
      <c r="CD987">
        <f t="shared" si="356"/>
        <v>371405.06085459149</v>
      </c>
      <c r="CF987">
        <f t="shared" si="357"/>
        <v>342713.37689232739</v>
      </c>
    </row>
    <row r="988" spans="12:84" x14ac:dyDescent="0.25">
      <c r="L988">
        <v>977</v>
      </c>
      <c r="M988">
        <f t="shared" si="369"/>
        <v>6.1386720451143519</v>
      </c>
      <c r="P988">
        <f t="shared" si="363"/>
        <v>24947.880593013178</v>
      </c>
      <c r="Q988">
        <f t="shared" si="364"/>
        <v>6779.9460872382242</v>
      </c>
      <c r="V988">
        <f t="shared" si="365"/>
        <v>-16536.483584890775</v>
      </c>
      <c r="W988">
        <f t="shared" si="366"/>
        <v>9495.9622610667575</v>
      </c>
      <c r="AB988">
        <f t="shared" si="367"/>
        <v>-52.11940698682065</v>
      </c>
      <c r="AC988">
        <f t="shared" si="368"/>
        <v>-15720.053912761776</v>
      </c>
      <c r="AW988">
        <v>981</v>
      </c>
      <c r="AX988">
        <f t="shared" si="358"/>
        <v>490.5</v>
      </c>
      <c r="AZ988">
        <f t="shared" si="359"/>
        <v>114261.18365192012</v>
      </c>
      <c r="BB988">
        <f t="shared" si="360"/>
        <v>-336615.32490863046</v>
      </c>
      <c r="BD988">
        <f t="shared" si="361"/>
        <v>562.28762531206166</v>
      </c>
      <c r="BF988">
        <f t="shared" si="362"/>
        <v>-433.471988185317</v>
      </c>
      <c r="BH988">
        <f t="shared" si="347"/>
        <v>-3.0998724504079758</v>
      </c>
      <c r="BJ988">
        <f t="shared" si="348"/>
        <v>9.3408766722767744</v>
      </c>
      <c r="BN988" s="20">
        <f t="shared" si="349"/>
        <v>-1.0853621481989311</v>
      </c>
      <c r="BP988">
        <f t="shared" si="350"/>
        <v>3.9622857872249546</v>
      </c>
      <c r="BR988">
        <f t="shared" si="351"/>
        <v>-0.46924520916925655</v>
      </c>
      <c r="BT988">
        <f t="shared" si="352"/>
        <v>1.2114266850178632</v>
      </c>
      <c r="BV988">
        <f t="shared" si="353"/>
        <v>-1.5452650930397882</v>
      </c>
      <c r="BX988">
        <f t="shared" si="354"/>
        <v>4.1671642000339579</v>
      </c>
      <c r="CB988">
        <f t="shared" si="355"/>
        <v>356791.99483793537</v>
      </c>
      <c r="CD988">
        <f t="shared" si="356"/>
        <v>371709.89884200029</v>
      </c>
      <c r="CF988">
        <f t="shared" si="357"/>
        <v>343015.52026423084</v>
      </c>
    </row>
    <row r="989" spans="12:84" x14ac:dyDescent="0.25">
      <c r="L989">
        <v>978</v>
      </c>
      <c r="M989">
        <f t="shared" si="369"/>
        <v>6.1449552304215311</v>
      </c>
      <c r="P989">
        <f t="shared" si="363"/>
        <v>24952.307128483182</v>
      </c>
      <c r="Q989">
        <f t="shared" si="364"/>
        <v>6811.0485465762922</v>
      </c>
      <c r="V989">
        <f t="shared" si="365"/>
        <v>-16533.385010061771</v>
      </c>
      <c r="W989">
        <f t="shared" si="366"/>
        <v>9517.733982603404</v>
      </c>
      <c r="AB989">
        <f t="shared" si="367"/>
        <v>-47.692871516816012</v>
      </c>
      <c r="AC989">
        <f t="shared" si="368"/>
        <v>-15688.951453423708</v>
      </c>
      <c r="AW989">
        <v>982</v>
      </c>
      <c r="AX989">
        <f t="shared" si="358"/>
        <v>491</v>
      </c>
      <c r="AZ989">
        <f t="shared" si="359"/>
        <v>114541.93998051983</v>
      </c>
      <c r="BB989">
        <f t="shared" si="360"/>
        <v>-336830.89329313906</v>
      </c>
      <c r="BD989">
        <f t="shared" si="361"/>
        <v>560.7376890868577</v>
      </c>
      <c r="BF989">
        <f t="shared" si="362"/>
        <v>-428.80154984917863</v>
      </c>
      <c r="BH989">
        <f t="shared" si="347"/>
        <v>-3.0999515562562312</v>
      </c>
      <c r="BJ989">
        <f t="shared" si="348"/>
        <v>9.323663470662142</v>
      </c>
      <c r="BN989" s="20">
        <f t="shared" si="349"/>
        <v>-1.0860184500392924</v>
      </c>
      <c r="BP989">
        <f t="shared" si="350"/>
        <v>3.9553842782569451</v>
      </c>
      <c r="BR989">
        <f t="shared" si="351"/>
        <v>-0.4690808242552203</v>
      </c>
      <c r="BT989">
        <f t="shared" si="352"/>
        <v>1.2092268130419108</v>
      </c>
      <c r="BV989">
        <f t="shared" si="353"/>
        <v>-1.5448522819617188</v>
      </c>
      <c r="BX989">
        <f t="shared" si="354"/>
        <v>4.1590523793632865</v>
      </c>
      <c r="CB989">
        <f t="shared" si="355"/>
        <v>357074.14144870715</v>
      </c>
      <c r="CD989">
        <f t="shared" si="356"/>
        <v>372012.36828395724</v>
      </c>
      <c r="CF989">
        <f t="shared" si="357"/>
        <v>343315.30593925767</v>
      </c>
    </row>
    <row r="990" spans="12:84" x14ac:dyDescent="0.25">
      <c r="L990">
        <v>979</v>
      </c>
      <c r="M990">
        <f t="shared" si="369"/>
        <v>6.1512384157287103</v>
      </c>
      <c r="P990">
        <f t="shared" si="363"/>
        <v>24956.538155347465</v>
      </c>
      <c r="Q990">
        <f t="shared" si="364"/>
        <v>6842.1782045380678</v>
      </c>
      <c r="V990">
        <f t="shared" si="365"/>
        <v>-16530.423291256775</v>
      </c>
      <c r="W990">
        <f t="shared" si="366"/>
        <v>9539.5247431766475</v>
      </c>
      <c r="AB990">
        <f t="shared" si="367"/>
        <v>-43.461844652535547</v>
      </c>
      <c r="AC990">
        <f t="shared" si="368"/>
        <v>-15657.821795461932</v>
      </c>
      <c r="AW990">
        <v>983</v>
      </c>
      <c r="AX990">
        <f t="shared" si="358"/>
        <v>491.5</v>
      </c>
      <c r="AZ990">
        <f t="shared" si="359"/>
        <v>114821.92133111872</v>
      </c>
      <c r="BB990">
        <f t="shared" si="360"/>
        <v>-337044.12861012982</v>
      </c>
      <c r="BD990">
        <f t="shared" si="361"/>
        <v>559.1877133087296</v>
      </c>
      <c r="BF990">
        <f t="shared" si="362"/>
        <v>-424.13971811384755</v>
      </c>
      <c r="BH990">
        <f t="shared" si="347"/>
        <v>-3.1000578571216186</v>
      </c>
      <c r="BJ990">
        <f t="shared" si="348"/>
        <v>9.306617819633523</v>
      </c>
      <c r="BN990" s="20">
        <f t="shared" si="349"/>
        <v>-1.0866799286531568</v>
      </c>
      <c r="BP990">
        <f t="shared" si="350"/>
        <v>3.948550966273725</v>
      </c>
      <c r="BR990">
        <f t="shared" si="351"/>
        <v>-0.46892161970200408</v>
      </c>
      <c r="BT990">
        <f t="shared" si="352"/>
        <v>1.2070477359260929</v>
      </c>
      <c r="BV990">
        <f t="shared" si="353"/>
        <v>-1.5444563087664576</v>
      </c>
      <c r="BX990">
        <f t="shared" si="354"/>
        <v>4.1510191174337061</v>
      </c>
      <c r="CB990">
        <f t="shared" si="355"/>
        <v>357353.96083524602</v>
      </c>
      <c r="CD990">
        <f t="shared" si="356"/>
        <v>372312.47316491924</v>
      </c>
      <c r="CF990">
        <f t="shared" si="357"/>
        <v>343612.73783685412</v>
      </c>
    </row>
    <row r="991" spans="12:84" x14ac:dyDescent="0.25">
      <c r="L991">
        <v>980</v>
      </c>
      <c r="M991">
        <f t="shared" si="369"/>
        <v>6.1575216010358895</v>
      </c>
      <c r="P991">
        <f t="shared" si="363"/>
        <v>24960.573506572324</v>
      </c>
      <c r="Q991">
        <f t="shared" si="364"/>
        <v>6873.3338321779565</v>
      </c>
      <c r="V991">
        <f t="shared" si="365"/>
        <v>-16527.598545399374</v>
      </c>
      <c r="W991">
        <f t="shared" si="366"/>
        <v>9561.3336825245697</v>
      </c>
      <c r="AB991">
        <f t="shared" si="367"/>
        <v>-39.426493427677087</v>
      </c>
      <c r="AC991">
        <f t="shared" si="368"/>
        <v>-15626.666167822043</v>
      </c>
      <c r="AW991">
        <v>984</v>
      </c>
      <c r="AX991">
        <f t="shared" si="358"/>
        <v>492</v>
      </c>
      <c r="AZ991">
        <f t="shared" si="359"/>
        <v>115101.12768054094</v>
      </c>
      <c r="BB991">
        <f t="shared" si="360"/>
        <v>-337255.03514195926</v>
      </c>
      <c r="BD991">
        <f t="shared" si="361"/>
        <v>557.63768438016882</v>
      </c>
      <c r="BF991">
        <f t="shared" si="362"/>
        <v>-419.48640920403079</v>
      </c>
      <c r="BH991">
        <f t="shared" si="347"/>
        <v>-3.1001913492743016</v>
      </c>
      <c r="BJ991">
        <f t="shared" si="348"/>
        <v>9.289738377495727</v>
      </c>
      <c r="BN991" s="20">
        <f t="shared" si="349"/>
        <v>-1.0873466422605458</v>
      </c>
      <c r="BP991">
        <f t="shared" si="350"/>
        <v>3.9417853290159184</v>
      </c>
      <c r="BR991">
        <f t="shared" si="351"/>
        <v>-0.46876757749583425</v>
      </c>
      <c r="BT991">
        <f t="shared" si="352"/>
        <v>1.2048892884272573</v>
      </c>
      <c r="BV991">
        <f t="shared" si="353"/>
        <v>-1.5440771295179219</v>
      </c>
      <c r="BX991">
        <f t="shared" si="354"/>
        <v>4.1430637600525513</v>
      </c>
      <c r="CB991">
        <f t="shared" si="355"/>
        <v>357631.45658882428</v>
      </c>
      <c r="CD991">
        <f t="shared" si="356"/>
        <v>372610.2174283432</v>
      </c>
      <c r="CF991">
        <f t="shared" si="357"/>
        <v>343907.81983619247</v>
      </c>
    </row>
    <row r="992" spans="12:84" x14ac:dyDescent="0.25">
      <c r="L992">
        <v>981</v>
      </c>
      <c r="M992">
        <f t="shared" si="369"/>
        <v>6.1638047863430687</v>
      </c>
      <c r="P992">
        <f t="shared" si="363"/>
        <v>24964.413022849003</v>
      </c>
      <c r="Q992">
        <f t="shared" si="364"/>
        <v>6904.514199525127</v>
      </c>
      <c r="V992">
        <f t="shared" si="365"/>
        <v>-16524.910884005698</v>
      </c>
      <c r="W992">
        <f t="shared" si="366"/>
        <v>9583.1599396675883</v>
      </c>
      <c r="AB992">
        <f t="shared" si="367"/>
        <v>-35.586977150995153</v>
      </c>
      <c r="AC992">
        <f t="shared" si="368"/>
        <v>-15595.485800474873</v>
      </c>
      <c r="AW992">
        <v>985</v>
      </c>
      <c r="AX992">
        <f t="shared" si="358"/>
        <v>492.5</v>
      </c>
      <c r="AZ992">
        <f t="shared" si="359"/>
        <v>115379.55899881237</v>
      </c>
      <c r="BB992">
        <f t="shared" si="360"/>
        <v>-337463.61712926411</v>
      </c>
      <c r="BD992">
        <f t="shared" si="361"/>
        <v>556.08758870553163</v>
      </c>
      <c r="BF992">
        <f t="shared" si="362"/>
        <v>-414.84154001528293</v>
      </c>
      <c r="BH992">
        <f t="shared" si="347"/>
        <v>-3.1003520298935472</v>
      </c>
      <c r="BJ992">
        <f t="shared" si="348"/>
        <v>9.2730238213608889</v>
      </c>
      <c r="BN992" s="20">
        <f t="shared" si="349"/>
        <v>-1.0880186485851346</v>
      </c>
      <c r="BP992">
        <f t="shared" si="350"/>
        <v>3.9350868515202002</v>
      </c>
      <c r="BR992">
        <f t="shared" si="351"/>
        <v>-0.46861867999292228</v>
      </c>
      <c r="BT992">
        <f t="shared" si="352"/>
        <v>1.2027513075745082</v>
      </c>
      <c r="BV992">
        <f t="shared" si="353"/>
        <v>-1.5437147013154904</v>
      </c>
      <c r="BX992">
        <f t="shared" si="354"/>
        <v>4.1351856622661805</v>
      </c>
      <c r="CB992">
        <f t="shared" si="355"/>
        <v>357906.63226281997</v>
      </c>
      <c r="CD992">
        <f t="shared" si="356"/>
        <v>372905.60497700318</v>
      </c>
      <c r="CF992">
        <f t="shared" si="357"/>
        <v>344200.55577647925</v>
      </c>
    </row>
    <row r="993" spans="12:84" x14ac:dyDescent="0.25">
      <c r="L993">
        <v>982</v>
      </c>
      <c r="M993">
        <f t="shared" si="369"/>
        <v>6.1700879716502479</v>
      </c>
      <c r="P993">
        <f t="shared" si="363"/>
        <v>24968.056552599981</v>
      </c>
      <c r="Q993">
        <f t="shared" si="364"/>
        <v>6935.7180756320649</v>
      </c>
      <c r="V993">
        <f t="shared" si="365"/>
        <v>-16522.360413180013</v>
      </c>
      <c r="W993">
        <f t="shared" si="366"/>
        <v>9605.0026529424449</v>
      </c>
      <c r="AB993">
        <f t="shared" si="367"/>
        <v>-31.943447400018158</v>
      </c>
      <c r="AC993">
        <f t="shared" si="368"/>
        <v>-15564.281924367935</v>
      </c>
      <c r="AW993">
        <v>986</v>
      </c>
      <c r="AX993">
        <f t="shared" si="358"/>
        <v>493</v>
      </c>
      <c r="AZ993">
        <f t="shared" si="359"/>
        <v>115657.2152491614</v>
      </c>
      <c r="BB993">
        <f t="shared" si="360"/>
        <v>-337669.87877129408</v>
      </c>
      <c r="BD993">
        <f t="shared" si="361"/>
        <v>554.5374126905848</v>
      </c>
      <c r="BF993">
        <f t="shared" si="362"/>
        <v>-410.20502810460249</v>
      </c>
      <c r="BH993">
        <f t="shared" si="347"/>
        <v>-3.1005398970747873</v>
      </c>
      <c r="BJ993">
        <f t="shared" si="348"/>
        <v>9.2564728468718123</v>
      </c>
      <c r="BN993" s="20">
        <f t="shared" si="349"/>
        <v>-1.0886960048712619</v>
      </c>
      <c r="BP993">
        <f t="shared" si="350"/>
        <v>3.9284550260154063</v>
      </c>
      <c r="BR993">
        <f t="shared" si="351"/>
        <v>-0.46847490991599722</v>
      </c>
      <c r="BT993">
        <f t="shared" si="352"/>
        <v>1.2006336326360236</v>
      </c>
      <c r="BV993">
        <f t="shared" si="353"/>
        <v>-1.5433689822875278</v>
      </c>
      <c r="BX993">
        <f t="shared" si="354"/>
        <v>4.1273841882203834</v>
      </c>
      <c r="CB993">
        <f t="shared" si="355"/>
        <v>358179.4913729906</v>
      </c>
      <c r="CD993">
        <f t="shared" si="356"/>
        <v>373198.63967330271</v>
      </c>
      <c r="CF993">
        <f t="shared" si="357"/>
        <v>344490.94945725944</v>
      </c>
    </row>
    <row r="994" spans="12:84" x14ac:dyDescent="0.25">
      <c r="L994">
        <v>983</v>
      </c>
      <c r="M994">
        <f t="shared" si="369"/>
        <v>6.1763711569574271</v>
      </c>
      <c r="P994">
        <f t="shared" si="363"/>
        <v>24971.503951984938</v>
      </c>
      <c r="Q994">
        <f t="shared" si="364"/>
        <v>6966.9442286231715</v>
      </c>
      <c r="V994">
        <f t="shared" si="365"/>
        <v>-16519.947233610543</v>
      </c>
      <c r="W994">
        <f t="shared" si="366"/>
        <v>9626.8609600362197</v>
      </c>
      <c r="AB994">
        <f t="shared" si="367"/>
        <v>-28.496048015062115</v>
      </c>
      <c r="AC994">
        <f t="shared" si="368"/>
        <v>-15533.055771376828</v>
      </c>
      <c r="AW994">
        <v>987</v>
      </c>
      <c r="AX994">
        <f t="shared" si="358"/>
        <v>493.5</v>
      </c>
      <c r="AZ994">
        <f t="shared" si="359"/>
        <v>115934.09638801955</v>
      </c>
      <c r="BB994">
        <f t="shared" si="360"/>
        <v>-337873.82422624051</v>
      </c>
      <c r="BD994">
        <f t="shared" si="361"/>
        <v>552.98714274204735</v>
      </c>
      <c r="BF994">
        <f t="shared" si="362"/>
        <v>-405.57679168116658</v>
      </c>
      <c r="BH994">
        <f t="shared" si="347"/>
        <v>-3.1007549498367899</v>
      </c>
      <c r="BJ994">
        <f t="shared" si="348"/>
        <v>9.2400841679312933</v>
      </c>
      <c r="BN994" s="20">
        <f t="shared" si="349"/>
        <v>-1.0893787679007376</v>
      </c>
      <c r="BP994">
        <f t="shared" si="350"/>
        <v>3.9218893518210467</v>
      </c>
      <c r="BR994">
        <f t="shared" si="351"/>
        <v>-0.4683362503509475</v>
      </c>
      <c r="BT994">
        <f t="shared" si="352"/>
        <v>1.1985361050865901</v>
      </c>
      <c r="BV994">
        <f t="shared" si="353"/>
        <v>-1.5430399315851051</v>
      </c>
      <c r="BX994">
        <f t="shared" si="354"/>
        <v>4.1196587110236571</v>
      </c>
      <c r="CB994">
        <f t="shared" si="355"/>
        <v>358450.03739774378</v>
      </c>
      <c r="CD994">
        <f t="shared" si="356"/>
        <v>373489.32533958275</v>
      </c>
      <c r="CF994">
        <f t="shared" si="357"/>
        <v>344779.0046387164</v>
      </c>
    </row>
    <row r="995" spans="12:84" x14ac:dyDescent="0.25">
      <c r="L995">
        <v>984</v>
      </c>
      <c r="M995">
        <f t="shared" si="369"/>
        <v>6.1826543422646063</v>
      </c>
      <c r="P995">
        <f t="shared" si="363"/>
        <v>24974.755084906446</v>
      </c>
      <c r="Q995">
        <f t="shared" si="364"/>
        <v>6998.1914257433946</v>
      </c>
      <c r="V995">
        <f t="shared" si="365"/>
        <v>-16517.671440565486</v>
      </c>
      <c r="W995">
        <f t="shared" si="366"/>
        <v>9648.733998020376</v>
      </c>
      <c r="AB995">
        <f t="shared" si="367"/>
        <v>-25.244915093552663</v>
      </c>
      <c r="AC995">
        <f t="shared" si="368"/>
        <v>-15501.808574256605</v>
      </c>
      <c r="AW995">
        <v>988</v>
      </c>
      <c r="AX995">
        <f t="shared" si="358"/>
        <v>494</v>
      </c>
      <c r="AZ995">
        <f t="shared" si="359"/>
        <v>116210.20236502185</v>
      </c>
      <c r="BB995">
        <f t="shared" si="360"/>
        <v>-338075.45761156006</v>
      </c>
      <c r="BD995">
        <f t="shared" si="361"/>
        <v>551.43676526712898</v>
      </c>
      <c r="BF995">
        <f t="shared" si="362"/>
        <v>-400.95674959720094</v>
      </c>
      <c r="BH995">
        <f t="shared" si="347"/>
        <v>-3.1009971881283711</v>
      </c>
      <c r="BJ995">
        <f t="shared" si="348"/>
        <v>9.2238565164354966</v>
      </c>
      <c r="BN995" s="20">
        <f t="shared" si="349"/>
        <v>-1.0900669940091685</v>
      </c>
      <c r="BP995">
        <f t="shared" si="350"/>
        <v>3.9153893352471441</v>
      </c>
      <c r="BR995">
        <f t="shared" si="351"/>
        <v>-0.46820268474348442</v>
      </c>
      <c r="BT995">
        <f t="shared" si="352"/>
        <v>1.1964585685756182</v>
      </c>
      <c r="BV995">
        <f t="shared" si="353"/>
        <v>-1.542727509375718</v>
      </c>
      <c r="BX995">
        <f t="shared" si="354"/>
        <v>4.1120086126127351</v>
      </c>
      <c r="CB995">
        <f t="shared" si="355"/>
        <v>358718.27377840341</v>
      </c>
      <c r="CD995">
        <f t="shared" si="356"/>
        <v>373777.66575842537</v>
      </c>
      <c r="CF995">
        <f t="shared" si="357"/>
        <v>345064.72504196729</v>
      </c>
    </row>
    <row r="996" spans="12:84" x14ac:dyDescent="0.25">
      <c r="L996">
        <v>985</v>
      </c>
      <c r="M996">
        <f t="shared" si="369"/>
        <v>6.1889375275717855</v>
      </c>
      <c r="P996">
        <f t="shared" si="363"/>
        <v>24977.809823015348</v>
      </c>
      <c r="Q996">
        <f t="shared" si="364"/>
        <v>7029.458433406895</v>
      </c>
      <c r="V996">
        <f t="shared" si="365"/>
        <v>-16515.533123889254</v>
      </c>
      <c r="W996">
        <f t="shared" si="366"/>
        <v>9670.6209033848263</v>
      </c>
      <c r="AB996">
        <f t="shared" si="367"/>
        <v>-22.190176984650861</v>
      </c>
      <c r="AC996">
        <f t="shared" si="368"/>
        <v>-15470.541566593105</v>
      </c>
      <c r="AW996">
        <v>989</v>
      </c>
      <c r="AX996">
        <f t="shared" si="358"/>
        <v>494.5</v>
      </c>
      <c r="AZ996">
        <f t="shared" si="359"/>
        <v>116485.5331230069</v>
      </c>
      <c r="BB996">
        <f t="shared" si="360"/>
        <v>-338274.78300429409</v>
      </c>
      <c r="BD996">
        <f t="shared" si="361"/>
        <v>549.88626667306482</v>
      </c>
      <c r="BF996">
        <f t="shared" si="362"/>
        <v>-396.34482133898319</v>
      </c>
      <c r="BH996">
        <f t="shared" si="347"/>
        <v>-3.1012666128353743</v>
      </c>
      <c r="BJ996">
        <f t="shared" si="348"/>
        <v>9.207788642013611</v>
      </c>
      <c r="BN996" s="20">
        <f t="shared" si="349"/>
        <v>-1.0907607391021561</v>
      </c>
      <c r="BP996">
        <f t="shared" si="350"/>
        <v>3.9089544894966077</v>
      </c>
      <c r="BR996">
        <f t="shared" si="351"/>
        <v>-0.46807419689591073</v>
      </c>
      <c r="BT996">
        <f t="shared" si="352"/>
        <v>1.1944008688958485</v>
      </c>
      <c r="BV996">
        <f t="shared" si="353"/>
        <v>-1.5424316768373072</v>
      </c>
      <c r="BX996">
        <f t="shared" si="354"/>
        <v>4.1044332836211561</v>
      </c>
      <c r="CB996">
        <f t="shared" si="355"/>
        <v>358984.2039194727</v>
      </c>
      <c r="CD996">
        <f t="shared" si="356"/>
        <v>374063.66467295319</v>
      </c>
      <c r="CF996">
        <f t="shared" si="357"/>
        <v>345348.11434935423</v>
      </c>
    </row>
    <row r="997" spans="12:84" x14ac:dyDescent="0.25">
      <c r="L997">
        <v>986</v>
      </c>
      <c r="M997">
        <f t="shared" si="369"/>
        <v>6.1952207128789647</v>
      </c>
      <c r="P997">
        <f t="shared" si="363"/>
        <v>24980.668045715815</v>
      </c>
      <c r="Q997">
        <f t="shared" si="364"/>
        <v>7060.7440172457482</v>
      </c>
      <c r="V997">
        <f t="shared" si="365"/>
        <v>-16513.532367998931</v>
      </c>
      <c r="W997">
        <f t="shared" si="366"/>
        <v>9692.5208120720235</v>
      </c>
      <c r="AB997">
        <f t="shared" si="367"/>
        <v>-19.331954284184576</v>
      </c>
      <c r="AC997">
        <f t="shared" si="368"/>
        <v>-15439.255982754252</v>
      </c>
      <c r="AW997">
        <v>990</v>
      </c>
      <c r="AX997">
        <f t="shared" si="358"/>
        <v>495</v>
      </c>
      <c r="AZ997">
        <f t="shared" si="359"/>
        <v>116760.08859801682</v>
      </c>
      <c r="BB997">
        <f t="shared" si="360"/>
        <v>-338471.80444138334</v>
      </c>
      <c r="BD997">
        <f t="shared" si="361"/>
        <v>548.33563336664713</v>
      </c>
      <c r="BF997">
        <f t="shared" si="362"/>
        <v>-391.74092701797639</v>
      </c>
      <c r="BH997">
        <f t="shared" si="347"/>
        <v>-3.1015632257872854</v>
      </c>
      <c r="BJ997">
        <f t="shared" si="348"/>
        <v>9.1918793117715119</v>
      </c>
      <c r="BN997" s="20">
        <f t="shared" si="349"/>
        <v>-1.0914600586710081</v>
      </c>
      <c r="BP997">
        <f t="shared" si="350"/>
        <v>3.902584334568771</v>
      </c>
      <c r="BR997">
        <f t="shared" si="351"/>
        <v>-0.46795077096396026</v>
      </c>
      <c r="BT997">
        <f t="shared" si="352"/>
        <v>1.1923628539526434</v>
      </c>
      <c r="BV997">
        <f t="shared" si="353"/>
        <v>-1.5421523961523171</v>
      </c>
      <c r="BX997">
        <f t="shared" si="354"/>
        <v>4.0969321232500979</v>
      </c>
      <c r="CB997">
        <f t="shared" si="355"/>
        <v>359247.83118889231</v>
      </c>
      <c r="CD997">
        <f t="shared" si="356"/>
        <v>374347.32578712399</v>
      </c>
      <c r="CF997">
        <f t="shared" si="357"/>
        <v>345629.17620473169</v>
      </c>
    </row>
    <row r="998" spans="12:84" x14ac:dyDescent="0.25">
      <c r="L998">
        <v>987</v>
      </c>
      <c r="M998">
        <f t="shared" si="369"/>
        <v>6.2015038981861439</v>
      </c>
      <c r="P998">
        <f t="shared" si="363"/>
        <v>24983.329640170105</v>
      </c>
      <c r="Q998">
        <f t="shared" si="364"/>
        <v>7092.046942158674</v>
      </c>
      <c r="V998">
        <f t="shared" si="365"/>
        <v>-16511.669251880925</v>
      </c>
      <c r="W998">
        <f t="shared" si="366"/>
        <v>9714.4328595110728</v>
      </c>
      <c r="AB998">
        <f t="shared" si="367"/>
        <v>-16.670359829894551</v>
      </c>
      <c r="AC998">
        <f t="shared" si="368"/>
        <v>-15407.953057841325</v>
      </c>
      <c r="AW998">
        <v>991</v>
      </c>
      <c r="AX998">
        <f t="shared" si="358"/>
        <v>495.5</v>
      </c>
      <c r="AZ998">
        <f t="shared" si="359"/>
        <v>117033.86871929694</v>
      </c>
      <c r="BB998">
        <f t="shared" si="360"/>
        <v>-338666.52591997839</v>
      </c>
      <c r="BD998">
        <f t="shared" si="361"/>
        <v>546.78485175375351</v>
      </c>
      <c r="BF998">
        <f t="shared" si="362"/>
        <v>-387.14498736209066</v>
      </c>
      <c r="BH998">
        <f t="shared" si="347"/>
        <v>-3.1018870297638759</v>
      </c>
      <c r="BJ998">
        <f t="shared" si="348"/>
        <v>9.1761273100407301</v>
      </c>
      <c r="BN998" s="20">
        <f t="shared" si="349"/>
        <v>-1.0921650078082876</v>
      </c>
      <c r="BP998">
        <f t="shared" si="350"/>
        <v>3.8962783971652031</v>
      </c>
      <c r="BR998">
        <f t="shared" si="351"/>
        <v>-0.46783239145368744</v>
      </c>
      <c r="BT998">
        <f t="shared" si="352"/>
        <v>1.1903443737338095</v>
      </c>
      <c r="BV998">
        <f t="shared" si="353"/>
        <v>-1.5418896305019008</v>
      </c>
      <c r="BX998">
        <f t="shared" si="354"/>
        <v>4.0895045391417186</v>
      </c>
      <c r="CB998">
        <f t="shared" si="355"/>
        <v>359509.15891829628</v>
      </c>
      <c r="CD998">
        <f t="shared" si="356"/>
        <v>374628.65276602173</v>
      </c>
      <c r="CF998">
        <f t="shared" si="357"/>
        <v>345907.91421374946</v>
      </c>
    </row>
    <row r="999" spans="12:84" x14ac:dyDescent="0.25">
      <c r="L999">
        <v>988</v>
      </c>
      <c r="M999">
        <f t="shared" si="369"/>
        <v>6.2077870834933231</v>
      </c>
      <c r="P999">
        <f t="shared" si="363"/>
        <v>24985.794501303029</v>
      </c>
      <c r="Q999">
        <f t="shared" si="364"/>
        <v>7123.3659723597966</v>
      </c>
      <c r="V999">
        <f t="shared" si="365"/>
        <v>-16509.943849087882</v>
      </c>
      <c r="W999">
        <f t="shared" si="366"/>
        <v>9736.3561806518574</v>
      </c>
      <c r="AB999">
        <f t="shared" si="367"/>
        <v>-14.205498696971517</v>
      </c>
      <c r="AC999">
        <f t="shared" si="368"/>
        <v>-15376.634027640204</v>
      </c>
      <c r="AW999">
        <v>992</v>
      </c>
      <c r="AX999">
        <f t="shared" si="358"/>
        <v>496</v>
      </c>
      <c r="AZ999">
        <f t="shared" si="359"/>
        <v>117306.87340929511</v>
      </c>
      <c r="BB999">
        <f t="shared" si="360"/>
        <v>-338858.9513977457</v>
      </c>
      <c r="BD999">
        <f t="shared" si="361"/>
        <v>545.23390823887155</v>
      </c>
      <c r="BF999">
        <f t="shared" si="362"/>
        <v>-382.55692370707027</v>
      </c>
      <c r="BH999">
        <f t="shared" si="347"/>
        <v>-3.1022380285017412</v>
      </c>
      <c r="BJ999">
        <f t="shared" si="348"/>
        <v>9.1605314381321037</v>
      </c>
      <c r="BN999" s="20">
        <f t="shared" si="349"/>
        <v>-1.0928756412230349</v>
      </c>
      <c r="BP999">
        <f t="shared" si="350"/>
        <v>3.8900362105971338</v>
      </c>
      <c r="BR999">
        <f t="shared" si="351"/>
        <v>-0.46771904321843066</v>
      </c>
      <c r="BT999">
        <f t="shared" si="352"/>
        <v>1.1883452802799954</v>
      </c>
      <c r="BV999">
        <f t="shared" si="353"/>
        <v>-1.5416433440602755</v>
      </c>
      <c r="BX999">
        <f t="shared" si="354"/>
        <v>4.0821499472549752</v>
      </c>
      <c r="CB999">
        <f t="shared" si="355"/>
        <v>359768.19040326308</v>
      </c>
      <c r="CD999">
        <f t="shared" si="356"/>
        <v>374907.64923614304</v>
      </c>
      <c r="CF999">
        <f t="shared" si="357"/>
        <v>346184.33194413164</v>
      </c>
    </row>
    <row r="1000" spans="12:84" x14ac:dyDescent="0.25">
      <c r="L1000">
        <v>989</v>
      </c>
      <c r="M1000">
        <f t="shared" si="369"/>
        <v>6.2140702688005023</v>
      </c>
      <c r="P1000">
        <f t="shared" si="363"/>
        <v>24988.062531806088</v>
      </c>
      <c r="Q1000">
        <f t="shared" si="364"/>
        <v>7154.6998714274287</v>
      </c>
      <c r="V1000">
        <f t="shared" si="365"/>
        <v>-16508.356227735738</v>
      </c>
      <c r="W1000">
        <f t="shared" si="366"/>
        <v>9758.2899099991992</v>
      </c>
      <c r="AB1000">
        <f t="shared" si="367"/>
        <v>-11.937468193911627</v>
      </c>
      <c r="AC1000">
        <f t="shared" si="368"/>
        <v>-15345.300128572571</v>
      </c>
      <c r="AW1000">
        <v>993</v>
      </c>
      <c r="AX1000">
        <f t="shared" si="358"/>
        <v>496.5</v>
      </c>
      <c r="AZ1000">
        <f t="shared" si="359"/>
        <v>117579.10258366098</v>
      </c>
      <c r="BB1000">
        <f t="shared" si="360"/>
        <v>-339049.08479316946</v>
      </c>
      <c r="BD1000">
        <f t="shared" si="361"/>
        <v>543.68278922462071</v>
      </c>
      <c r="BF1000">
        <f t="shared" si="362"/>
        <v>-377.97665798800421</v>
      </c>
      <c r="BH1000">
        <f t="shared" si="347"/>
        <v>-3.1026162267006479</v>
      </c>
      <c r="BJ1000">
        <f t="shared" si="348"/>
        <v>9.145090514093706</v>
      </c>
      <c r="BN1000" s="20">
        <f t="shared" si="349"/>
        <v>-1.0935920132556733</v>
      </c>
      <c r="BP1000">
        <f t="shared" si="350"/>
        <v>3.8838573146944646</v>
      </c>
      <c r="BR1000">
        <f t="shared" si="351"/>
        <v>-0.46761071145583921</v>
      </c>
      <c r="BT1000">
        <f t="shared" si="352"/>
        <v>1.1863654276556357</v>
      </c>
      <c r="BV1000">
        <f t="shared" si="353"/>
        <v>-1.5414135019891351</v>
      </c>
      <c r="BX1000">
        <f t="shared" si="354"/>
        <v>4.0748677717436061</v>
      </c>
      <c r="CB1000">
        <f t="shared" si="355"/>
        <v>360024.92890356353</v>
      </c>
      <c r="CD1000">
        <f t="shared" si="356"/>
        <v>375184.31878567993</v>
      </c>
      <c r="CF1000">
        <f t="shared" si="357"/>
        <v>346458.43292595202</v>
      </c>
    </row>
    <row r="1001" spans="12:84" x14ac:dyDescent="0.25">
      <c r="L1001">
        <v>990</v>
      </c>
      <c r="M1001">
        <f t="shared" si="369"/>
        <v>6.2203534541076815</v>
      </c>
      <c r="P1001">
        <f t="shared" si="363"/>
        <v>24990.133642141322</v>
      </c>
      <c r="Q1001">
        <f t="shared" si="364"/>
        <v>7186.0474023528886</v>
      </c>
      <c r="V1001">
        <f t="shared" si="365"/>
        <v>-16506.906450501076</v>
      </c>
      <c r="W1001">
        <f t="shared" si="366"/>
        <v>9780.2331816470214</v>
      </c>
      <c r="AB1001">
        <f t="shared" si="367"/>
        <v>-9.8663578586765652</v>
      </c>
      <c r="AC1001">
        <f t="shared" si="368"/>
        <v>-15313.952597647112</v>
      </c>
      <c r="AW1001">
        <v>994</v>
      </c>
      <c r="AX1001">
        <f t="shared" si="358"/>
        <v>497</v>
      </c>
      <c r="AZ1001">
        <f t="shared" si="359"/>
        <v>117850.55615124495</v>
      </c>
      <c r="BB1001">
        <f t="shared" si="360"/>
        <v>-339236.92998584924</v>
      </c>
      <c r="BD1001">
        <f t="shared" si="361"/>
        <v>542.13148111127043</v>
      </c>
      <c r="BF1001">
        <f t="shared" si="362"/>
        <v>-373.40411273095737</v>
      </c>
      <c r="BH1001">
        <f t="shared" si="347"/>
        <v>-3.1030216300300593</v>
      </c>
      <c r="BJ1001">
        <f t="shared" si="348"/>
        <v>9.1298033724740826</v>
      </c>
      <c r="BN1001" s="20">
        <f t="shared" si="349"/>
        <v>-1.0943141778927068</v>
      </c>
      <c r="BP1001">
        <f t="shared" si="350"/>
        <v>3.8777412557166961</v>
      </c>
      <c r="BR1001">
        <f t="shared" si="351"/>
        <v>-0.46750738170498379</v>
      </c>
      <c r="BT1001">
        <f t="shared" si="352"/>
        <v>1.184404671920481</v>
      </c>
      <c r="BV1001">
        <f t="shared" si="353"/>
        <v>-1.541200070432369</v>
      </c>
      <c r="BX1001">
        <f t="shared" si="354"/>
        <v>4.0676574448369065</v>
      </c>
      <c r="CB1001">
        <f t="shared" si="355"/>
        <v>360279.37764340558</v>
      </c>
      <c r="CD1001">
        <f t="shared" si="356"/>
        <v>375458.66496479808</v>
      </c>
      <c r="CF1001">
        <f t="shared" si="357"/>
        <v>346730.22065190494</v>
      </c>
    </row>
    <row r="1002" spans="12:84" x14ac:dyDescent="0.25">
      <c r="L1002">
        <v>991</v>
      </c>
      <c r="M1002">
        <f t="shared" si="369"/>
        <v>6.2266366394148607</v>
      </c>
      <c r="P1002">
        <f t="shared" si="363"/>
        <v>24992.007750544843</v>
      </c>
      <c r="Q1002">
        <f t="shared" si="364"/>
        <v>7217.4073275893306</v>
      </c>
      <c r="V1002">
        <f t="shared" si="365"/>
        <v>-16505.594574618608</v>
      </c>
      <c r="W1002">
        <f t="shared" si="366"/>
        <v>9802.185129312531</v>
      </c>
      <c r="AB1002">
        <f t="shared" si="367"/>
        <v>-7.9922494551556156</v>
      </c>
      <c r="AC1002">
        <f t="shared" si="368"/>
        <v>-15282.592672410668</v>
      </c>
      <c r="AW1002">
        <v>995</v>
      </c>
      <c r="AX1002">
        <f t="shared" si="358"/>
        <v>497.5</v>
      </c>
      <c r="AZ1002">
        <f t="shared" si="359"/>
        <v>118121.23401409683</v>
      </c>
      <c r="BB1002">
        <f t="shared" si="360"/>
        <v>-339422.49081679317</v>
      </c>
      <c r="BD1002">
        <f t="shared" si="361"/>
        <v>540.5799702962554</v>
      </c>
      <c r="BF1002">
        <f t="shared" si="362"/>
        <v>-368.83921104472034</v>
      </c>
      <c r="BH1002">
        <f t="shared" si="347"/>
        <v>-3.1034542451353015</v>
      </c>
      <c r="BJ1002">
        <f t="shared" si="348"/>
        <v>9.1146688640891291</v>
      </c>
      <c r="BN1002" s="20">
        <f t="shared" si="349"/>
        <v>-1.0950421887811286</v>
      </c>
      <c r="BP1002">
        <f t="shared" si="350"/>
        <v>3.871687586265411</v>
      </c>
      <c r="BR1002">
        <f t="shared" si="351"/>
        <v>-0.46740903984349436</v>
      </c>
      <c r="BT1002">
        <f t="shared" si="352"/>
        <v>1.182462871101561</v>
      </c>
      <c r="BV1002">
        <f t="shared" si="353"/>
        <v>-1.5410030165106785</v>
      </c>
      <c r="BX1002">
        <f t="shared" si="354"/>
        <v>4.0605184067221565</v>
      </c>
      <c r="CB1002">
        <f t="shared" si="355"/>
        <v>360531.53981167456</v>
      </c>
      <c r="CD1002">
        <f t="shared" si="356"/>
        <v>375730.69128591137</v>
      </c>
      <c r="CF1002">
        <f t="shared" si="357"/>
        <v>346999.69857757259</v>
      </c>
    </row>
    <row r="1003" spans="12:84" x14ac:dyDescent="0.25">
      <c r="L1003">
        <v>992</v>
      </c>
      <c r="M1003">
        <f t="shared" si="369"/>
        <v>6.2329198247220399</v>
      </c>
      <c r="P1003">
        <f t="shared" si="363"/>
        <v>24993.684783030061</v>
      </c>
      <c r="Q1003">
        <f t="shared" si="364"/>
        <v>7248.7784091006033</v>
      </c>
      <c r="V1003">
        <f t="shared" si="365"/>
        <v>-16504.420651878958</v>
      </c>
      <c r="W1003">
        <f t="shared" si="366"/>
        <v>9824.1448863704227</v>
      </c>
      <c r="AB1003">
        <f t="shared" si="367"/>
        <v>-6.3152169699396836</v>
      </c>
      <c r="AC1003">
        <f t="shared" si="368"/>
        <v>-15251.221590899397</v>
      </c>
      <c r="AW1003">
        <v>996</v>
      </c>
      <c r="AX1003">
        <f t="shared" si="358"/>
        <v>498</v>
      </c>
      <c r="AZ1003">
        <f t="shared" si="359"/>
        <v>118391.13606746432</v>
      </c>
      <c r="BB1003">
        <f t="shared" si="360"/>
        <v>-339605.77108870749</v>
      </c>
      <c r="BD1003">
        <f t="shared" si="361"/>
        <v>539.02824317368777</v>
      </c>
      <c r="BF1003">
        <f t="shared" si="362"/>
        <v>-364.28187661267577</v>
      </c>
      <c r="BH1003">
        <f t="shared" si="347"/>
        <v>-3.1039140796438041</v>
      </c>
      <c r="BJ1003">
        <f t="shared" si="348"/>
        <v>9.0996858557936804</v>
      </c>
      <c r="BN1003" s="20">
        <f t="shared" si="349"/>
        <v>-1.0957760992425252</v>
      </c>
      <c r="BP1003">
        <f t="shared" si="350"/>
        <v>3.8656958651982247</v>
      </c>
      <c r="BR1003">
        <f t="shared" si="351"/>
        <v>-0.46731567208480812</v>
      </c>
      <c r="BT1003">
        <f t="shared" si="352"/>
        <v>1.1805398851657856</v>
      </c>
      <c r="BV1003">
        <f t="shared" si="353"/>
        <v>-1.5408223083164705</v>
      </c>
      <c r="BX1003">
        <f t="shared" si="354"/>
        <v>4.053450105429671</v>
      </c>
      <c r="CB1003">
        <f t="shared" si="355"/>
        <v>360781.41856217111</v>
      </c>
      <c r="CD1003">
        <f t="shared" si="356"/>
        <v>376000.40122395236</v>
      </c>
      <c r="CF1003">
        <f t="shared" si="357"/>
        <v>347266.87012168881</v>
      </c>
    </row>
    <row r="1004" spans="12:84" x14ac:dyDescent="0.25">
      <c r="L1004">
        <v>993</v>
      </c>
      <c r="M1004">
        <f t="shared" si="369"/>
        <v>6.2392030100292191</v>
      </c>
      <c r="P1004">
        <f t="shared" si="363"/>
        <v>24995.164673390602</v>
      </c>
      <c r="Q1004">
        <f t="shared" si="364"/>
        <v>7280.1594084101243</v>
      </c>
      <c r="V1004">
        <f t="shared" si="365"/>
        <v>-16503.384728626581</v>
      </c>
      <c r="W1004">
        <f t="shared" si="366"/>
        <v>9846.1115858870871</v>
      </c>
      <c r="AB1004">
        <f t="shared" si="367"/>
        <v>-4.8353266093999991</v>
      </c>
      <c r="AC1004">
        <f t="shared" si="368"/>
        <v>-15219.840591589875</v>
      </c>
      <c r="AW1004">
        <v>997</v>
      </c>
      <c r="AX1004">
        <f t="shared" si="358"/>
        <v>498.5</v>
      </c>
      <c r="AZ1004">
        <f t="shared" si="359"/>
        <v>118660.26219979122</v>
      </c>
      <c r="BB1004">
        <f t="shared" si="360"/>
        <v>-339786.77456628188</v>
      </c>
      <c r="BD1004">
        <f t="shared" si="361"/>
        <v>537.47628613386587</v>
      </c>
      <c r="BF1004">
        <f t="shared" si="362"/>
        <v>-359.73203368477891</v>
      </c>
      <c r="BH1004">
        <f t="shared" si="347"/>
        <v>-3.1044011421713562</v>
      </c>
      <c r="BJ1004">
        <f t="shared" si="348"/>
        <v>9.0848532302576661</v>
      </c>
      <c r="BN1004" s="20">
        <f t="shared" si="349"/>
        <v>-1.0965159622870351</v>
      </c>
      <c r="BP1004">
        <f t="shared" si="350"/>
        <v>3.8597656575446746</v>
      </c>
      <c r="BR1004">
        <f t="shared" si="351"/>
        <v>-0.46722726497543576</v>
      </c>
      <c r="BT1004">
        <f t="shared" si="352"/>
        <v>1.1786355759929414</v>
      </c>
      <c r="BV1004">
        <f t="shared" si="353"/>
        <v>-1.5406579149088855</v>
      </c>
      <c r="BX1004">
        <f t="shared" si="354"/>
        <v>4.0464519967200498</v>
      </c>
      <c r="CB1004">
        <f t="shared" si="355"/>
        <v>361029.0170138448</v>
      </c>
      <c r="CD1004">
        <f t="shared" si="356"/>
        <v>376267.79821663949</v>
      </c>
      <c r="CF1004">
        <f t="shared" si="357"/>
        <v>347531.73866639857</v>
      </c>
    </row>
    <row r="1005" spans="12:84" x14ac:dyDescent="0.25">
      <c r="L1005">
        <v>994</v>
      </c>
      <c r="M1005">
        <f t="shared" si="369"/>
        <v>6.2454861953363983</v>
      </c>
      <c r="P1005">
        <f t="shared" si="363"/>
        <v>24996.447363202926</v>
      </c>
      <c r="Q1005">
        <f t="shared" si="364"/>
        <v>7311.5490866497739</v>
      </c>
      <c r="V1005">
        <f t="shared" si="365"/>
        <v>-16502.486845757951</v>
      </c>
      <c r="W1005">
        <f t="shared" si="366"/>
        <v>9868.0843606548424</v>
      </c>
      <c r="AB1005">
        <f t="shared" si="367"/>
        <v>-3.5526367970742285</v>
      </c>
      <c r="AC1005">
        <f t="shared" si="368"/>
        <v>-15188.450913350225</v>
      </c>
      <c r="AW1005">
        <v>998</v>
      </c>
      <c r="AX1005">
        <f t="shared" si="358"/>
        <v>499</v>
      </c>
      <c r="AZ1005">
        <f t="shared" si="359"/>
        <v>118928.61229271538</v>
      </c>
      <c r="BB1005">
        <f t="shared" si="360"/>
        <v>-339965.50497647049</v>
      </c>
      <c r="BD1005">
        <f t="shared" si="361"/>
        <v>535.92408556278019</v>
      </c>
      <c r="BF1005">
        <f t="shared" si="362"/>
        <v>-355.18960706965009</v>
      </c>
      <c r="BH1005">
        <f t="shared" si="347"/>
        <v>-3.1049154423281431</v>
      </c>
      <c r="BJ1005">
        <f t="shared" si="348"/>
        <v>9.0701698857459014</v>
      </c>
      <c r="BN1005" s="20">
        <f t="shared" si="349"/>
        <v>-1.097261830626973</v>
      </c>
      <c r="BP1005">
        <f t="shared" si="350"/>
        <v>3.853896534423356</v>
      </c>
      <c r="BR1005">
        <f t="shared" si="351"/>
        <v>-0.46714380539230682</v>
      </c>
      <c r="BT1005">
        <f t="shared" si="352"/>
        <v>1.1767498073492302</v>
      </c>
      <c r="BV1005">
        <f t="shared" si="353"/>
        <v>-1.5405098063088631</v>
      </c>
      <c r="BX1005">
        <f t="shared" si="354"/>
        <v>4.0395235439733144</v>
      </c>
      <c r="CB1005">
        <f t="shared" si="355"/>
        <v>361274.33825102501</v>
      </c>
      <c r="CD1005">
        <f t="shared" si="356"/>
        <v>376532.8856647393</v>
      </c>
      <c r="CF1005">
        <f t="shared" si="357"/>
        <v>347794.307557514</v>
      </c>
    </row>
    <row r="1006" spans="12:84" x14ac:dyDescent="0.25">
      <c r="L1006">
        <v>995</v>
      </c>
      <c r="M1006">
        <f t="shared" si="369"/>
        <v>6.2517693806435775</v>
      </c>
      <c r="P1006">
        <f t="shared" si="363"/>
        <v>24997.532801828638</v>
      </c>
      <c r="Q1006">
        <f t="shared" si="364"/>
        <v>7342.9462046088038</v>
      </c>
      <c r="V1006">
        <f t="shared" si="365"/>
        <v>-16501.727038719953</v>
      </c>
      <c r="W1006">
        <f t="shared" si="366"/>
        <v>9890.0623432261618</v>
      </c>
      <c r="AB1006">
        <f t="shared" si="367"/>
        <v>-2.4671981713599962</v>
      </c>
      <c r="AC1006">
        <f t="shared" si="368"/>
        <v>-15157.053795391197</v>
      </c>
      <c r="AW1006">
        <v>999</v>
      </c>
      <c r="AX1006">
        <f t="shared" si="358"/>
        <v>499.5</v>
      </c>
      <c r="AZ1006">
        <f t="shared" si="359"/>
        <v>119196.18622106648</v>
      </c>
      <c r="BB1006">
        <f t="shared" si="360"/>
        <v>-340141.96600876958</v>
      </c>
      <c r="BD1006">
        <f t="shared" si="361"/>
        <v>534.37162784161615</v>
      </c>
      <c r="BF1006">
        <f t="shared" si="362"/>
        <v>-350.65452212677712</v>
      </c>
      <c r="BH1006">
        <f t="shared" si="347"/>
        <v>-3.1054569907248109</v>
      </c>
      <c r="BJ1006">
        <f t="shared" si="348"/>
        <v>9.0556347359022453</v>
      </c>
      <c r="BN1006" s="20">
        <f t="shared" si="349"/>
        <v>-1.0980137566902366</v>
      </c>
      <c r="BP1006">
        <f t="shared" si="350"/>
        <v>3.8480880729606408</v>
      </c>
      <c r="BR1006">
        <f t="shared" si="351"/>
        <v>-0.4670652805401872</v>
      </c>
      <c r="BT1006">
        <f t="shared" si="352"/>
        <v>1.1748824448613235</v>
      </c>
      <c r="BV1006">
        <f t="shared" si="353"/>
        <v>-1.5403779534943871</v>
      </c>
      <c r="BX1006">
        <f t="shared" si="354"/>
        <v>4.0326642180802814</v>
      </c>
      <c r="CB1006">
        <f t="shared" si="355"/>
        <v>361517.38532364805</v>
      </c>
      <c r="CD1006">
        <f t="shared" si="356"/>
        <v>376795.66693232575</v>
      </c>
      <c r="CF1006">
        <f t="shared" si="357"/>
        <v>348054.580104767</v>
      </c>
    </row>
    <row r="1007" spans="12:84" x14ac:dyDescent="0.25">
      <c r="L1007">
        <v>996</v>
      </c>
      <c r="M1007">
        <f t="shared" si="369"/>
        <v>6.2580525659507567</v>
      </c>
      <c r="P1007">
        <f t="shared" si="363"/>
        <v>24998.420946416485</v>
      </c>
      <c r="Q1007">
        <f t="shared" si="364"/>
        <v>7374.3495227827552</v>
      </c>
      <c r="V1007">
        <f t="shared" si="365"/>
        <v>-16501.105337508459</v>
      </c>
      <c r="W1007">
        <f t="shared" si="366"/>
        <v>9912.0446659479294</v>
      </c>
      <c r="AB1007">
        <f t="shared" si="367"/>
        <v>-1.5790535835139963</v>
      </c>
      <c r="AC1007">
        <f t="shared" si="368"/>
        <v>-15125.650477217245</v>
      </c>
      <c r="AW1007">
        <v>1000</v>
      </c>
      <c r="AX1007">
        <f t="shared" si="358"/>
        <v>500</v>
      </c>
      <c r="AZ1007">
        <f t="shared" si="359"/>
        <v>119462.98385286344</v>
      </c>
      <c r="BB1007">
        <f t="shared" si="360"/>
        <v>-340316.16131549096</v>
      </c>
      <c r="BD1007">
        <f t="shared" si="361"/>
        <v>532.81889934625372</v>
      </c>
      <c r="BF1007">
        <f t="shared" si="362"/>
        <v>-346.12670475882601</v>
      </c>
      <c r="BH1007">
        <f t="shared" si="347"/>
        <v>-3.1060257989785676</v>
      </c>
      <c r="BJ1007">
        <f t="shared" si="348"/>
        <v>9.0412467095380435</v>
      </c>
      <c r="BN1007" s="20">
        <f t="shared" si="349"/>
        <v>-1.0987717926335552</v>
      </c>
      <c r="BP1007">
        <f t="shared" si="350"/>
        <v>3.8423398562111557</v>
      </c>
      <c r="BR1007">
        <f t="shared" si="351"/>
        <v>-0.4669916779491366</v>
      </c>
      <c r="BT1007">
        <f t="shared" si="352"/>
        <v>1.1730333559908461</v>
      </c>
      <c r="BV1007">
        <f t="shared" si="353"/>
        <v>-1.5402623283958761</v>
      </c>
      <c r="BX1007">
        <f t="shared" si="354"/>
        <v>4.0258734973360406</v>
      </c>
      <c r="CB1007">
        <f t="shared" si="355"/>
        <v>361758.16124748118</v>
      </c>
      <c r="CD1007">
        <f t="shared" si="356"/>
        <v>377056.14534703601</v>
      </c>
      <c r="CF1007">
        <f t="shared" si="357"/>
        <v>348312.55958205799</v>
      </c>
    </row>
    <row r="1008" spans="12:84" x14ac:dyDescent="0.25">
      <c r="L1008">
        <v>997</v>
      </c>
      <c r="M1008">
        <f t="shared" si="369"/>
        <v>6.2643357512579358</v>
      </c>
      <c r="P1008">
        <f t="shared" si="363"/>
        <v>24999.111761904034</v>
      </c>
      <c r="Q1008">
        <f t="shared" si="364"/>
        <v>7405.7578014224</v>
      </c>
      <c r="V1008">
        <f t="shared" si="365"/>
        <v>-16500.621766667176</v>
      </c>
      <c r="W1008">
        <f t="shared" si="366"/>
        <v>9934.0304609956802</v>
      </c>
      <c r="AB1008">
        <f t="shared" si="367"/>
        <v>-0.8882380959657894</v>
      </c>
      <c r="AC1008">
        <f t="shared" si="368"/>
        <v>-15094.2421985776</v>
      </c>
    </row>
    <row r="1009" spans="12:29" x14ac:dyDescent="0.25">
      <c r="L1009">
        <v>998</v>
      </c>
      <c r="M1009">
        <f t="shared" si="369"/>
        <v>6.270618936565115</v>
      </c>
      <c r="P1009">
        <f t="shared" si="363"/>
        <v>24999.605221019076</v>
      </c>
      <c r="Q1009">
        <f t="shared" si="364"/>
        <v>7437.1698005826756</v>
      </c>
      <c r="V1009">
        <f t="shared" si="365"/>
        <v>-16500.276345286649</v>
      </c>
      <c r="W1009">
        <f t="shared" si="366"/>
        <v>9956.0188604078721</v>
      </c>
      <c r="AB1009">
        <f t="shared" si="367"/>
        <v>-0.39477898092627584</v>
      </c>
      <c r="AC1009">
        <f t="shared" si="368"/>
        <v>-15062.830199417323</v>
      </c>
    </row>
    <row r="1010" spans="12:29" x14ac:dyDescent="0.25">
      <c r="L1010">
        <v>999</v>
      </c>
      <c r="M1010">
        <f t="shared" si="369"/>
        <v>6.2769021218722942</v>
      </c>
      <c r="P1010">
        <f t="shared" si="363"/>
        <v>24999.901304280684</v>
      </c>
      <c r="Q1010">
        <f t="shared" si="364"/>
        <v>7468.5842801716417</v>
      </c>
      <c r="V1010">
        <f t="shared" si="365"/>
        <v>-16500.069087003521</v>
      </c>
      <c r="W1010">
        <f t="shared" si="366"/>
        <v>9978.0089961201502</v>
      </c>
      <c r="AB1010">
        <f t="shared" si="367"/>
        <v>-9.8695719318129704E-2</v>
      </c>
      <c r="AC1010">
        <f t="shared" si="368"/>
        <v>-15031.415719828357</v>
      </c>
    </row>
    <row r="1011" spans="12:29" x14ac:dyDescent="0.25">
      <c r="L1011">
        <v>1000</v>
      </c>
      <c r="M1011">
        <f t="shared" si="369"/>
        <v>6.2831853071794734</v>
      </c>
      <c r="P1011">
        <f t="shared" si="363"/>
        <v>25000</v>
      </c>
      <c r="Q1011">
        <f t="shared" si="364"/>
        <v>7499.9999999994352</v>
      </c>
      <c r="V1011">
        <f t="shared" si="365"/>
        <v>-16500</v>
      </c>
      <c r="W1011">
        <f t="shared" si="366"/>
        <v>9999.9999999996035</v>
      </c>
      <c r="AB1011">
        <f t="shared" si="367"/>
        <v>0</v>
      </c>
      <c r="AC1011">
        <f t="shared" si="368"/>
        <v>-15000.000000000566</v>
      </c>
    </row>
  </sheetData>
  <mergeCells count="88">
    <mergeCell ref="AF14:AS14"/>
    <mergeCell ref="A16:H16"/>
    <mergeCell ref="A17:C17"/>
    <mergeCell ref="A18:C18"/>
    <mergeCell ref="A19:C19"/>
    <mergeCell ref="D17:E17"/>
    <mergeCell ref="D18:E18"/>
    <mergeCell ref="D19:E19"/>
    <mergeCell ref="F17:G17"/>
    <mergeCell ref="F18:G18"/>
    <mergeCell ref="F19:G19"/>
    <mergeCell ref="A21:H21"/>
    <mergeCell ref="A22:C22"/>
    <mergeCell ref="A23:C23"/>
    <mergeCell ref="A24:C24"/>
    <mergeCell ref="A25:C25"/>
    <mergeCell ref="F22:G22"/>
    <mergeCell ref="D22:E22"/>
    <mergeCell ref="D23:E23"/>
    <mergeCell ref="D24:E24"/>
    <mergeCell ref="D25:E25"/>
    <mergeCell ref="A33:C33"/>
    <mergeCell ref="D32:E32"/>
    <mergeCell ref="D33:E33"/>
    <mergeCell ref="F33:G33"/>
    <mergeCell ref="A26:C26"/>
    <mergeCell ref="D26:E26"/>
    <mergeCell ref="F26:G26"/>
    <mergeCell ref="A28:H29"/>
    <mergeCell ref="A31:H31"/>
    <mergeCell ref="A32:C32"/>
    <mergeCell ref="A34:C34"/>
    <mergeCell ref="A35:C35"/>
    <mergeCell ref="A36:C36"/>
    <mergeCell ref="A37:C37"/>
    <mergeCell ref="A38:C38"/>
    <mergeCell ref="D34:E34"/>
    <mergeCell ref="D35:E35"/>
    <mergeCell ref="D36:E36"/>
    <mergeCell ref="D37:E37"/>
    <mergeCell ref="D38:E38"/>
    <mergeCell ref="F38:G38"/>
    <mergeCell ref="F37:G37"/>
    <mergeCell ref="F36:G36"/>
    <mergeCell ref="F35:G35"/>
    <mergeCell ref="F34:G34"/>
    <mergeCell ref="A42:H42"/>
    <mergeCell ref="A43:C43"/>
    <mergeCell ref="D43:E43"/>
    <mergeCell ref="A44:C44"/>
    <mergeCell ref="D44:E44"/>
    <mergeCell ref="F44:G44"/>
    <mergeCell ref="A45:C45"/>
    <mergeCell ref="D45:E45"/>
    <mergeCell ref="F45:G45"/>
    <mergeCell ref="A46:C46"/>
    <mergeCell ref="D46:E46"/>
    <mergeCell ref="F46:G46"/>
    <mergeCell ref="A47:C47"/>
    <mergeCell ref="D47:E47"/>
    <mergeCell ref="F47:G47"/>
    <mergeCell ref="A48:C48"/>
    <mergeCell ref="D48:E48"/>
    <mergeCell ref="F48:G48"/>
    <mergeCell ref="A49:C49"/>
    <mergeCell ref="D49:E49"/>
    <mergeCell ref="F49:G49"/>
    <mergeCell ref="A53:H53"/>
    <mergeCell ref="A54:C54"/>
    <mergeCell ref="D54:E54"/>
    <mergeCell ref="A55:C55"/>
    <mergeCell ref="D55:E55"/>
    <mergeCell ref="F55:G55"/>
    <mergeCell ref="A56:C56"/>
    <mergeCell ref="D56:E56"/>
    <mergeCell ref="F56:G56"/>
    <mergeCell ref="A57:C57"/>
    <mergeCell ref="D57:E57"/>
    <mergeCell ref="F57:G57"/>
    <mergeCell ref="A58:C58"/>
    <mergeCell ref="D58:E58"/>
    <mergeCell ref="F58:G58"/>
    <mergeCell ref="A59:C59"/>
    <mergeCell ref="D59:E59"/>
    <mergeCell ref="F59:G59"/>
    <mergeCell ref="A60:C60"/>
    <mergeCell ref="D60:E60"/>
    <mergeCell ref="F60:G6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60AB3-3878-445A-A0AB-748C26FD0DF3}">
  <sheetPr codeName="Feuil2"/>
  <dimension ref="A1:BE103"/>
  <sheetViews>
    <sheetView showGridLines="0" tabSelected="1" topLeftCell="I1" zoomScale="40" zoomScaleNormal="40" workbookViewId="0">
      <selection activeCell="R2" sqref="R2"/>
    </sheetView>
  </sheetViews>
  <sheetFormatPr baseColWidth="10" defaultColWidth="11.42578125" defaultRowHeight="15" x14ac:dyDescent="0.25"/>
  <cols>
    <col min="1" max="4" width="29.28515625" hidden="1" customWidth="1"/>
    <col min="5" max="5" width="27.42578125" hidden="1" customWidth="1"/>
    <col min="6" max="6" width="28.7109375" hidden="1" customWidth="1"/>
    <col min="7" max="7" width="26.5703125" hidden="1" customWidth="1"/>
    <col min="8" max="8" width="0" hidden="1" customWidth="1"/>
    <col min="11" max="14" width="0" hidden="1" customWidth="1"/>
    <col min="24" max="24" width="11.42578125" hidden="1" customWidth="1"/>
    <col min="25" max="25" width="18.7109375" hidden="1" customWidth="1"/>
    <col min="26" max="26" width="18.42578125" hidden="1" customWidth="1"/>
    <col min="27" max="27" width="22.28515625" hidden="1" customWidth="1"/>
    <col min="28" max="28" width="17.140625" hidden="1" customWidth="1"/>
    <col min="29" max="29" width="26.140625" hidden="1" customWidth="1"/>
    <col min="30" max="30" width="31.42578125" hidden="1" customWidth="1"/>
    <col min="31" max="31" width="30.85546875" hidden="1" customWidth="1"/>
    <col min="32" max="32" width="24.85546875" hidden="1" customWidth="1"/>
    <col min="33" max="33" width="42.7109375" hidden="1" customWidth="1"/>
  </cols>
  <sheetData>
    <row r="1" spans="1:41" x14ac:dyDescent="0.25">
      <c r="A1">
        <v>1</v>
      </c>
      <c r="AC1">
        <v>0</v>
      </c>
      <c r="AD1">
        <f>PI()*2</f>
        <v>6.2831853071795862</v>
      </c>
      <c r="AE1">
        <f>(AD1-AC1)/100</f>
        <v>6.2831853071795868E-2</v>
      </c>
    </row>
    <row r="2" spans="1:41" x14ac:dyDescent="0.25">
      <c r="A2">
        <v>1001</v>
      </c>
      <c r="AC2" t="s">
        <v>70</v>
      </c>
      <c r="AE2" s="83" t="s">
        <v>69</v>
      </c>
      <c r="AF2" s="83"/>
    </row>
    <row r="3" spans="1:41" x14ac:dyDescent="0.25">
      <c r="A3">
        <v>1001</v>
      </c>
      <c r="AC3">
        <v>2500</v>
      </c>
      <c r="AD3">
        <v>0</v>
      </c>
      <c r="AE3">
        <v>0</v>
      </c>
      <c r="AF3">
        <f>COS(AE3)*$AC$3+$A$5</f>
        <v>121962.98385286344</v>
      </c>
      <c r="AG3">
        <f>SIN(AE3)*$AC$3+$B$5</f>
        <v>-340316.16131549096</v>
      </c>
    </row>
    <row r="4" spans="1:41" x14ac:dyDescent="0.25">
      <c r="A4" t="s">
        <v>50</v>
      </c>
      <c r="B4" t="s">
        <v>51</v>
      </c>
      <c r="F4" t="s">
        <v>47</v>
      </c>
      <c r="G4" t="s">
        <v>48</v>
      </c>
      <c r="AD4">
        <v>1</v>
      </c>
      <c r="AE4">
        <f>AE3+$AE$1</f>
        <v>6.2831853071795868E-2</v>
      </c>
      <c r="AF4">
        <f t="shared" ref="AF4:AF67" si="0">COS(AE4)*$AC$3+$A$5</f>
        <v>121958.05067393412</v>
      </c>
      <c r="AG4">
        <f t="shared" ref="AG4:AG67" si="1">SIN(AE4)*$AC$3+$B$5</f>
        <v>-340159.18501666764</v>
      </c>
    </row>
    <row r="5" spans="1:41" x14ac:dyDescent="0.25">
      <c r="A5" cm="1">
        <f t="array" ref="A5">INDEX(Feuil1!$AZ$7:$AZ$1007,Feuil2!A3)</f>
        <v>119462.98385286344</v>
      </c>
      <c r="B5" cm="1">
        <f t="array" ref="B5">INDEX(Feuil1!$BB$7:$BB$1007,Feuil2!A3)</f>
        <v>-340316.16131549096</v>
      </c>
      <c r="E5">
        <v>1</v>
      </c>
      <c r="F5" cm="1">
        <f t="array" ref="F5">INDEX(Feuil1!$AZ$7:$AZ$1007,(Feuil2!$A$3)-E5)</f>
        <v>119196.18622106648</v>
      </c>
      <c r="G5" cm="1">
        <f t="array" ref="G5">INDEX(Feuil1!$BB$7:$BB$1007,(Feuil2!$A$3)-E5)</f>
        <v>-340141.96600876958</v>
      </c>
      <c r="Y5" t="s">
        <v>70</v>
      </c>
      <c r="AD5">
        <v>2</v>
      </c>
      <c r="AE5">
        <f>AE4+$AE$1</f>
        <v>0.12566370614359174</v>
      </c>
      <c r="AF5">
        <f t="shared" si="0"/>
        <v>121943.27060614964</v>
      </c>
      <c r="AG5">
        <f t="shared" si="1"/>
        <v>-340002.82823158021</v>
      </c>
    </row>
    <row r="6" spans="1:41" x14ac:dyDescent="0.25">
      <c r="B6" t="s">
        <v>68</v>
      </c>
      <c r="E6">
        <v>2</v>
      </c>
      <c r="F6" cm="1">
        <f t="array" ref="F6">INDEX(Feuil1!$AZ$7:$AZ$1007,(Feuil2!$A$3)-E6)</f>
        <v>118928.61229271538</v>
      </c>
      <c r="G6" cm="1">
        <f t="array" ref="G6">INDEX(Feuil1!$BB$7:$BB$1007,(Feuil2!$A$3)-E6)</f>
        <v>-339965.50497647049</v>
      </c>
      <c r="Y6">
        <f xml:space="preserve"> 500</f>
        <v>500</v>
      </c>
      <c r="AD6">
        <v>3</v>
      </c>
      <c r="AE6">
        <f t="shared" ref="AE6:AE68" si="2">AE5+$AE$1</f>
        <v>0.1884955592153876</v>
      </c>
      <c r="AF6">
        <f t="shared" si="0"/>
        <v>121918.70197968517</v>
      </c>
      <c r="AG6">
        <f t="shared" si="1"/>
        <v>-339847.70802902663</v>
      </c>
    </row>
    <row r="7" spans="1:41" x14ac:dyDescent="0.25">
      <c r="E7">
        <v>3</v>
      </c>
      <c r="F7" cm="1">
        <f t="array" ref="F7">INDEX(Feuil1!$AZ$7:$AZ$1007,(Feuil2!$A$3)-E7)</f>
        <v>118660.26219979122</v>
      </c>
      <c r="G7" cm="1">
        <f t="array" ref="G7">INDEX(Feuil1!$BB$7:$BB$1007,(Feuil2!$A$3)-E7)</f>
        <v>-339786.77456628188</v>
      </c>
      <c r="AD7">
        <v>4</v>
      </c>
      <c r="AE7">
        <f t="shared" si="2"/>
        <v>0.25132741228718347</v>
      </c>
      <c r="AF7">
        <f t="shared" si="0"/>
        <v>121884.44175568502</v>
      </c>
      <c r="AG7">
        <f t="shared" si="1"/>
        <v>-339694.43659757881</v>
      </c>
    </row>
    <row r="8" spans="1:41" x14ac:dyDescent="0.25">
      <c r="E8">
        <v>4</v>
      </c>
      <c r="F8" cm="1">
        <f t="array" ref="F8">INDEX(Feuil1!$AZ$7:$AZ$1007,(Feuil2!$A$3)-E8)</f>
        <v>118391.13606746432</v>
      </c>
      <c r="G8" cm="1">
        <f t="array" ref="G8">INDEX(Feuil1!$BB$7:$BB$1007,(Feuil2!$A$3)-E8)</f>
        <v>-339605.77108870749</v>
      </c>
      <c r="AD8">
        <v>5</v>
      </c>
      <c r="AE8">
        <f t="shared" si="2"/>
        <v>0.31415926535897931</v>
      </c>
      <c r="AF8">
        <f t="shared" si="0"/>
        <v>121840.62514360133</v>
      </c>
      <c r="AG8">
        <f t="shared" si="1"/>
        <v>-339543.6188295536</v>
      </c>
    </row>
    <row r="9" spans="1:41" x14ac:dyDescent="0.25">
      <c r="E9">
        <v>5</v>
      </c>
      <c r="F9" cm="1">
        <f t="array" ref="F9">INDEX(Feuil1!$AZ$7:$AZ$1007,(Feuil2!$A$3)-E9)</f>
        <v>118121.23401409683</v>
      </c>
      <c r="G9" cm="1">
        <f t="array" ref="G9">INDEX(Feuil1!$BB$7:$BB$1007,(Feuil2!$A$3)-E9)</f>
        <v>-339422.49081679317</v>
      </c>
      <c r="AD9">
        <v>6</v>
      </c>
      <c r="AE9">
        <f t="shared" si="2"/>
        <v>0.37699111843077515</v>
      </c>
      <c r="AF9">
        <f t="shared" si="0"/>
        <v>121787.42506758407</v>
      </c>
      <c r="AG9">
        <f t="shared" si="1"/>
        <v>-339395.84993377927</v>
      </c>
    </row>
    <row r="10" spans="1:41" ht="15" customHeight="1" x14ac:dyDescent="0.25">
      <c r="E10">
        <v>6</v>
      </c>
      <c r="F10" cm="1">
        <f t="array" ref="F10">INDEX(Feuil1!$AZ$7:$AZ$1007,(Feuil2!$A$3)-E10)</f>
        <v>117850.55615124495</v>
      </c>
      <c r="G10" cm="1">
        <f t="array" ref="G10">INDEX(Feuil1!$BB$7:$BB$1007,(Feuil2!$A$3)-E10)</f>
        <v>-339236.92998584924</v>
      </c>
      <c r="AD10">
        <v>7</v>
      </c>
      <c r="AE10">
        <f t="shared" si="2"/>
        <v>0.43982297150257099</v>
      </c>
      <c r="AF10">
        <f t="shared" si="0"/>
        <v>121725.05148402849</v>
      </c>
      <c r="AG10">
        <f t="shared" si="1"/>
        <v>-339251.7130865783</v>
      </c>
    </row>
    <row r="11" spans="1:41" ht="15" customHeight="1" x14ac:dyDescent="0.25">
      <c r="E11">
        <v>7</v>
      </c>
      <c r="F11" cm="1">
        <f t="array" ref="F11">INDEX(Feuil1!$AZ$7:$AZ$1007,(Feuil2!$A$3)-E11)</f>
        <v>117579.10258366098</v>
      </c>
      <c r="G11" cm="1">
        <f t="array" ref="G11">INDEX(Feuil1!$BB$7:$BB$1007,(Feuil2!$A$3)-E11)</f>
        <v>-339049.08479316946</v>
      </c>
      <c r="Z11" t="s">
        <v>47</v>
      </c>
      <c r="AA11" t="s">
        <v>48</v>
      </c>
      <c r="AD11">
        <v>8</v>
      </c>
      <c r="AE11">
        <f t="shared" si="2"/>
        <v>0.50265482457436683</v>
      </c>
      <c r="AF11">
        <f t="shared" si="0"/>
        <v>121653.7505529731</v>
      </c>
      <c r="AG11">
        <f t="shared" si="1"/>
        <v>-339111.77713023667</v>
      </c>
    </row>
    <row r="12" spans="1:41" x14ac:dyDescent="0.25">
      <c r="E12">
        <v>8</v>
      </c>
      <c r="F12" cm="1">
        <f t="array" ref="F12">INDEX(Feuil1!$AZ$7:$AZ$1007,(Feuil2!$A$3)-E12)</f>
        <v>117306.87340929511</v>
      </c>
      <c r="G12" cm="1">
        <f t="array" ref="G12">INDEX(Feuil1!$BB$7:$BB$1007,(Feuil2!$A$3)-E12)</f>
        <v>-338858.9513977457</v>
      </c>
      <c r="Z12">
        <f>-2*$Y$6+$A$5</f>
        <v>118462.98385286344</v>
      </c>
      <c r="AA12">
        <f>0+$B$5</f>
        <v>-340316.16131549096</v>
      </c>
      <c r="AD12">
        <v>9</v>
      </c>
      <c r="AE12">
        <f t="shared" si="2"/>
        <v>0.56548667764616267</v>
      </c>
      <c r="AF12">
        <f t="shared" si="0"/>
        <v>121573.80366661848</v>
      </c>
      <c r="AG12">
        <f t="shared" si="1"/>
        <v>-338976.59432804346</v>
      </c>
    </row>
    <row r="13" spans="1:41" x14ac:dyDescent="0.25">
      <c r="E13">
        <v>9</v>
      </c>
      <c r="F13" cm="1">
        <f t="array" ref="F13">INDEX(Feuil1!$AZ$7:$AZ$1007,(Feuil2!$A$3)-E13)</f>
        <v>117033.86871929694</v>
      </c>
      <c r="G13" cm="1">
        <f t="array" ref="G13">INDEX(Feuil1!$BB$7:$BB$1007,(Feuil2!$A$3)-E13)</f>
        <v>-338666.52591997839</v>
      </c>
      <c r="Z13">
        <f>2*$Y$6+$A$5</f>
        <v>120462.98385286344</v>
      </c>
      <c r="AA13">
        <f>0+$B$5</f>
        <v>-340316.16131549096</v>
      </c>
      <c r="AD13">
        <v>10</v>
      </c>
      <c r="AE13">
        <f t="shared" si="2"/>
        <v>0.62831853071795851</v>
      </c>
      <c r="AF13">
        <f t="shared" si="0"/>
        <v>121485.52633880082</v>
      </c>
      <c r="AG13">
        <f t="shared" si="1"/>
        <v>-338846.69818475976</v>
      </c>
    </row>
    <row r="14" spans="1:41" x14ac:dyDescent="0.25">
      <c r="E14">
        <v>10</v>
      </c>
      <c r="F14" cm="1">
        <f t="array" ref="F14">INDEX(Feuil1!$AZ$7:$AZ$1007,(Feuil2!$A$3)-E14)</f>
        <v>116760.08859801682</v>
      </c>
      <c r="G14" cm="1">
        <f t="array" ref="G14">INDEX(Feuil1!$BB$7:$BB$1007,(Feuil2!$A$3)-E14)</f>
        <v>-338471.80444138334</v>
      </c>
      <c r="T14" s="84">
        <f>$A$3/1000</f>
        <v>1.0009999999999999</v>
      </c>
      <c r="U14" s="84"/>
      <c r="V14" s="84"/>
      <c r="W14" s="84"/>
      <c r="Z14">
        <f>-1.5*$Y$6+$A$5</f>
        <v>118712.98385286344</v>
      </c>
      <c r="AA14">
        <f>-3.5*$Y$6+$B$5</f>
        <v>-342066.16131549096</v>
      </c>
      <c r="AD14">
        <v>11</v>
      </c>
      <c r="AE14">
        <f t="shared" si="2"/>
        <v>0.69115038378975435</v>
      </c>
      <c r="AF14">
        <f t="shared" si="0"/>
        <v>121389.26695980292</v>
      </c>
      <c r="AG14">
        <f t="shared" si="1"/>
        <v>-338722.60134111921</v>
      </c>
      <c r="AH14" s="85" t="s">
        <v>71</v>
      </c>
      <c r="AI14" s="85"/>
      <c r="AJ14" s="85"/>
      <c r="AK14" s="85"/>
      <c r="AL14" s="85"/>
      <c r="AM14" s="85"/>
      <c r="AN14" s="85"/>
      <c r="AO14" s="85"/>
    </row>
    <row r="15" spans="1:41" x14ac:dyDescent="0.25">
      <c r="E15">
        <v>11</v>
      </c>
      <c r="F15" cm="1">
        <f t="array" ref="F15">INDEX(Feuil1!$AZ$7:$AZ$1007,(Feuil2!$A$3)-E15)</f>
        <v>116485.5331230069</v>
      </c>
      <c r="G15" cm="1">
        <f t="array" ref="G15">INDEX(Feuil1!$BB$7:$BB$1007,(Feuil2!$A$3)-E15)</f>
        <v>-338274.78300429409</v>
      </c>
      <c r="T15" s="84"/>
      <c r="U15" s="84"/>
      <c r="V15" s="84"/>
      <c r="W15" s="84"/>
      <c r="Z15">
        <f>0+$A$5</f>
        <v>119462.98385286344</v>
      </c>
      <c r="AA15">
        <f>2.5*$Y$6+$B$5</f>
        <v>-339066.16131549096</v>
      </c>
      <c r="AD15">
        <v>12</v>
      </c>
      <c r="AE15">
        <f t="shared" si="2"/>
        <v>0.75398223686155019</v>
      </c>
      <c r="AF15">
        <f t="shared" si="0"/>
        <v>121285.40542141697</v>
      </c>
      <c r="AG15">
        <f t="shared" si="1"/>
        <v>-338604.79355066922</v>
      </c>
      <c r="AH15" s="85"/>
      <c r="AI15" s="85"/>
      <c r="AJ15" s="85"/>
      <c r="AK15" s="85"/>
      <c r="AL15" s="85"/>
      <c r="AM15" s="85"/>
      <c r="AN15" s="85"/>
      <c r="AO15" s="85"/>
    </row>
    <row r="16" spans="1:41" x14ac:dyDescent="0.25">
      <c r="E16">
        <v>12</v>
      </c>
      <c r="F16" cm="1">
        <f t="array" ref="F16">INDEX(Feuil1!$AZ$7:$AZ$1007,(Feuil2!$A$3)-E16)</f>
        <v>116210.20236502185</v>
      </c>
      <c r="G16" cm="1">
        <f t="array" ref="G16">INDEX(Feuil1!$BB$7:$BB$1007,(Feuil2!$A$3)-E16)</f>
        <v>-338075.45761156006</v>
      </c>
      <c r="Z16">
        <f>1.5*$Y$6+$A$5</f>
        <v>120212.98385286344</v>
      </c>
      <c r="AA16">
        <f>-3.5*$Y$6+$B$5</f>
        <v>-342066.16131549096</v>
      </c>
      <c r="AD16">
        <v>13</v>
      </c>
      <c r="AE16">
        <f t="shared" si="2"/>
        <v>0.81681408993334603</v>
      </c>
      <c r="AF16">
        <f t="shared" si="0"/>
        <v>121174.35161768517</v>
      </c>
      <c r="AG16">
        <f t="shared" si="1"/>
        <v>-338493.73974693741</v>
      </c>
    </row>
    <row r="17" spans="5:33" x14ac:dyDescent="0.25">
      <c r="E17">
        <v>13</v>
      </c>
      <c r="F17" cm="1">
        <f t="array" ref="F17">INDEX(Feuil1!$AZ$7:$AZ$1007,(Feuil2!$A$3)-E17)</f>
        <v>115934.09638801955</v>
      </c>
      <c r="G17" cm="1">
        <f t="array" ref="G17">INDEX(Feuil1!$BB$7:$BB$1007,(Feuil2!$A$3)-E17)</f>
        <v>-337873.82422624051</v>
      </c>
      <c r="Z17">
        <f>-2*$Y$6+$A$5</f>
        <v>118462.98385286344</v>
      </c>
      <c r="AA17">
        <f>0+$B$5</f>
        <v>-340316.16131549096</v>
      </c>
      <c r="AD17">
        <v>14</v>
      </c>
      <c r="AE17">
        <f t="shared" si="2"/>
        <v>0.87964594300514187</v>
      </c>
      <c r="AF17">
        <f t="shared" si="0"/>
        <v>121056.54382723516</v>
      </c>
      <c r="AG17">
        <f t="shared" si="1"/>
        <v>-338389.8782085515</v>
      </c>
    </row>
    <row r="18" spans="5:33" x14ac:dyDescent="0.25">
      <c r="E18">
        <v>14</v>
      </c>
      <c r="F18" cm="1">
        <f t="array" ref="F18">INDEX(Feuil1!$AZ$7:$AZ$1007,(Feuil2!$A$3)-E18)</f>
        <v>115657.2152491614</v>
      </c>
      <c r="G18" cm="1">
        <f t="array" ref="G18">INDEX(Feuil1!$BB$7:$BB$1007,(Feuil2!$A$3)-E18)</f>
        <v>-337669.87877129408</v>
      </c>
      <c r="AD18">
        <v>15</v>
      </c>
      <c r="AE18">
        <f t="shared" si="2"/>
        <v>0.94247779607693771</v>
      </c>
      <c r="AF18">
        <f t="shared" si="0"/>
        <v>120932.44698359462</v>
      </c>
      <c r="AG18">
        <f t="shared" si="1"/>
        <v>-338293.6188295536</v>
      </c>
    </row>
    <row r="19" spans="5:33" x14ac:dyDescent="0.25">
      <c r="E19">
        <v>15</v>
      </c>
      <c r="F19" cm="1">
        <f t="array" ref="F19">INDEX(Feuil1!$AZ$7:$AZ$1007,(Feuil2!$A$3)-E19)</f>
        <v>115379.55899881237</v>
      </c>
      <c r="G19" cm="1">
        <f t="array" ref="G19">INDEX(Feuil1!$BB$7:$BB$1007,(Feuil2!$A$3)-E19)</f>
        <v>-337463.61712926411</v>
      </c>
      <c r="AD19">
        <v>16</v>
      </c>
      <c r="AE19">
        <f t="shared" si="2"/>
        <v>1.0053096491487337</v>
      </c>
      <c r="AF19">
        <f t="shared" si="0"/>
        <v>120802.55084031094</v>
      </c>
      <c r="AG19">
        <f t="shared" si="1"/>
        <v>-338205.34150173591</v>
      </c>
    </row>
    <row r="20" spans="5:33" x14ac:dyDescent="0.25">
      <c r="E20">
        <v>16</v>
      </c>
      <c r="F20" cm="1">
        <f t="array" ref="F20">INDEX(Feuil1!$AZ$7:$AZ$1007,(Feuil2!$A$3)-E20)</f>
        <v>115101.12768054094</v>
      </c>
      <c r="G20" cm="1">
        <f t="array" ref="G20">INDEX(Feuil1!$BB$7:$BB$1007,(Feuil2!$A$3)-E20)</f>
        <v>-337255.03514195926</v>
      </c>
      <c r="AD20">
        <v>17</v>
      </c>
      <c r="AE20">
        <f t="shared" si="2"/>
        <v>1.0681415022205296</v>
      </c>
      <c r="AF20">
        <f t="shared" si="0"/>
        <v>120667.36803811773</v>
      </c>
      <c r="AG20">
        <f t="shared" si="1"/>
        <v>-338125.39461538132</v>
      </c>
    </row>
    <row r="21" spans="5:33" x14ac:dyDescent="0.25">
      <c r="E21">
        <v>17</v>
      </c>
      <c r="F21" cm="1">
        <f t="array" ref="F21">INDEX(Feuil1!$AZ$7:$AZ$1007,(Feuil2!$A$3)-E21)</f>
        <v>114821.92133111872</v>
      </c>
      <c r="G21" cm="1">
        <f t="array" ref="G21">INDEX(Feuil1!$BB$7:$BB$1007,(Feuil2!$A$3)-E21)</f>
        <v>-337044.12861012982</v>
      </c>
      <c r="X21">
        <v>25</v>
      </c>
      <c r="Z21" t="s">
        <v>47</v>
      </c>
      <c r="AA21" t="s">
        <v>48</v>
      </c>
      <c r="AD21">
        <v>18</v>
      </c>
      <c r="AE21">
        <f t="shared" si="2"/>
        <v>1.1309733552923256</v>
      </c>
      <c r="AF21">
        <f t="shared" si="0"/>
        <v>120527.43208177612</v>
      </c>
      <c r="AG21">
        <f t="shared" si="1"/>
        <v>-338054.09368432593</v>
      </c>
    </row>
    <row r="22" spans="5:33" x14ac:dyDescent="0.25">
      <c r="E22">
        <v>18</v>
      </c>
      <c r="F22" cm="1">
        <f t="array" ref="F22">INDEX(Feuil1!$AZ$7:$AZ$1007,(Feuil2!$A$3)-E22)</f>
        <v>114541.93998051983</v>
      </c>
      <c r="G22" cm="1">
        <f t="array" ref="G22">INDEX(Feuil1!$BB$7:$BB$1007,(Feuil2!$A$3)-E22)</f>
        <v>-336830.89329313906</v>
      </c>
      <c r="Z22">
        <f>-2*$Y$6+($A$5-250*X21)</f>
        <v>112212.98385286344</v>
      </c>
      <c r="AA22">
        <f>0+($B$5-250*X21)</f>
        <v>-346566.16131549096</v>
      </c>
      <c r="AD22">
        <v>19</v>
      </c>
      <c r="AE22">
        <f t="shared" si="2"/>
        <v>1.1938052083641215</v>
      </c>
      <c r="AF22">
        <f t="shared" si="0"/>
        <v>120383.29523457514</v>
      </c>
      <c r="AG22">
        <f t="shared" si="1"/>
        <v>-337991.72010077036</v>
      </c>
    </row>
    <row r="23" spans="5:33" x14ac:dyDescent="0.25">
      <c r="E23">
        <v>19</v>
      </c>
      <c r="F23" cm="1">
        <f t="array" ref="F23">INDEX(Feuil1!$AZ$7:$AZ$1007,(Feuil2!$A$3)-E23)</f>
        <v>114261.18365192012</v>
      </c>
      <c r="G23" cm="1">
        <f t="array" ref="G23">INDEX(Feuil1!$BB$7:$BB$1007,(Feuil2!$A$3)-E23)</f>
        <v>-336615.32490863046</v>
      </c>
      <c r="Z23">
        <f>2*$Y$6+($A$5-250*X21)</f>
        <v>114212.98385286344</v>
      </c>
      <c r="AA23">
        <f>0+($B$5-250*X21)</f>
        <v>-346566.16131549096</v>
      </c>
      <c r="AD23">
        <v>20</v>
      </c>
      <c r="AE23">
        <f t="shared" si="2"/>
        <v>1.2566370614359175</v>
      </c>
      <c r="AF23">
        <f t="shared" si="0"/>
        <v>120235.52633880082</v>
      </c>
      <c r="AG23">
        <f t="shared" si="1"/>
        <v>-337938.52002475306</v>
      </c>
    </row>
    <row r="24" spans="5:33" x14ac:dyDescent="0.25">
      <c r="E24">
        <v>20</v>
      </c>
      <c r="F24" cm="1">
        <f t="array" ref="F24">INDEX(Feuil1!$AZ$7:$AZ$1007,(Feuil2!$A$3)-E24)</f>
        <v>113979.65236169606</v>
      </c>
      <c r="G24" cm="1">
        <f t="array" ref="G24">INDEX(Feuil1!$BB$7:$BB$1007,(Feuil2!$A$3)-E24)</f>
        <v>-336397.41913218965</v>
      </c>
      <c r="Z24">
        <f>-1.5*$Y$6+($A$5-250*X21)</f>
        <v>112462.98385286344</v>
      </c>
      <c r="AA24">
        <f>-3.5*$Y$6+($B$5-250*X21)</f>
        <v>-348316.16131549096</v>
      </c>
      <c r="AD24">
        <v>21</v>
      </c>
      <c r="AE24">
        <f t="shared" si="2"/>
        <v>1.3194689145077134</v>
      </c>
      <c r="AF24">
        <f t="shared" si="0"/>
        <v>120084.70857077558</v>
      </c>
      <c r="AG24">
        <f t="shared" si="1"/>
        <v>-337894.70341266936</v>
      </c>
    </row>
    <row r="25" spans="5:33" x14ac:dyDescent="0.25">
      <c r="E25">
        <v>21</v>
      </c>
      <c r="F25" cm="1">
        <f t="array" ref="F25">INDEX(Feuil1!$AZ$7:$AZ$1007,(Feuil2!$A$3)-E25)</f>
        <v>113697.34611942359</v>
      </c>
      <c r="G25" cm="1">
        <f t="array" ref="G25">INDEX(Feuil1!$BB$7:$BB$1007,(Feuil2!$A$3)-E25)</f>
        <v>-336177.17159700196</v>
      </c>
      <c r="Z25">
        <f>0+($A$5-250*X21)</f>
        <v>113212.98385286344</v>
      </c>
      <c r="AA25">
        <f>2.5*$Y$6+($B$5-250*X21)</f>
        <v>-345316.16131549096</v>
      </c>
      <c r="AD25">
        <v>22</v>
      </c>
      <c r="AE25">
        <f t="shared" si="2"/>
        <v>1.3823007675795094</v>
      </c>
      <c r="AF25">
        <f t="shared" si="0"/>
        <v>119931.43713932775</v>
      </c>
      <c r="AG25">
        <f t="shared" si="1"/>
        <v>-337860.44318866922</v>
      </c>
    </row>
    <row r="26" spans="5:33" x14ac:dyDescent="0.25">
      <c r="E26">
        <v>22</v>
      </c>
      <c r="F26" cm="1">
        <f t="array" ref="F26">INDEX(Feuil1!$AZ$7:$AZ$1007,(Feuil2!$A$3)-E26)</f>
        <v>113414.26492787649</v>
      </c>
      <c r="G26" cm="1">
        <f t="array" ref="G26">INDEX(Feuil1!$BB$7:$BB$1007,(Feuil2!$A$3)-E26)</f>
        <v>-335954.57789350481</v>
      </c>
      <c r="Z26">
        <f>1.5*$Y$6+($A$5-250*X21)</f>
        <v>113962.98385286344</v>
      </c>
      <c r="AA26">
        <f>-3.5*$Y$6+($B$5-250*X21)</f>
        <v>-348316.16131549096</v>
      </c>
      <c r="AD26">
        <v>23</v>
      </c>
      <c r="AE26">
        <f t="shared" si="2"/>
        <v>1.4451326206513053</v>
      </c>
      <c r="AF26">
        <f t="shared" si="0"/>
        <v>119776.31693677421</v>
      </c>
      <c r="AG26">
        <f t="shared" si="1"/>
        <v>-337835.87456220476</v>
      </c>
    </row>
    <row r="27" spans="5:33" x14ac:dyDescent="0.25">
      <c r="E27">
        <v>23</v>
      </c>
      <c r="F27" cm="1">
        <f t="array" ref="F27">INDEX(Feuil1!$AZ$7:$AZ$1007,(Feuil2!$A$3)-E27)</f>
        <v>113130.40878302477</v>
      </c>
      <c r="G27" cm="1">
        <f t="array" ref="G27">INDEX(Feuil1!$BB$7:$BB$1007,(Feuil2!$A$3)-E27)</f>
        <v>-335729.63356903539</v>
      </c>
      <c r="Z27">
        <f>-2*$Y$6+($A$5-250*X21)</f>
        <v>112212.98385286344</v>
      </c>
      <c r="AA27">
        <f>0+($B$5-250*X21)</f>
        <v>-346566.16131549096</v>
      </c>
      <c r="AD27">
        <v>24</v>
      </c>
      <c r="AE27">
        <f t="shared" si="2"/>
        <v>1.5079644737231013</v>
      </c>
      <c r="AF27">
        <f t="shared" si="0"/>
        <v>119619.96015168673</v>
      </c>
      <c r="AG27">
        <f t="shared" si="1"/>
        <v>-337821.09449442028</v>
      </c>
    </row>
    <row r="28" spans="5:33" x14ac:dyDescent="0.25">
      <c r="E28">
        <v>24</v>
      </c>
      <c r="F28" cm="1">
        <f t="array" ref="F28">INDEX(Feuil1!$AZ$7:$AZ$1007,(Feuil2!$A$3)-E28)</f>
        <v>112845.77767403271</v>
      </c>
      <c r="G28" cm="1">
        <f t="array" ref="G28">INDEX(Feuil1!$BB$7:$BB$1007,(Feuil2!$A$3)-E28)</f>
        <v>-335502.33412747306</v>
      </c>
      <c r="AD28">
        <v>25</v>
      </c>
      <c r="AE28">
        <f t="shared" si="2"/>
        <v>1.5707963267948972</v>
      </c>
      <c r="AF28">
        <f t="shared" si="0"/>
        <v>119462.98385286344</v>
      </c>
      <c r="AG28">
        <f t="shared" si="1"/>
        <v>-337816.16131549096</v>
      </c>
    </row>
    <row r="29" spans="5:33" x14ac:dyDescent="0.25">
      <c r="E29">
        <v>25</v>
      </c>
      <c r="F29" cm="1">
        <f t="array" ref="F29">INDEX(Feuil1!$AZ$7:$AZ$1007,(Feuil2!$A$3)-E29)</f>
        <v>112560.37158325665</v>
      </c>
      <c r="G29" cm="1">
        <f t="array" ref="G29">INDEX(Feuil1!$BB$7:$BB$1007,(Feuil2!$A$3)-E29)</f>
        <v>-335272.67502887669</v>
      </c>
      <c r="AD29">
        <v>26</v>
      </c>
      <c r="AE29">
        <f t="shared" si="2"/>
        <v>1.6336281798666932</v>
      </c>
      <c r="AF29">
        <f t="shared" si="0"/>
        <v>119306.00755404016</v>
      </c>
      <c r="AG29">
        <f t="shared" si="1"/>
        <v>-337821.09449442028</v>
      </c>
    </row>
    <row r="30" spans="5:33" x14ac:dyDescent="0.25">
      <c r="AD30">
        <v>27</v>
      </c>
      <c r="AE30">
        <f t="shared" si="2"/>
        <v>1.6964600329384891</v>
      </c>
      <c r="AF30">
        <f t="shared" si="0"/>
        <v>119149.65076895268</v>
      </c>
      <c r="AG30">
        <f t="shared" si="1"/>
        <v>-337835.87456220476</v>
      </c>
    </row>
    <row r="31" spans="5:33" x14ac:dyDescent="0.25">
      <c r="AD31">
        <v>28</v>
      </c>
      <c r="AE31">
        <f t="shared" si="2"/>
        <v>1.7592918860102851</v>
      </c>
      <c r="AF31">
        <f t="shared" si="0"/>
        <v>118994.53056639913</v>
      </c>
      <c r="AG31">
        <f t="shared" si="1"/>
        <v>-337860.44318866922</v>
      </c>
    </row>
    <row r="32" spans="5:33" x14ac:dyDescent="0.25">
      <c r="X32">
        <f>10</f>
        <v>10</v>
      </c>
      <c r="Z32" t="s">
        <v>47</v>
      </c>
      <c r="AA32" t="s">
        <v>48</v>
      </c>
      <c r="AD32">
        <v>29</v>
      </c>
      <c r="AE32">
        <f t="shared" si="2"/>
        <v>1.822123739082081</v>
      </c>
      <c r="AF32">
        <f t="shared" si="0"/>
        <v>118841.25913495131</v>
      </c>
      <c r="AG32">
        <f t="shared" si="1"/>
        <v>-337894.70341266936</v>
      </c>
    </row>
    <row r="33" spans="5:57" x14ac:dyDescent="0.25">
      <c r="Z33">
        <f>-2*$Y$6+($A$5-250*X32)</f>
        <v>115962.98385286344</v>
      </c>
      <c r="AA33">
        <f>0+($B$5-250*X32)</f>
        <v>-342816.16131549096</v>
      </c>
      <c r="AD33">
        <v>30</v>
      </c>
      <c r="AE33">
        <f t="shared" si="2"/>
        <v>1.884955592153877</v>
      </c>
      <c r="AF33">
        <f t="shared" si="0"/>
        <v>118690.44136692607</v>
      </c>
      <c r="AG33">
        <f t="shared" si="1"/>
        <v>-337938.52002475306</v>
      </c>
    </row>
    <row r="34" spans="5:57" x14ac:dyDescent="0.25">
      <c r="Z34">
        <f>2*$Y$6+($A$5-250*X32)</f>
        <v>117962.98385286344</v>
      </c>
      <c r="AA34">
        <f>0+($B$5-250*X32)</f>
        <v>-342816.16131549096</v>
      </c>
      <c r="AD34">
        <v>31</v>
      </c>
      <c r="AE34">
        <f t="shared" si="2"/>
        <v>1.9477874452256729</v>
      </c>
      <c r="AF34">
        <f t="shared" si="0"/>
        <v>118542.67247115175</v>
      </c>
      <c r="AG34">
        <f t="shared" si="1"/>
        <v>-337991.72010077036</v>
      </c>
    </row>
    <row r="35" spans="5:57" x14ac:dyDescent="0.25">
      <c r="F35" t="s">
        <v>47</v>
      </c>
      <c r="G35" t="s">
        <v>48</v>
      </c>
      <c r="Z35">
        <f>-1.5*$Y$6+($A$5-250*X32)</f>
        <v>116212.98385286344</v>
      </c>
      <c r="AA35">
        <f>-3.5*$Y$6+($B$5-250*X32)</f>
        <v>-344566.16131549096</v>
      </c>
      <c r="AD35">
        <v>32</v>
      </c>
      <c r="AE35">
        <f t="shared" si="2"/>
        <v>2.0106192982974687</v>
      </c>
      <c r="AF35">
        <f t="shared" si="0"/>
        <v>118398.53562395075</v>
      </c>
      <c r="AG35">
        <f t="shared" si="1"/>
        <v>-338054.09368432593</v>
      </c>
    </row>
    <row r="36" spans="5:57" x14ac:dyDescent="0.25">
      <c r="E36">
        <v>1</v>
      </c>
      <c r="F36">
        <f>F5-250*$X$21</f>
        <v>112946.18622106648</v>
      </c>
      <c r="G36">
        <f>G5-250*$X$21</f>
        <v>-346391.96600876958</v>
      </c>
      <c r="L36" t="s">
        <v>47</v>
      </c>
      <c r="M36" t="s">
        <v>48</v>
      </c>
      <c r="Z36">
        <f>0+($A$5-250*X32)</f>
        <v>116962.98385286344</v>
      </c>
      <c r="AA36">
        <f>2.5*$Y$6+($B$5-250*X32)</f>
        <v>-341566.16131549096</v>
      </c>
      <c r="AD36">
        <v>33</v>
      </c>
      <c r="AE36">
        <f t="shared" si="2"/>
        <v>2.0734511513692646</v>
      </c>
      <c r="AF36">
        <f t="shared" si="0"/>
        <v>118258.59966760915</v>
      </c>
      <c r="AG36">
        <f t="shared" si="1"/>
        <v>-338125.39461538132</v>
      </c>
    </row>
    <row r="37" spans="5:57" x14ac:dyDescent="0.25">
      <c r="E37">
        <v>2</v>
      </c>
      <c r="F37">
        <f t="shared" ref="F37:G60" si="3">F6-250*$X$21</f>
        <v>112678.61229271538</v>
      </c>
      <c r="G37">
        <f t="shared" si="3"/>
        <v>-346215.50497647049</v>
      </c>
      <c r="K37">
        <v>1</v>
      </c>
      <c r="L37">
        <f>F5-250*$X$32</f>
        <v>116696.18622106648</v>
      </c>
      <c r="M37">
        <f>G5-250*X$32</f>
        <v>-342641.96600876958</v>
      </c>
      <c r="Z37">
        <f>1.5*$Y$6+($A$5-250*X32)</f>
        <v>117712.98385286344</v>
      </c>
      <c r="AA37">
        <f>-3.5*$Y$6+($B$5-250*X32)</f>
        <v>-344566.16131549096</v>
      </c>
      <c r="AD37">
        <v>34</v>
      </c>
      <c r="AE37">
        <f t="shared" si="2"/>
        <v>2.1362830044410606</v>
      </c>
      <c r="AF37">
        <f t="shared" si="0"/>
        <v>118123.41686541594</v>
      </c>
      <c r="AG37">
        <f t="shared" si="1"/>
        <v>-338205.34150173591</v>
      </c>
    </row>
    <row r="38" spans="5:57" x14ac:dyDescent="0.25">
      <c r="E38">
        <v>3</v>
      </c>
      <c r="F38">
        <f t="shared" si="3"/>
        <v>112410.26219979122</v>
      </c>
      <c r="G38">
        <f t="shared" si="3"/>
        <v>-346036.77456628188</v>
      </c>
      <c r="K38">
        <v>2</v>
      </c>
      <c r="L38">
        <f t="shared" ref="L38:L61" si="4">F6-250*$X$32</f>
        <v>116428.61229271538</v>
      </c>
      <c r="M38">
        <f t="shared" ref="M38:M61" si="5">G6-250*X$32</f>
        <v>-342465.50497647049</v>
      </c>
      <c r="Z38">
        <f>-2*$Y$6+($A$5-250*X32)</f>
        <v>115962.98385286344</v>
      </c>
      <c r="AA38">
        <f>0+($B$5-250*X32)</f>
        <v>-342816.16131549096</v>
      </c>
      <c r="AD38">
        <v>35</v>
      </c>
      <c r="AE38">
        <f t="shared" si="2"/>
        <v>2.1991148575128565</v>
      </c>
      <c r="AF38">
        <f t="shared" si="0"/>
        <v>117993.52072213226</v>
      </c>
      <c r="AG38">
        <f t="shared" si="1"/>
        <v>-338293.6188295536</v>
      </c>
    </row>
    <row r="39" spans="5:57" x14ac:dyDescent="0.25">
      <c r="E39">
        <v>4</v>
      </c>
      <c r="F39">
        <f t="shared" si="3"/>
        <v>112141.13606746432</v>
      </c>
      <c r="G39">
        <f t="shared" si="3"/>
        <v>-345855.77108870749</v>
      </c>
      <c r="K39">
        <v>3</v>
      </c>
      <c r="L39">
        <f t="shared" si="4"/>
        <v>116160.26219979122</v>
      </c>
      <c r="M39">
        <f t="shared" si="5"/>
        <v>-342286.77456628188</v>
      </c>
      <c r="AD39">
        <v>36</v>
      </c>
      <c r="AE39">
        <f t="shared" si="2"/>
        <v>2.2619467105846525</v>
      </c>
      <c r="AF39">
        <f t="shared" si="0"/>
        <v>117869.42387849171</v>
      </c>
      <c r="AG39">
        <f t="shared" si="1"/>
        <v>-338389.8782085515</v>
      </c>
    </row>
    <row r="40" spans="5:57" x14ac:dyDescent="0.25">
      <c r="E40">
        <v>5</v>
      </c>
      <c r="F40">
        <f t="shared" si="3"/>
        <v>111871.23401409683</v>
      </c>
      <c r="G40">
        <f t="shared" si="3"/>
        <v>-345672.49081679317</v>
      </c>
      <c r="K40">
        <v>4</v>
      </c>
      <c r="L40">
        <f t="shared" si="4"/>
        <v>115891.13606746432</v>
      </c>
      <c r="M40">
        <f t="shared" si="5"/>
        <v>-342105.77108870749</v>
      </c>
      <c r="AD40">
        <v>37</v>
      </c>
      <c r="AE40">
        <f t="shared" si="2"/>
        <v>2.3247785636564484</v>
      </c>
      <c r="AF40">
        <f t="shared" si="0"/>
        <v>117751.61608804172</v>
      </c>
      <c r="AG40">
        <f t="shared" si="1"/>
        <v>-338493.73974693741</v>
      </c>
    </row>
    <row r="41" spans="5:57" x14ac:dyDescent="0.25">
      <c r="E41">
        <v>6</v>
      </c>
      <c r="F41">
        <f t="shared" si="3"/>
        <v>111600.55615124495</v>
      </c>
      <c r="G41">
        <f t="shared" si="3"/>
        <v>-345486.92998584924</v>
      </c>
      <c r="K41">
        <v>5</v>
      </c>
      <c r="L41">
        <f t="shared" si="4"/>
        <v>115621.23401409683</v>
      </c>
      <c r="M41">
        <f t="shared" si="5"/>
        <v>-341922.49081679317</v>
      </c>
      <c r="AD41">
        <v>38</v>
      </c>
      <c r="AE41">
        <f t="shared" si="2"/>
        <v>2.3876104167282444</v>
      </c>
      <c r="AF41">
        <f t="shared" si="0"/>
        <v>117640.56228430991</v>
      </c>
      <c r="AG41">
        <f t="shared" si="1"/>
        <v>-338604.79355066922</v>
      </c>
    </row>
    <row r="42" spans="5:57" x14ac:dyDescent="0.25">
      <c r="E42">
        <v>7</v>
      </c>
      <c r="F42">
        <f t="shared" si="3"/>
        <v>111329.10258366098</v>
      </c>
      <c r="G42">
        <f t="shared" si="3"/>
        <v>-345299.08479316946</v>
      </c>
      <c r="K42">
        <v>6</v>
      </c>
      <c r="L42">
        <f t="shared" si="4"/>
        <v>115350.55615124495</v>
      </c>
      <c r="M42">
        <f t="shared" si="5"/>
        <v>-341736.92998584924</v>
      </c>
      <c r="AD42">
        <v>39</v>
      </c>
      <c r="AE42">
        <f t="shared" si="2"/>
        <v>2.4504422698000403</v>
      </c>
      <c r="AF42">
        <f t="shared" si="0"/>
        <v>117536.70074592397</v>
      </c>
      <c r="AG42">
        <f t="shared" si="1"/>
        <v>-338722.60134111921</v>
      </c>
    </row>
    <row r="43" spans="5:57" x14ac:dyDescent="0.25">
      <c r="E43">
        <v>8</v>
      </c>
      <c r="F43">
        <f t="shared" si="3"/>
        <v>111056.87340929511</v>
      </c>
      <c r="G43">
        <f t="shared" si="3"/>
        <v>-345108.9513977457</v>
      </c>
      <c r="K43">
        <v>7</v>
      </c>
      <c r="L43">
        <f t="shared" si="4"/>
        <v>115079.10258366098</v>
      </c>
      <c r="M43">
        <f t="shared" si="5"/>
        <v>-341549.08479316946</v>
      </c>
      <c r="AD43">
        <v>40</v>
      </c>
      <c r="AE43">
        <f t="shared" si="2"/>
        <v>2.5132741228718363</v>
      </c>
      <c r="AF43">
        <f t="shared" si="0"/>
        <v>117440.44136692607</v>
      </c>
      <c r="AG43">
        <f t="shared" si="1"/>
        <v>-338846.69818475976</v>
      </c>
    </row>
    <row r="44" spans="5:57" x14ac:dyDescent="0.25">
      <c r="E44">
        <v>9</v>
      </c>
      <c r="F44">
        <f t="shared" si="3"/>
        <v>110783.86871929694</v>
      </c>
      <c r="G44">
        <f t="shared" si="3"/>
        <v>-344916.52591997839</v>
      </c>
      <c r="K44">
        <v>8</v>
      </c>
      <c r="L44">
        <f t="shared" si="4"/>
        <v>114806.87340929511</v>
      </c>
      <c r="M44">
        <f t="shared" si="5"/>
        <v>-341358.9513977457</v>
      </c>
      <c r="AD44">
        <v>41</v>
      </c>
      <c r="AE44">
        <f t="shared" si="2"/>
        <v>2.5761059759436322</v>
      </c>
      <c r="AF44">
        <f t="shared" si="0"/>
        <v>117352.16403910841</v>
      </c>
      <c r="AG44">
        <f t="shared" si="1"/>
        <v>-338976.59432804346</v>
      </c>
    </row>
    <row r="45" spans="5:57" x14ac:dyDescent="0.25">
      <c r="E45">
        <v>10</v>
      </c>
      <c r="F45">
        <f t="shared" si="3"/>
        <v>110510.08859801682</v>
      </c>
      <c r="G45">
        <f t="shared" si="3"/>
        <v>-344721.80444138334</v>
      </c>
      <c r="K45">
        <v>9</v>
      </c>
      <c r="L45">
        <f t="shared" si="4"/>
        <v>114533.86871929694</v>
      </c>
      <c r="M45">
        <f t="shared" si="5"/>
        <v>-341166.52591997839</v>
      </c>
      <c r="AD45">
        <v>42</v>
      </c>
      <c r="AE45">
        <f t="shared" si="2"/>
        <v>2.6389378290154282</v>
      </c>
      <c r="AF45">
        <f t="shared" si="0"/>
        <v>117272.21715275379</v>
      </c>
      <c r="AG45">
        <f t="shared" si="1"/>
        <v>-339111.77713023667</v>
      </c>
      <c r="BE45" t="s">
        <v>68</v>
      </c>
    </row>
    <row r="46" spans="5:57" x14ac:dyDescent="0.25">
      <c r="E46">
        <v>11</v>
      </c>
      <c r="F46">
        <f t="shared" si="3"/>
        <v>110235.5331230069</v>
      </c>
      <c r="G46">
        <f t="shared" si="3"/>
        <v>-344524.78300429409</v>
      </c>
      <c r="K46">
        <v>10</v>
      </c>
      <c r="L46">
        <f t="shared" si="4"/>
        <v>114260.08859801682</v>
      </c>
      <c r="M46">
        <f t="shared" si="5"/>
        <v>-340971.80444138334</v>
      </c>
      <c r="AD46">
        <v>43</v>
      </c>
      <c r="AE46">
        <f t="shared" si="2"/>
        <v>2.7017696820872241</v>
      </c>
      <c r="AF46">
        <f t="shared" si="0"/>
        <v>117200.9162216984</v>
      </c>
      <c r="AG46">
        <f t="shared" si="1"/>
        <v>-339251.7130865783</v>
      </c>
    </row>
    <row r="47" spans="5:57" x14ac:dyDescent="0.25">
      <c r="E47">
        <v>12</v>
      </c>
      <c r="F47">
        <f t="shared" si="3"/>
        <v>109960.20236502185</v>
      </c>
      <c r="G47">
        <f t="shared" si="3"/>
        <v>-344325.45761156006</v>
      </c>
      <c r="K47">
        <v>11</v>
      </c>
      <c r="L47">
        <f t="shared" si="4"/>
        <v>113985.5331230069</v>
      </c>
      <c r="M47">
        <f t="shared" si="5"/>
        <v>-340774.78300429409</v>
      </c>
      <c r="AD47">
        <v>44</v>
      </c>
      <c r="AE47">
        <f t="shared" si="2"/>
        <v>2.7646015351590201</v>
      </c>
      <c r="AF47">
        <f t="shared" si="0"/>
        <v>117138.54263814281</v>
      </c>
      <c r="AG47">
        <f t="shared" si="1"/>
        <v>-339395.84993377927</v>
      </c>
    </row>
    <row r="48" spans="5:57" x14ac:dyDescent="0.25">
      <c r="E48">
        <v>13</v>
      </c>
      <c r="F48">
        <f t="shared" si="3"/>
        <v>109684.09638801955</v>
      </c>
      <c r="G48">
        <f t="shared" si="3"/>
        <v>-344123.82422624051</v>
      </c>
      <c r="K48">
        <v>12</v>
      </c>
      <c r="L48">
        <f t="shared" si="4"/>
        <v>113710.20236502185</v>
      </c>
      <c r="M48">
        <f t="shared" si="5"/>
        <v>-340575.45761156006</v>
      </c>
      <c r="AD48">
        <v>45</v>
      </c>
      <c r="AE48">
        <f t="shared" si="2"/>
        <v>2.827433388230816</v>
      </c>
      <c r="AF48">
        <f t="shared" si="0"/>
        <v>117085.34256212556</v>
      </c>
      <c r="AG48">
        <f t="shared" si="1"/>
        <v>-339543.6188295536</v>
      </c>
    </row>
    <row r="49" spans="5:33" x14ac:dyDescent="0.25">
      <c r="E49">
        <v>14</v>
      </c>
      <c r="F49">
        <f t="shared" si="3"/>
        <v>109407.2152491614</v>
      </c>
      <c r="G49">
        <f t="shared" si="3"/>
        <v>-343919.87877129408</v>
      </c>
      <c r="K49">
        <v>13</v>
      </c>
      <c r="L49">
        <f t="shared" si="4"/>
        <v>113434.09638801955</v>
      </c>
      <c r="M49">
        <f t="shared" si="5"/>
        <v>-340373.82422624051</v>
      </c>
      <c r="AD49">
        <v>46</v>
      </c>
      <c r="AE49">
        <f t="shared" si="2"/>
        <v>2.890265241302612</v>
      </c>
      <c r="AF49">
        <f t="shared" si="0"/>
        <v>117041.52595004186</v>
      </c>
      <c r="AG49">
        <f t="shared" si="1"/>
        <v>-339694.43659757881</v>
      </c>
    </row>
    <row r="50" spans="5:33" x14ac:dyDescent="0.25">
      <c r="E50">
        <v>15</v>
      </c>
      <c r="F50">
        <f t="shared" si="3"/>
        <v>109129.55899881237</v>
      </c>
      <c r="G50">
        <f t="shared" si="3"/>
        <v>-343713.61712926411</v>
      </c>
      <c r="K50">
        <v>14</v>
      </c>
      <c r="L50">
        <f t="shared" si="4"/>
        <v>113157.2152491614</v>
      </c>
      <c r="M50">
        <f t="shared" si="5"/>
        <v>-340169.87877129408</v>
      </c>
      <c r="AD50">
        <v>47</v>
      </c>
      <c r="AE50">
        <f t="shared" si="2"/>
        <v>2.9530970943744079</v>
      </c>
      <c r="AF50">
        <f t="shared" si="0"/>
        <v>117007.26572604172</v>
      </c>
      <c r="AG50">
        <f t="shared" si="1"/>
        <v>-339847.70802902663</v>
      </c>
    </row>
    <row r="51" spans="5:33" x14ac:dyDescent="0.25">
      <c r="E51">
        <v>16</v>
      </c>
      <c r="F51">
        <f t="shared" si="3"/>
        <v>108851.12768054094</v>
      </c>
      <c r="G51">
        <f t="shared" si="3"/>
        <v>-343505.03514195926</v>
      </c>
      <c r="K51">
        <v>15</v>
      </c>
      <c r="L51">
        <f t="shared" si="4"/>
        <v>112879.55899881237</v>
      </c>
      <c r="M51">
        <f t="shared" si="5"/>
        <v>-339963.61712926411</v>
      </c>
      <c r="AD51">
        <v>48</v>
      </c>
      <c r="AE51">
        <f t="shared" si="2"/>
        <v>3.0159289474462039</v>
      </c>
      <c r="AF51">
        <f t="shared" si="0"/>
        <v>116982.69709957724</v>
      </c>
      <c r="AG51">
        <f t="shared" si="1"/>
        <v>-340002.82823158021</v>
      </c>
    </row>
    <row r="52" spans="5:33" x14ac:dyDescent="0.25">
      <c r="E52">
        <v>17</v>
      </c>
      <c r="F52">
        <f t="shared" si="3"/>
        <v>108571.92133111872</v>
      </c>
      <c r="G52">
        <f t="shared" si="3"/>
        <v>-343294.12861012982</v>
      </c>
      <c r="K52">
        <v>16</v>
      </c>
      <c r="L52">
        <f t="shared" si="4"/>
        <v>112601.12768054094</v>
      </c>
      <c r="M52">
        <f t="shared" si="5"/>
        <v>-339755.03514195926</v>
      </c>
      <c r="AD52">
        <v>49</v>
      </c>
      <c r="AE52">
        <f t="shared" si="2"/>
        <v>3.0787608005179998</v>
      </c>
      <c r="AF52">
        <f t="shared" si="0"/>
        <v>116967.91703179276</v>
      </c>
      <c r="AG52">
        <f t="shared" si="1"/>
        <v>-340159.1850166677</v>
      </c>
    </row>
    <row r="53" spans="5:33" x14ac:dyDescent="0.25">
      <c r="E53">
        <v>18</v>
      </c>
      <c r="F53">
        <f t="shared" si="3"/>
        <v>108291.93998051983</v>
      </c>
      <c r="G53">
        <f t="shared" si="3"/>
        <v>-343080.89329313906</v>
      </c>
      <c r="K53">
        <v>17</v>
      </c>
      <c r="L53">
        <f t="shared" si="4"/>
        <v>112321.92133111872</v>
      </c>
      <c r="M53">
        <f t="shared" si="5"/>
        <v>-339544.12861012982</v>
      </c>
      <c r="AD53">
        <v>50</v>
      </c>
      <c r="AE53">
        <f t="shared" si="2"/>
        <v>3.1415926535897958</v>
      </c>
      <c r="AF53">
        <f t="shared" si="0"/>
        <v>116962.98385286344</v>
      </c>
      <c r="AG53">
        <f t="shared" si="1"/>
        <v>-340316.16131549096</v>
      </c>
    </row>
    <row r="54" spans="5:33" x14ac:dyDescent="0.25">
      <c r="E54">
        <v>19</v>
      </c>
      <c r="F54">
        <f t="shared" si="3"/>
        <v>108011.18365192012</v>
      </c>
      <c r="G54">
        <f t="shared" si="3"/>
        <v>-342865.32490863046</v>
      </c>
      <c r="K54">
        <v>18</v>
      </c>
      <c r="L54">
        <f t="shared" si="4"/>
        <v>112041.93998051983</v>
      </c>
      <c r="M54">
        <f t="shared" si="5"/>
        <v>-339330.89329313906</v>
      </c>
      <c r="AD54">
        <v>51</v>
      </c>
      <c r="AE54">
        <f t="shared" si="2"/>
        <v>3.2044245066615917</v>
      </c>
      <c r="AF54">
        <f t="shared" si="0"/>
        <v>116967.91703179276</v>
      </c>
      <c r="AG54">
        <f t="shared" si="1"/>
        <v>-340473.13761431427</v>
      </c>
    </row>
    <row r="55" spans="5:33" x14ac:dyDescent="0.25">
      <c r="E55">
        <v>20</v>
      </c>
      <c r="F55">
        <f t="shared" si="3"/>
        <v>107729.65236169606</v>
      </c>
      <c r="G55">
        <f t="shared" si="3"/>
        <v>-342647.41913218965</v>
      </c>
      <c r="K55">
        <v>19</v>
      </c>
      <c r="L55">
        <f t="shared" si="4"/>
        <v>111761.18365192012</v>
      </c>
      <c r="M55">
        <f t="shared" si="5"/>
        <v>-339115.32490863046</v>
      </c>
      <c r="AD55">
        <v>52</v>
      </c>
      <c r="AE55">
        <f t="shared" si="2"/>
        <v>3.2672563597333877</v>
      </c>
      <c r="AF55">
        <f t="shared" si="0"/>
        <v>116982.69709957724</v>
      </c>
      <c r="AG55">
        <f t="shared" si="1"/>
        <v>-340629.49439940171</v>
      </c>
    </row>
    <row r="56" spans="5:33" x14ac:dyDescent="0.25">
      <c r="E56">
        <v>21</v>
      </c>
      <c r="F56">
        <f t="shared" si="3"/>
        <v>107447.34611942359</v>
      </c>
      <c r="G56">
        <f t="shared" si="3"/>
        <v>-342427.17159700196</v>
      </c>
      <c r="K56">
        <v>20</v>
      </c>
      <c r="L56">
        <f t="shared" si="4"/>
        <v>111479.65236169606</v>
      </c>
      <c r="M56">
        <f t="shared" si="5"/>
        <v>-338897.41913218965</v>
      </c>
      <c r="AD56">
        <v>53</v>
      </c>
      <c r="AE56">
        <f t="shared" si="2"/>
        <v>3.3300882128051836</v>
      </c>
      <c r="AF56">
        <f t="shared" si="0"/>
        <v>117007.26572604172</v>
      </c>
      <c r="AG56">
        <f t="shared" si="1"/>
        <v>-340784.61460195528</v>
      </c>
    </row>
    <row r="57" spans="5:33" x14ac:dyDescent="0.25">
      <c r="E57">
        <v>22</v>
      </c>
      <c r="F57">
        <f t="shared" si="3"/>
        <v>107164.26492787649</v>
      </c>
      <c r="G57">
        <f t="shared" si="3"/>
        <v>-342204.57789350481</v>
      </c>
      <c r="K57">
        <v>21</v>
      </c>
      <c r="L57">
        <f t="shared" si="4"/>
        <v>111197.34611942359</v>
      </c>
      <c r="M57">
        <f t="shared" si="5"/>
        <v>-338677.17159700196</v>
      </c>
      <c r="AD57">
        <v>54</v>
      </c>
      <c r="AE57">
        <f t="shared" si="2"/>
        <v>3.3929200658769796</v>
      </c>
      <c r="AF57">
        <f t="shared" si="0"/>
        <v>117041.52595004186</v>
      </c>
      <c r="AG57">
        <f t="shared" si="1"/>
        <v>-340937.88603340311</v>
      </c>
    </row>
    <row r="58" spans="5:33" x14ac:dyDescent="0.25">
      <c r="E58">
        <v>23</v>
      </c>
      <c r="F58">
        <f t="shared" si="3"/>
        <v>106880.40878302477</v>
      </c>
      <c r="G58">
        <f t="shared" si="3"/>
        <v>-341979.63356903539</v>
      </c>
      <c r="K58">
        <v>22</v>
      </c>
      <c r="L58">
        <f t="shared" si="4"/>
        <v>110914.26492787649</v>
      </c>
      <c r="M58">
        <f t="shared" si="5"/>
        <v>-338454.57789350481</v>
      </c>
      <c r="AD58">
        <v>55</v>
      </c>
      <c r="AE58">
        <f t="shared" si="2"/>
        <v>3.4557519189487755</v>
      </c>
      <c r="AF58">
        <f t="shared" si="0"/>
        <v>117085.34256212556</v>
      </c>
      <c r="AG58">
        <f t="shared" si="1"/>
        <v>-341088.70380142832</v>
      </c>
    </row>
    <row r="59" spans="5:33" x14ac:dyDescent="0.25">
      <c r="E59">
        <v>24</v>
      </c>
      <c r="F59">
        <f t="shared" si="3"/>
        <v>106595.77767403271</v>
      </c>
      <c r="G59">
        <f t="shared" si="3"/>
        <v>-341752.33412747306</v>
      </c>
      <c r="K59">
        <v>23</v>
      </c>
      <c r="L59">
        <f t="shared" si="4"/>
        <v>110630.40878302477</v>
      </c>
      <c r="M59">
        <f t="shared" si="5"/>
        <v>-338229.63356903539</v>
      </c>
      <c r="AD59">
        <v>56</v>
      </c>
      <c r="AE59">
        <f t="shared" si="2"/>
        <v>3.5185837720205715</v>
      </c>
      <c r="AF59">
        <f t="shared" si="0"/>
        <v>117138.54263814281</v>
      </c>
      <c r="AG59">
        <f t="shared" si="1"/>
        <v>-341236.47269720264</v>
      </c>
    </row>
    <row r="60" spans="5:33" x14ac:dyDescent="0.25">
      <c r="E60">
        <v>25</v>
      </c>
      <c r="F60">
        <f t="shared" si="3"/>
        <v>106310.37158325665</v>
      </c>
      <c r="G60">
        <f t="shared" si="3"/>
        <v>-341522.67502887669</v>
      </c>
      <c r="K60">
        <v>24</v>
      </c>
      <c r="L60">
        <f t="shared" si="4"/>
        <v>110345.77767403271</v>
      </c>
      <c r="M60">
        <f t="shared" si="5"/>
        <v>-338002.33412747306</v>
      </c>
      <c r="AD60">
        <v>57</v>
      </c>
      <c r="AE60">
        <f t="shared" si="2"/>
        <v>3.5814156250923674</v>
      </c>
      <c r="AF60">
        <f t="shared" si="0"/>
        <v>117200.9162216984</v>
      </c>
      <c r="AG60">
        <f t="shared" si="1"/>
        <v>-341380.60954440362</v>
      </c>
    </row>
    <row r="61" spans="5:33" x14ac:dyDescent="0.25">
      <c r="K61">
        <v>25</v>
      </c>
      <c r="L61">
        <f t="shared" si="4"/>
        <v>110060.37158325665</v>
      </c>
      <c r="M61">
        <f t="shared" si="5"/>
        <v>-337772.67502887669</v>
      </c>
      <c r="AD61">
        <v>58</v>
      </c>
      <c r="AE61">
        <f t="shared" si="2"/>
        <v>3.6442474781641634</v>
      </c>
      <c r="AF61">
        <f t="shared" si="0"/>
        <v>117272.21715275379</v>
      </c>
      <c r="AG61">
        <f t="shared" si="1"/>
        <v>-341520.54550074524</v>
      </c>
    </row>
    <row r="62" spans="5:33" x14ac:dyDescent="0.25">
      <c r="AD62">
        <v>59</v>
      </c>
      <c r="AE62">
        <f t="shared" si="2"/>
        <v>3.7070793312359593</v>
      </c>
      <c r="AF62">
        <f t="shared" si="0"/>
        <v>117352.16403910841</v>
      </c>
      <c r="AG62">
        <f t="shared" si="1"/>
        <v>-341655.72830293846</v>
      </c>
    </row>
    <row r="63" spans="5:33" x14ac:dyDescent="0.25">
      <c r="AD63">
        <v>60</v>
      </c>
      <c r="AE63">
        <f t="shared" si="2"/>
        <v>3.7699111843077553</v>
      </c>
      <c r="AF63">
        <f t="shared" si="0"/>
        <v>117440.44136692608</v>
      </c>
      <c r="AG63">
        <f t="shared" si="1"/>
        <v>-341785.62444622215</v>
      </c>
    </row>
    <row r="64" spans="5:33" x14ac:dyDescent="0.25">
      <c r="AD64">
        <v>61</v>
      </c>
      <c r="AE64">
        <f t="shared" si="2"/>
        <v>3.8327430373795512</v>
      </c>
      <c r="AF64">
        <f t="shared" si="0"/>
        <v>117536.70074592397</v>
      </c>
      <c r="AG64">
        <f t="shared" si="1"/>
        <v>-341909.7212898627</v>
      </c>
    </row>
    <row r="65" spans="30:33" x14ac:dyDescent="0.25">
      <c r="AD65">
        <v>62</v>
      </c>
      <c r="AE65">
        <f t="shared" si="2"/>
        <v>3.8955748904513472</v>
      </c>
      <c r="AF65">
        <f t="shared" si="0"/>
        <v>117640.56228430993</v>
      </c>
      <c r="AG65">
        <f t="shared" si="1"/>
        <v>-342027.5290803127</v>
      </c>
    </row>
    <row r="66" spans="30:33" x14ac:dyDescent="0.25">
      <c r="AD66">
        <v>63</v>
      </c>
      <c r="AE66">
        <f t="shared" si="2"/>
        <v>3.9584067435231431</v>
      </c>
      <c r="AF66">
        <f t="shared" si="0"/>
        <v>117751.61608804173</v>
      </c>
      <c r="AG66">
        <f t="shared" si="1"/>
        <v>-342138.5828840445</v>
      </c>
    </row>
    <row r="67" spans="30:33" x14ac:dyDescent="0.25">
      <c r="AD67">
        <v>64</v>
      </c>
      <c r="AE67">
        <f t="shared" si="2"/>
        <v>4.0212385965949391</v>
      </c>
      <c r="AF67">
        <f t="shared" si="0"/>
        <v>117869.42387849173</v>
      </c>
      <c r="AG67">
        <f t="shared" si="1"/>
        <v>-342242.44442243042</v>
      </c>
    </row>
    <row r="68" spans="30:33" x14ac:dyDescent="0.25">
      <c r="AD68">
        <v>65</v>
      </c>
      <c r="AE68">
        <f t="shared" si="2"/>
        <v>4.0840704496667346</v>
      </c>
      <c r="AF68">
        <f t="shared" ref="AF68:AF103" si="6">COS(AE68)*$AC$3+$A$5</f>
        <v>117993.52072213226</v>
      </c>
      <c r="AG68">
        <f t="shared" ref="AG68:AG103" si="7">SIN(AE68)*$AC$3+$B$5</f>
        <v>-342338.70380142832</v>
      </c>
    </row>
    <row r="69" spans="30:33" x14ac:dyDescent="0.25">
      <c r="AD69">
        <v>66</v>
      </c>
      <c r="AE69">
        <f t="shared" ref="AE69:AE103" si="8">AE68+$AE$1</f>
        <v>4.1469023027385301</v>
      </c>
      <c r="AF69">
        <f t="shared" si="6"/>
        <v>118123.41686541596</v>
      </c>
      <c r="AG69">
        <f t="shared" si="7"/>
        <v>-342426.98112924601</v>
      </c>
    </row>
    <row r="70" spans="30:33" x14ac:dyDescent="0.25">
      <c r="AD70">
        <v>67</v>
      </c>
      <c r="AE70">
        <f t="shared" si="8"/>
        <v>4.2097341558103256</v>
      </c>
      <c r="AF70">
        <f t="shared" si="6"/>
        <v>118258.59966760916</v>
      </c>
      <c r="AG70">
        <f t="shared" si="7"/>
        <v>-342506.9280156006</v>
      </c>
    </row>
    <row r="71" spans="30:33" x14ac:dyDescent="0.25">
      <c r="AD71">
        <v>68</v>
      </c>
      <c r="AE71">
        <f t="shared" si="8"/>
        <v>4.2725660088821211</v>
      </c>
      <c r="AF71">
        <f t="shared" si="6"/>
        <v>118398.53562395077</v>
      </c>
      <c r="AG71">
        <f t="shared" si="7"/>
        <v>-342578.22894665599</v>
      </c>
    </row>
    <row r="72" spans="30:33" x14ac:dyDescent="0.25">
      <c r="AD72">
        <v>69</v>
      </c>
      <c r="AE72">
        <f t="shared" si="8"/>
        <v>4.3353978619539166</v>
      </c>
      <c r="AF72">
        <f t="shared" si="6"/>
        <v>118542.67247115175</v>
      </c>
      <c r="AG72">
        <f t="shared" si="7"/>
        <v>-342640.60253021156</v>
      </c>
    </row>
    <row r="73" spans="30:33" x14ac:dyDescent="0.25">
      <c r="AD73">
        <v>70</v>
      </c>
      <c r="AE73">
        <f t="shared" si="8"/>
        <v>4.3982297150257121</v>
      </c>
      <c r="AF73">
        <f t="shared" si="6"/>
        <v>118690.44136692608</v>
      </c>
      <c r="AG73">
        <f t="shared" si="7"/>
        <v>-342693.80260622886</v>
      </c>
    </row>
    <row r="74" spans="30:33" x14ac:dyDescent="0.25">
      <c r="AD74">
        <v>71</v>
      </c>
      <c r="AE74">
        <f t="shared" si="8"/>
        <v>4.4610615680975076</v>
      </c>
      <c r="AF74">
        <f t="shared" si="6"/>
        <v>118841.25913495131</v>
      </c>
      <c r="AG74">
        <f t="shared" si="7"/>
        <v>-342737.61921831255</v>
      </c>
    </row>
    <row r="75" spans="30:33" x14ac:dyDescent="0.25">
      <c r="AD75">
        <v>72</v>
      </c>
      <c r="AE75">
        <f t="shared" si="8"/>
        <v>4.5238934211693032</v>
      </c>
      <c r="AF75">
        <f t="shared" si="6"/>
        <v>118994.53056639913</v>
      </c>
      <c r="AG75">
        <f t="shared" si="7"/>
        <v>-342771.8794423127</v>
      </c>
    </row>
    <row r="76" spans="30:33" x14ac:dyDescent="0.25">
      <c r="AD76">
        <v>73</v>
      </c>
      <c r="AE76">
        <f t="shared" si="8"/>
        <v>4.5867252742410987</v>
      </c>
      <c r="AF76">
        <f t="shared" si="6"/>
        <v>119149.65076895268</v>
      </c>
      <c r="AG76">
        <f t="shared" si="7"/>
        <v>-342796.44806877716</v>
      </c>
    </row>
    <row r="77" spans="30:33" x14ac:dyDescent="0.25">
      <c r="AD77">
        <v>74</v>
      </c>
      <c r="AE77">
        <f t="shared" si="8"/>
        <v>4.6495571273128942</v>
      </c>
      <c r="AF77">
        <f t="shared" si="6"/>
        <v>119306.00755404016</v>
      </c>
      <c r="AG77">
        <f t="shared" si="7"/>
        <v>-342811.22813656164</v>
      </c>
    </row>
    <row r="78" spans="30:33" x14ac:dyDescent="0.25">
      <c r="AD78">
        <v>75</v>
      </c>
      <c r="AE78">
        <f t="shared" si="8"/>
        <v>4.7123889803846897</v>
      </c>
      <c r="AF78">
        <f t="shared" si="6"/>
        <v>119462.98385286344</v>
      </c>
      <c r="AG78">
        <f t="shared" si="7"/>
        <v>-342816.16131549096</v>
      </c>
    </row>
    <row r="79" spans="30:33" x14ac:dyDescent="0.25">
      <c r="AD79">
        <v>76</v>
      </c>
      <c r="AE79">
        <f t="shared" si="8"/>
        <v>4.7752208334564852</v>
      </c>
      <c r="AF79">
        <f t="shared" si="6"/>
        <v>119619.96015168673</v>
      </c>
      <c r="AG79">
        <f t="shared" si="7"/>
        <v>-342811.22813656164</v>
      </c>
    </row>
    <row r="80" spans="30:33" x14ac:dyDescent="0.25">
      <c r="AD80">
        <v>77</v>
      </c>
      <c r="AE80">
        <f t="shared" si="8"/>
        <v>4.8380526865282807</v>
      </c>
      <c r="AF80">
        <f t="shared" si="6"/>
        <v>119776.31693677419</v>
      </c>
      <c r="AG80">
        <f t="shared" si="7"/>
        <v>-342796.44806877716</v>
      </c>
    </row>
    <row r="81" spans="30:33" x14ac:dyDescent="0.25">
      <c r="AD81">
        <v>78</v>
      </c>
      <c r="AE81">
        <f t="shared" si="8"/>
        <v>4.9008845396000762</v>
      </c>
      <c r="AF81">
        <f t="shared" si="6"/>
        <v>119931.43713932775</v>
      </c>
      <c r="AG81">
        <f t="shared" si="7"/>
        <v>-342771.8794423127</v>
      </c>
    </row>
    <row r="82" spans="30:33" x14ac:dyDescent="0.25">
      <c r="AD82">
        <v>79</v>
      </c>
      <c r="AE82">
        <f t="shared" si="8"/>
        <v>4.9637163926718717</v>
      </c>
      <c r="AF82">
        <f t="shared" si="6"/>
        <v>120084.70857077558</v>
      </c>
      <c r="AG82">
        <f t="shared" si="7"/>
        <v>-342737.61921831255</v>
      </c>
    </row>
    <row r="83" spans="30:33" x14ac:dyDescent="0.25">
      <c r="AD83">
        <v>80</v>
      </c>
      <c r="AE83">
        <f t="shared" si="8"/>
        <v>5.0265482457436672</v>
      </c>
      <c r="AF83">
        <f t="shared" si="6"/>
        <v>120235.5263388008</v>
      </c>
      <c r="AG83">
        <f t="shared" si="7"/>
        <v>-342693.80260622886</v>
      </c>
    </row>
    <row r="84" spans="30:33" x14ac:dyDescent="0.25">
      <c r="AD84">
        <v>81</v>
      </c>
      <c r="AE84">
        <f t="shared" si="8"/>
        <v>5.0893800988154627</v>
      </c>
      <c r="AF84">
        <f t="shared" si="6"/>
        <v>120383.29523457513</v>
      </c>
      <c r="AG84">
        <f t="shared" si="7"/>
        <v>-342640.60253021156</v>
      </c>
    </row>
    <row r="85" spans="30:33" x14ac:dyDescent="0.25">
      <c r="AD85">
        <v>82</v>
      </c>
      <c r="AE85">
        <f t="shared" si="8"/>
        <v>5.1522119518872582</v>
      </c>
      <c r="AF85">
        <f t="shared" si="6"/>
        <v>120527.43208177612</v>
      </c>
      <c r="AG85">
        <f t="shared" si="7"/>
        <v>-342578.22894665599</v>
      </c>
    </row>
    <row r="86" spans="30:33" x14ac:dyDescent="0.25">
      <c r="AD86">
        <v>83</v>
      </c>
      <c r="AE86">
        <f t="shared" si="8"/>
        <v>5.2150438049590537</v>
      </c>
      <c r="AF86">
        <f t="shared" si="6"/>
        <v>120667.36803811773</v>
      </c>
      <c r="AG86">
        <f t="shared" si="7"/>
        <v>-342506.9280156006</v>
      </c>
    </row>
    <row r="87" spans="30:33" x14ac:dyDescent="0.25">
      <c r="AD87">
        <v>84</v>
      </c>
      <c r="AE87">
        <f t="shared" si="8"/>
        <v>5.2778756580308492</v>
      </c>
      <c r="AF87">
        <f t="shared" si="6"/>
        <v>120802.55084031093</v>
      </c>
      <c r="AG87">
        <f t="shared" si="7"/>
        <v>-342426.98112924601</v>
      </c>
    </row>
    <row r="88" spans="30:33" x14ac:dyDescent="0.25">
      <c r="AD88">
        <v>85</v>
      </c>
      <c r="AE88">
        <f t="shared" si="8"/>
        <v>5.3407075111026447</v>
      </c>
      <c r="AF88">
        <f t="shared" si="6"/>
        <v>120932.44698359462</v>
      </c>
      <c r="AG88">
        <f t="shared" si="7"/>
        <v>-342338.70380142832</v>
      </c>
    </row>
    <row r="89" spans="30:33" x14ac:dyDescent="0.25">
      <c r="AD89">
        <v>86</v>
      </c>
      <c r="AE89">
        <f t="shared" si="8"/>
        <v>5.4035393641744403</v>
      </c>
      <c r="AF89">
        <f t="shared" si="6"/>
        <v>121056.54382723516</v>
      </c>
      <c r="AG89">
        <f t="shared" si="7"/>
        <v>-342242.44442243042</v>
      </c>
    </row>
    <row r="90" spans="30:33" x14ac:dyDescent="0.25">
      <c r="AD90">
        <v>87</v>
      </c>
      <c r="AE90">
        <f t="shared" si="8"/>
        <v>5.4663712172462358</v>
      </c>
      <c r="AF90">
        <f t="shared" si="6"/>
        <v>121174.35161768516</v>
      </c>
      <c r="AG90">
        <f t="shared" si="7"/>
        <v>-342138.5828840445</v>
      </c>
    </row>
    <row r="91" spans="30:33" x14ac:dyDescent="0.25">
      <c r="AD91">
        <v>88</v>
      </c>
      <c r="AE91">
        <f t="shared" si="8"/>
        <v>5.5292030703180313</v>
      </c>
      <c r="AF91">
        <f t="shared" si="6"/>
        <v>121285.40542141696</v>
      </c>
      <c r="AG91">
        <f t="shared" si="7"/>
        <v>-342027.5290803127</v>
      </c>
    </row>
    <row r="92" spans="30:33" x14ac:dyDescent="0.25">
      <c r="AD92">
        <v>89</v>
      </c>
      <c r="AE92">
        <f t="shared" si="8"/>
        <v>5.5920349233898268</v>
      </c>
      <c r="AF92">
        <f t="shared" si="6"/>
        <v>121389.2669598029</v>
      </c>
      <c r="AG92">
        <f t="shared" si="7"/>
        <v>-341909.7212898627</v>
      </c>
    </row>
    <row r="93" spans="30:33" x14ac:dyDescent="0.25">
      <c r="AD93">
        <v>90</v>
      </c>
      <c r="AE93">
        <f t="shared" si="8"/>
        <v>5.6548667764616223</v>
      </c>
      <c r="AF93">
        <f t="shared" si="6"/>
        <v>121485.5263388008</v>
      </c>
      <c r="AG93">
        <f t="shared" si="7"/>
        <v>-341785.62444622215</v>
      </c>
    </row>
    <row r="94" spans="30:33" x14ac:dyDescent="0.25">
      <c r="AD94">
        <v>91</v>
      </c>
      <c r="AE94">
        <f t="shared" si="8"/>
        <v>5.7176986295334178</v>
      </c>
      <c r="AF94">
        <f t="shared" si="6"/>
        <v>121573.80366661848</v>
      </c>
      <c r="AG94">
        <f t="shared" si="7"/>
        <v>-341655.72830293846</v>
      </c>
    </row>
    <row r="95" spans="30:33" x14ac:dyDescent="0.25">
      <c r="AD95">
        <v>92</v>
      </c>
      <c r="AE95">
        <f t="shared" si="8"/>
        <v>5.7805304826052133</v>
      </c>
      <c r="AF95">
        <f t="shared" si="6"/>
        <v>121653.7505529731</v>
      </c>
      <c r="AG95">
        <f t="shared" si="7"/>
        <v>-341520.54550074524</v>
      </c>
    </row>
    <row r="96" spans="30:33" x14ac:dyDescent="0.25">
      <c r="AD96">
        <v>93</v>
      </c>
      <c r="AE96">
        <f t="shared" si="8"/>
        <v>5.8433623356770088</v>
      </c>
      <c r="AF96">
        <f t="shared" si="6"/>
        <v>121725.05148402849</v>
      </c>
      <c r="AG96">
        <f t="shared" si="7"/>
        <v>-341380.60954440368</v>
      </c>
    </row>
    <row r="97" spans="30:33" x14ac:dyDescent="0.25">
      <c r="AD97">
        <v>94</v>
      </c>
      <c r="AE97">
        <f t="shared" si="8"/>
        <v>5.9061941887488043</v>
      </c>
      <c r="AF97">
        <f t="shared" si="6"/>
        <v>121787.42506758406</v>
      </c>
      <c r="AG97">
        <f t="shared" si="7"/>
        <v>-341236.47269720264</v>
      </c>
    </row>
    <row r="98" spans="30:33" x14ac:dyDescent="0.25">
      <c r="AD98">
        <v>95</v>
      </c>
      <c r="AE98">
        <f t="shared" si="8"/>
        <v>5.9690260418205998</v>
      </c>
      <c r="AF98">
        <f t="shared" si="6"/>
        <v>121840.62514360133</v>
      </c>
      <c r="AG98">
        <f t="shared" si="7"/>
        <v>-341088.70380142832</v>
      </c>
    </row>
    <row r="99" spans="30:33" x14ac:dyDescent="0.25">
      <c r="AD99">
        <v>96</v>
      </c>
      <c r="AE99">
        <f t="shared" si="8"/>
        <v>6.0318578948923953</v>
      </c>
      <c r="AF99">
        <f t="shared" si="6"/>
        <v>121884.44175568501</v>
      </c>
      <c r="AG99">
        <f t="shared" si="7"/>
        <v>-340937.88603340311</v>
      </c>
    </row>
    <row r="100" spans="30:33" x14ac:dyDescent="0.25">
      <c r="AD100">
        <v>97</v>
      </c>
      <c r="AE100">
        <f t="shared" si="8"/>
        <v>6.0946897479641908</v>
      </c>
      <c r="AF100">
        <f t="shared" si="6"/>
        <v>121918.70197968517</v>
      </c>
      <c r="AG100">
        <f t="shared" si="7"/>
        <v>-340784.61460195528</v>
      </c>
    </row>
    <row r="101" spans="30:33" x14ac:dyDescent="0.25">
      <c r="AD101">
        <v>98</v>
      </c>
      <c r="AE101">
        <f t="shared" si="8"/>
        <v>6.1575216010359863</v>
      </c>
      <c r="AF101">
        <f t="shared" si="6"/>
        <v>121943.27060614963</v>
      </c>
      <c r="AG101">
        <f t="shared" si="7"/>
        <v>-340629.49439940177</v>
      </c>
    </row>
    <row r="102" spans="30:33" x14ac:dyDescent="0.25">
      <c r="AD102">
        <v>99</v>
      </c>
      <c r="AE102">
        <f t="shared" si="8"/>
        <v>6.2203534541077818</v>
      </c>
      <c r="AF102">
        <f t="shared" si="6"/>
        <v>121958.05067393412</v>
      </c>
      <c r="AG102">
        <f t="shared" si="7"/>
        <v>-340473.13761431427</v>
      </c>
    </row>
    <row r="103" spans="30:33" x14ac:dyDescent="0.25">
      <c r="AD103">
        <v>100</v>
      </c>
      <c r="AE103">
        <f t="shared" si="8"/>
        <v>6.2831853071795774</v>
      </c>
      <c r="AF103">
        <f t="shared" si="6"/>
        <v>121962.98385286344</v>
      </c>
      <c r="AG103">
        <f t="shared" si="7"/>
        <v>-340316.16131549096</v>
      </c>
    </row>
  </sheetData>
  <mergeCells count="3">
    <mergeCell ref="AE2:AF2"/>
    <mergeCell ref="T14:W15"/>
    <mergeCell ref="AH14:AO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utton 15">
              <controlPr defaultSize="0" print="0" autoFill="0" autoPict="0" macro="[0]!Startsimulation">
                <anchor moveWithCells="1" sizeWithCells="1">
                  <from>
                    <xdr:col>9</xdr:col>
                    <xdr:colOff>714375</xdr:colOff>
                    <xdr:row>9</xdr:row>
                    <xdr:rowOff>57150</xdr:rowOff>
                  </from>
                  <to>
                    <xdr:col>18</xdr:col>
                    <xdr:colOff>695325</xdr:colOff>
                    <xdr:row>15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1EDFA05BF6C84A8F3527389120BF9F" ma:contentTypeVersion="10" ma:contentTypeDescription="Create a new document." ma:contentTypeScope="" ma:versionID="61189adae52428cc77d0531cebbac197">
  <xsd:schema xmlns:xsd="http://www.w3.org/2001/XMLSchema" xmlns:xs="http://www.w3.org/2001/XMLSchema" xmlns:p="http://schemas.microsoft.com/office/2006/metadata/properties" xmlns:ns3="e9b2bb5e-f770-42b3-8b1d-1ad6b006b132" xmlns:ns4="04282743-2eeb-467c-9547-92cc20f8b68c" targetNamespace="http://schemas.microsoft.com/office/2006/metadata/properties" ma:root="true" ma:fieldsID="52e6698ee694be5bf223e9ccbd7dae57" ns3:_="" ns4:_="">
    <xsd:import namespace="e9b2bb5e-f770-42b3-8b1d-1ad6b006b132"/>
    <xsd:import namespace="04282743-2eeb-467c-9547-92cc20f8b68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b2bb5e-f770-42b3-8b1d-1ad6b006b1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282743-2eeb-467c-9547-92cc20f8b6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A31E728-55C2-470F-BBD4-F57076167C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9b2bb5e-f770-42b3-8b1d-1ad6b006b132"/>
    <ds:schemaRef ds:uri="04282743-2eeb-467c-9547-92cc20f8b6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031E5EA-C92E-4955-BFDD-F29579E29972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e9b2bb5e-f770-42b3-8b1d-1ad6b006b132"/>
    <ds:schemaRef ds:uri="04282743-2eeb-467c-9547-92cc20f8b68c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4C772F3-B809-41AE-8C14-45D4499FE5A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Jean-Baptiste Marc Pascal</dc:creator>
  <cp:lastModifiedBy>Jean-Baptiste Marc Pascal</cp:lastModifiedBy>
  <dcterms:created xsi:type="dcterms:W3CDTF">2022-11-25T15:25:28Z</dcterms:created>
  <dcterms:modified xsi:type="dcterms:W3CDTF">2022-12-19T16:43:55Z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0x010100531EDFA05BF6C84A8F3527389120BF9F</vt:lpwstr>
  </property>
</Properties>
</file>